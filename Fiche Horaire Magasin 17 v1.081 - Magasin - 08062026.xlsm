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omments3.xml" ContentType="application/vnd.openxmlformats-officedocument.spreadsheetml.comments+xml"/>
  <Override PartName="/xl/drawings/drawing4.xml" ContentType="application/vnd.openxmlformats-officedocument.drawing+xml"/>
  <Override PartName="/xl/comments4.xml" ContentType="application/vnd.openxmlformats-officedocument.spreadsheetml.comments+xml"/>
  <Override PartName="/xl/comments5.xml" ContentType="application/vnd.openxmlformats-officedocument.spreadsheetml.comments+xml"/>
  <Override PartName="/xl/drawings/drawing5.xml" ContentType="application/vnd.openxmlformats-officedocument.drawing+xml"/>
  <Override PartName="/xl/comments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372AB895-14C1-FC20-EB20-F1B4BCFD95AE}"/>
  <workbookPr filterPrivacy="1" updateLinks="never" codeName="ThisWorkbook"/>
  <xr:revisionPtr revIDLastSave="0" documentId="13_ncr:1_{1307E39B-B9C2-4261-B46A-546E2D7DB2A9}" xr6:coauthVersionLast="47" xr6:coauthVersionMax="47" xr10:uidLastSave="{00000000-0000-0000-0000-000000000000}"/>
  <bookViews>
    <workbookView xWindow="21435" yWindow="1095" windowWidth="30000" windowHeight="19860" tabRatio="694" xr2:uid="{00000000-000D-0000-FFFF-FFFF00000000}"/>
  </bookViews>
  <sheets>
    <sheet name="Synthèse Horaires" sheetId="1" r:id="rId1"/>
    <sheet name="MASQUE COLLABORATEUR" sheetId="2" r:id="rId2"/>
    <sheet name="PREV HORAIRES" sheetId="7" r:id="rId3"/>
    <sheet name="Point Information" sheetId="5" r:id="rId4"/>
    <sheet name="Base Synthèse Horaires" sheetId="6" state="hidden" r:id="rId5"/>
    <sheet name="Base Matricule Siège" sheetId="3" state="hidden" r:id="rId6"/>
    <sheet name="Data Base" sheetId="4" state="hidden" r:id="rId7"/>
    <sheet name="Cal-Exit" sheetId="8" state="hidden" r:id="rId8"/>
    <sheet name="Export Point FH" sheetId="9" state="hidden" r:id="rId9"/>
  </sheets>
  <definedNames>
    <definedName name="_xlnm._FilterDatabase" localSheetId="5" hidden="1">'Base Matricule Siège'!$B$12:$AL$340</definedName>
    <definedName name="_xlnm.Print_Area" localSheetId="4">'Base Synthèse Horaires'!$A$29:$U$82</definedName>
    <definedName name="_xlnm.Print_Area" localSheetId="7">'Cal-Exit'!$A$1:$K$34</definedName>
    <definedName name="_xlnm.Print_Area" localSheetId="3">'Point Information'!$A$43:$Q$69</definedName>
    <definedName name="_xlnm.Print_Area" localSheetId="2">'PREV HORAIRES'!$A$1:$N$660</definedName>
    <definedName name="_xlnm.Print_Area" localSheetId="0">'Synthèse Horaires'!$A$1:$O$32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A18" i="2" l="1"/>
  <c r="H18" i="2"/>
  <c r="AE42" i="3" l="1"/>
  <c r="L10" i="3" l="1"/>
  <c r="AH16" i="3" l="1"/>
  <c r="AG16" i="3"/>
  <c r="AG14" i="3"/>
  <c r="AG15" i="3"/>
  <c r="AG17" i="3"/>
  <c r="AG18" i="3"/>
  <c r="AG19" i="3"/>
  <c r="AG20" i="3"/>
  <c r="AG21" i="3"/>
  <c r="AG22" i="3"/>
  <c r="AG23" i="3"/>
  <c r="AG24" i="3"/>
  <c r="AG25" i="3"/>
  <c r="AG26" i="3"/>
  <c r="AG27" i="3"/>
  <c r="AG28" i="3"/>
  <c r="AG29" i="3"/>
  <c r="AG30" i="3"/>
  <c r="AG31" i="3"/>
  <c r="AG32" i="3"/>
  <c r="AG33" i="3"/>
  <c r="AG34" i="3"/>
  <c r="AG35" i="3"/>
  <c r="AG36" i="3"/>
  <c r="AG37" i="3"/>
  <c r="AG38" i="3"/>
  <c r="AG39" i="3"/>
  <c r="AG40" i="3"/>
  <c r="AG41" i="3"/>
  <c r="AG42" i="3"/>
  <c r="AG43" i="3"/>
  <c r="AG44" i="3"/>
  <c r="AG45" i="3"/>
  <c r="AG46" i="3"/>
  <c r="AG47" i="3"/>
  <c r="AG48" i="3"/>
  <c r="AG49" i="3"/>
  <c r="AG50" i="3"/>
  <c r="AG51" i="3"/>
  <c r="AG52" i="3"/>
  <c r="AG53" i="3"/>
  <c r="AG54" i="3"/>
  <c r="AG55" i="3"/>
  <c r="AG56" i="3"/>
  <c r="AG57" i="3"/>
  <c r="AG58" i="3"/>
  <c r="AG59" i="3"/>
  <c r="AG60" i="3"/>
  <c r="AG61" i="3"/>
  <c r="AG62" i="3"/>
  <c r="AG63" i="3"/>
  <c r="AG64" i="3"/>
  <c r="AG65" i="3"/>
  <c r="AG66" i="3"/>
  <c r="AG67" i="3"/>
  <c r="AG68" i="3"/>
  <c r="AG69" i="3"/>
  <c r="AG70" i="3"/>
  <c r="AG71" i="3"/>
  <c r="AG72" i="3"/>
  <c r="AG73" i="3"/>
  <c r="AG74" i="3"/>
  <c r="AG75" i="3"/>
  <c r="AG76" i="3"/>
  <c r="AG77" i="3"/>
  <c r="AG78" i="3"/>
  <c r="AG79" i="3"/>
  <c r="AG80" i="3"/>
  <c r="AG81" i="3"/>
  <c r="AG82" i="3"/>
  <c r="AG83" i="3"/>
  <c r="AG84" i="3"/>
  <c r="AG85" i="3"/>
  <c r="AG86" i="3"/>
  <c r="AG87" i="3"/>
  <c r="AG88" i="3"/>
  <c r="AG89" i="3"/>
  <c r="AG90" i="3"/>
  <c r="AG91" i="3"/>
  <c r="AG92" i="3"/>
  <c r="AG93" i="3"/>
  <c r="AG94" i="3"/>
  <c r="AG95" i="3"/>
  <c r="AG96" i="3"/>
  <c r="AG97" i="3"/>
  <c r="AG98" i="3"/>
  <c r="AG99" i="3"/>
  <c r="AG100" i="3"/>
  <c r="AG101" i="3"/>
  <c r="AG102" i="3"/>
  <c r="AG103" i="3"/>
  <c r="AG104" i="3"/>
  <c r="AG105" i="3"/>
  <c r="AG106" i="3"/>
  <c r="AG107" i="3"/>
  <c r="AG108" i="3"/>
  <c r="AG109" i="3"/>
  <c r="AG110" i="3"/>
  <c r="AG111" i="3"/>
  <c r="AG112" i="3"/>
  <c r="AG113" i="3"/>
  <c r="AG114" i="3"/>
  <c r="AG115" i="3"/>
  <c r="AG116" i="3"/>
  <c r="AG117" i="3"/>
  <c r="AG118" i="3"/>
  <c r="AG119" i="3"/>
  <c r="AG120" i="3"/>
  <c r="AG121" i="3"/>
  <c r="AG122" i="3"/>
  <c r="AG123" i="3"/>
  <c r="AG124" i="3"/>
  <c r="AG125" i="3"/>
  <c r="AG126" i="3"/>
  <c r="AG127" i="3"/>
  <c r="AG128" i="3"/>
  <c r="AG129" i="3"/>
  <c r="AG130" i="3"/>
  <c r="AG131" i="3"/>
  <c r="AG132" i="3"/>
  <c r="AG133" i="3"/>
  <c r="AG134" i="3"/>
  <c r="AG135" i="3"/>
  <c r="AG136" i="3"/>
  <c r="AG137" i="3"/>
  <c r="AG138" i="3"/>
  <c r="AG139" i="3"/>
  <c r="AG140" i="3"/>
  <c r="AG141" i="3"/>
  <c r="AG142" i="3"/>
  <c r="AG143" i="3"/>
  <c r="AG144" i="3"/>
  <c r="AG145" i="3"/>
  <c r="AG146" i="3"/>
  <c r="AG147" i="3"/>
  <c r="AG148" i="3"/>
  <c r="AG149" i="3"/>
  <c r="AG150" i="3"/>
  <c r="AG151" i="3"/>
  <c r="AG152" i="3"/>
  <c r="AG153" i="3"/>
  <c r="AG154" i="3"/>
  <c r="AG155" i="3"/>
  <c r="AG156" i="3"/>
  <c r="AG157" i="3"/>
  <c r="AG158" i="3"/>
  <c r="AG159" i="3"/>
  <c r="AG160" i="3"/>
  <c r="AG161" i="3"/>
  <c r="AG162" i="3"/>
  <c r="AG163" i="3"/>
  <c r="AG164" i="3"/>
  <c r="AG165" i="3"/>
  <c r="AG166" i="3"/>
  <c r="AG167" i="3"/>
  <c r="AG168" i="3"/>
  <c r="AG169" i="3"/>
  <c r="AG170" i="3"/>
  <c r="AG171" i="3"/>
  <c r="AG172" i="3"/>
  <c r="AG173" i="3"/>
  <c r="AG174" i="3"/>
  <c r="AG175" i="3"/>
  <c r="AG176" i="3"/>
  <c r="AG177" i="3"/>
  <c r="AG178" i="3"/>
  <c r="AG179" i="3"/>
  <c r="AG180" i="3"/>
  <c r="AG181" i="3"/>
  <c r="AG182" i="3"/>
  <c r="AG183" i="3"/>
  <c r="AG184" i="3"/>
  <c r="AG185" i="3"/>
  <c r="AG186" i="3"/>
  <c r="AG187" i="3"/>
  <c r="AG188" i="3"/>
  <c r="AG189" i="3"/>
  <c r="AG190" i="3"/>
  <c r="AG191" i="3"/>
  <c r="AG192" i="3"/>
  <c r="AG193" i="3"/>
  <c r="AG194" i="3"/>
  <c r="AG195" i="3"/>
  <c r="AG196" i="3"/>
  <c r="AG197" i="3"/>
  <c r="AG198" i="3"/>
  <c r="AG199" i="3"/>
  <c r="AG200" i="3"/>
  <c r="AG201" i="3"/>
  <c r="AG202" i="3"/>
  <c r="AG203" i="3"/>
  <c r="AG204" i="3"/>
  <c r="AG205" i="3"/>
  <c r="AG206" i="3"/>
  <c r="AG207" i="3"/>
  <c r="AG208" i="3"/>
  <c r="AG209" i="3"/>
  <c r="AG210" i="3"/>
  <c r="AG211" i="3"/>
  <c r="AG212" i="3"/>
  <c r="AG213" i="3"/>
  <c r="AG214" i="3"/>
  <c r="AG215" i="3"/>
  <c r="AG216" i="3"/>
  <c r="AG217" i="3"/>
  <c r="AG218" i="3"/>
  <c r="AG219" i="3"/>
  <c r="AG220" i="3"/>
  <c r="AG221" i="3"/>
  <c r="AG222" i="3"/>
  <c r="AG223" i="3"/>
  <c r="AG224" i="3"/>
  <c r="AG225" i="3"/>
  <c r="AG226" i="3"/>
  <c r="AG227" i="3"/>
  <c r="AG228" i="3"/>
  <c r="AG229" i="3"/>
  <c r="AG230" i="3"/>
  <c r="AG231" i="3"/>
  <c r="AG232" i="3"/>
  <c r="AG233" i="3"/>
  <c r="AG234" i="3"/>
  <c r="AG235" i="3"/>
  <c r="AG236" i="3"/>
  <c r="AG237" i="3"/>
  <c r="AG238" i="3"/>
  <c r="AG239" i="3"/>
  <c r="AG240" i="3"/>
  <c r="AG241" i="3"/>
  <c r="AG242" i="3"/>
  <c r="AG243" i="3"/>
  <c r="AG244" i="3"/>
  <c r="AG245" i="3"/>
  <c r="AG246" i="3"/>
  <c r="AG247" i="3"/>
  <c r="AG248" i="3"/>
  <c r="AG249" i="3"/>
  <c r="AG250" i="3"/>
  <c r="AG251" i="3"/>
  <c r="AG252" i="3"/>
  <c r="AG253" i="3"/>
  <c r="AG254" i="3"/>
  <c r="AG255" i="3"/>
  <c r="AG256" i="3"/>
  <c r="AG257" i="3"/>
  <c r="AG258" i="3"/>
  <c r="AG259" i="3"/>
  <c r="AG260" i="3"/>
  <c r="AG261" i="3"/>
  <c r="AG262" i="3"/>
  <c r="AG263" i="3"/>
  <c r="AG264" i="3"/>
  <c r="AG265" i="3"/>
  <c r="AG266" i="3"/>
  <c r="AG267" i="3"/>
  <c r="AG268" i="3"/>
  <c r="AG269" i="3"/>
  <c r="AG270" i="3"/>
  <c r="AG271" i="3"/>
  <c r="AG272" i="3"/>
  <c r="AG273" i="3"/>
  <c r="AG274" i="3"/>
  <c r="AG275" i="3"/>
  <c r="AG276" i="3"/>
  <c r="AG277" i="3"/>
  <c r="AG278" i="3"/>
  <c r="AG279" i="3"/>
  <c r="AG280" i="3"/>
  <c r="AG281" i="3"/>
  <c r="AG282" i="3"/>
  <c r="AG283" i="3"/>
  <c r="AG284" i="3"/>
  <c r="AG285" i="3"/>
  <c r="AG286" i="3"/>
  <c r="AG287" i="3"/>
  <c r="AG288" i="3"/>
  <c r="AG289" i="3"/>
  <c r="AG290" i="3"/>
  <c r="AG291" i="3"/>
  <c r="AG292" i="3"/>
  <c r="AG293" i="3"/>
  <c r="AG294" i="3"/>
  <c r="AG295" i="3"/>
  <c r="AG296" i="3"/>
  <c r="AG297" i="3"/>
  <c r="AG298" i="3"/>
  <c r="AG299" i="3"/>
  <c r="AG300" i="3"/>
  <c r="AG301" i="3"/>
  <c r="AG302" i="3"/>
  <c r="AG303" i="3"/>
  <c r="AG304" i="3"/>
  <c r="AG305" i="3"/>
  <c r="AG306" i="3"/>
  <c r="AG307" i="3"/>
  <c r="AG308" i="3"/>
  <c r="AG309" i="3"/>
  <c r="AG310" i="3"/>
  <c r="AG311" i="3"/>
  <c r="AG312" i="3"/>
  <c r="AG313" i="3"/>
  <c r="AG314" i="3"/>
  <c r="AG315" i="3"/>
  <c r="AG316" i="3"/>
  <c r="AG317" i="3"/>
  <c r="AG318" i="3"/>
  <c r="AG319" i="3"/>
  <c r="AG320" i="3"/>
  <c r="AG321" i="3"/>
  <c r="AG322" i="3"/>
  <c r="AG323" i="3"/>
  <c r="AG324" i="3"/>
  <c r="AG325" i="3"/>
  <c r="AG326" i="3"/>
  <c r="AG327" i="3"/>
  <c r="AG328" i="3"/>
  <c r="AG329" i="3"/>
  <c r="AG330" i="3"/>
  <c r="AG331" i="3"/>
  <c r="AG332" i="3"/>
  <c r="AG333" i="3"/>
  <c r="AG334" i="3"/>
  <c r="AG335" i="3"/>
  <c r="AG336" i="3"/>
  <c r="AG337" i="3"/>
  <c r="AG338" i="3"/>
  <c r="AG339" i="3"/>
  <c r="AG340" i="3"/>
  <c r="AG13" i="3"/>
  <c r="AE14" i="3"/>
  <c r="AE15" i="3"/>
  <c r="AE16" i="3"/>
  <c r="AE17" i="3"/>
  <c r="AE18" i="3"/>
  <c r="AE19" i="3"/>
  <c r="AE20" i="3"/>
  <c r="AE21" i="3"/>
  <c r="AE22" i="3"/>
  <c r="AE23" i="3"/>
  <c r="AE24" i="3"/>
  <c r="AE25" i="3"/>
  <c r="AE26" i="3"/>
  <c r="AE27" i="3"/>
  <c r="AE28" i="3"/>
  <c r="AE29" i="3"/>
  <c r="AE30" i="3"/>
  <c r="AE31" i="3"/>
  <c r="AE32" i="3"/>
  <c r="AE33" i="3"/>
  <c r="AE34" i="3"/>
  <c r="AE35" i="3"/>
  <c r="AE36" i="3"/>
  <c r="AE37" i="3"/>
  <c r="AE38" i="3"/>
  <c r="AE39" i="3"/>
  <c r="AE40" i="3"/>
  <c r="AE41" i="3"/>
  <c r="AE43" i="3"/>
  <c r="AE44" i="3"/>
  <c r="AE45" i="3"/>
  <c r="AE46" i="3"/>
  <c r="AE47" i="3"/>
  <c r="AE48" i="3"/>
  <c r="AE49" i="3"/>
  <c r="AE50" i="3"/>
  <c r="AE51" i="3"/>
  <c r="AE52" i="3"/>
  <c r="AE53" i="3"/>
  <c r="AE54" i="3"/>
  <c r="AE55" i="3"/>
  <c r="AE56" i="3"/>
  <c r="AE57" i="3"/>
  <c r="AE58" i="3"/>
  <c r="AE59" i="3"/>
  <c r="AE60" i="3"/>
  <c r="AE61" i="3"/>
  <c r="AE62" i="3"/>
  <c r="AE63" i="3"/>
  <c r="AE64" i="3"/>
  <c r="AE65" i="3"/>
  <c r="AE66" i="3"/>
  <c r="AE67" i="3"/>
  <c r="AE68" i="3"/>
  <c r="AE69" i="3"/>
  <c r="AE70" i="3"/>
  <c r="AE71" i="3"/>
  <c r="AE72" i="3"/>
  <c r="AE73" i="3"/>
  <c r="AE74" i="3"/>
  <c r="AE75" i="3"/>
  <c r="AE76" i="3"/>
  <c r="AE77" i="3"/>
  <c r="AE78" i="3"/>
  <c r="AE79" i="3"/>
  <c r="AE80" i="3"/>
  <c r="AE81" i="3"/>
  <c r="AE82" i="3"/>
  <c r="AE83" i="3"/>
  <c r="AE84" i="3"/>
  <c r="AE85" i="3"/>
  <c r="AE86" i="3"/>
  <c r="AE87" i="3"/>
  <c r="AE88" i="3"/>
  <c r="AE89" i="3"/>
  <c r="AE90" i="3"/>
  <c r="AE91" i="3"/>
  <c r="AE92" i="3"/>
  <c r="AE93" i="3"/>
  <c r="AE94" i="3"/>
  <c r="AE95" i="3"/>
  <c r="AE96" i="3"/>
  <c r="AE97" i="3"/>
  <c r="AE98" i="3"/>
  <c r="AE99" i="3"/>
  <c r="AE100" i="3"/>
  <c r="AE101" i="3"/>
  <c r="AE102" i="3"/>
  <c r="AE103" i="3"/>
  <c r="AE104" i="3"/>
  <c r="AE105" i="3"/>
  <c r="AE106" i="3"/>
  <c r="AE107" i="3"/>
  <c r="AE108" i="3"/>
  <c r="AE109" i="3"/>
  <c r="AE110" i="3"/>
  <c r="AE111" i="3"/>
  <c r="AE112" i="3"/>
  <c r="AE113" i="3"/>
  <c r="AE114" i="3"/>
  <c r="AE115" i="3"/>
  <c r="AE116" i="3"/>
  <c r="AE117" i="3"/>
  <c r="AE118" i="3"/>
  <c r="AE119" i="3"/>
  <c r="AE120" i="3"/>
  <c r="AE121" i="3"/>
  <c r="AE122" i="3"/>
  <c r="AE123" i="3"/>
  <c r="AE124" i="3"/>
  <c r="AE125" i="3"/>
  <c r="AE126" i="3"/>
  <c r="AE127" i="3"/>
  <c r="AE128" i="3"/>
  <c r="AE129" i="3"/>
  <c r="AE130" i="3"/>
  <c r="AE131" i="3"/>
  <c r="AE132" i="3"/>
  <c r="AE133" i="3"/>
  <c r="AE134" i="3"/>
  <c r="AE135" i="3"/>
  <c r="AE136" i="3"/>
  <c r="AE137" i="3"/>
  <c r="AE138" i="3"/>
  <c r="AE139" i="3"/>
  <c r="AE140" i="3"/>
  <c r="AE141" i="3"/>
  <c r="AE142" i="3"/>
  <c r="AE143" i="3"/>
  <c r="AE144" i="3"/>
  <c r="AE145" i="3"/>
  <c r="AE146" i="3"/>
  <c r="AE147" i="3"/>
  <c r="AE148" i="3"/>
  <c r="AE149" i="3"/>
  <c r="AE150" i="3"/>
  <c r="AE151" i="3"/>
  <c r="AE152" i="3"/>
  <c r="AE153" i="3"/>
  <c r="AE154" i="3"/>
  <c r="AE155" i="3"/>
  <c r="AE156" i="3"/>
  <c r="AE157" i="3"/>
  <c r="AE158" i="3"/>
  <c r="AE159" i="3"/>
  <c r="AE160" i="3"/>
  <c r="AE161" i="3"/>
  <c r="AE162" i="3"/>
  <c r="AE163" i="3"/>
  <c r="AE164" i="3"/>
  <c r="AE165" i="3"/>
  <c r="AE166" i="3"/>
  <c r="AE167" i="3"/>
  <c r="AE168" i="3"/>
  <c r="AE169" i="3"/>
  <c r="AE170" i="3"/>
  <c r="AE171" i="3"/>
  <c r="AE172" i="3"/>
  <c r="AE173" i="3"/>
  <c r="AE174" i="3"/>
  <c r="AE175" i="3"/>
  <c r="AE176" i="3"/>
  <c r="AE177" i="3"/>
  <c r="AE178" i="3"/>
  <c r="AE179" i="3"/>
  <c r="AE180" i="3"/>
  <c r="AE181" i="3"/>
  <c r="AE182" i="3"/>
  <c r="AE183" i="3"/>
  <c r="AE184" i="3"/>
  <c r="AE185" i="3"/>
  <c r="AE186" i="3"/>
  <c r="AE187" i="3"/>
  <c r="AE188" i="3"/>
  <c r="AE189" i="3"/>
  <c r="AE190" i="3"/>
  <c r="AE191" i="3"/>
  <c r="AE192" i="3"/>
  <c r="AE193" i="3"/>
  <c r="AE194" i="3"/>
  <c r="AE195" i="3"/>
  <c r="AE196" i="3"/>
  <c r="AE197" i="3"/>
  <c r="AE198" i="3"/>
  <c r="AE199" i="3"/>
  <c r="AE200" i="3"/>
  <c r="AE201" i="3"/>
  <c r="AE202" i="3"/>
  <c r="AE203" i="3"/>
  <c r="AE204" i="3"/>
  <c r="AE205" i="3"/>
  <c r="AE206" i="3"/>
  <c r="AE207" i="3"/>
  <c r="AE208" i="3"/>
  <c r="AE209" i="3"/>
  <c r="AE210" i="3"/>
  <c r="AE211" i="3"/>
  <c r="AE212" i="3"/>
  <c r="AE213" i="3"/>
  <c r="AE214" i="3"/>
  <c r="AE215" i="3"/>
  <c r="AE216" i="3"/>
  <c r="AE217" i="3"/>
  <c r="AE218" i="3"/>
  <c r="AE219" i="3"/>
  <c r="AE220" i="3"/>
  <c r="AE221" i="3"/>
  <c r="AE222" i="3"/>
  <c r="AE223" i="3"/>
  <c r="AE224" i="3"/>
  <c r="AE225" i="3"/>
  <c r="AE226" i="3"/>
  <c r="AE227" i="3"/>
  <c r="AE228" i="3"/>
  <c r="AE229" i="3"/>
  <c r="AE230" i="3"/>
  <c r="AE231" i="3"/>
  <c r="AE232" i="3"/>
  <c r="AE233" i="3"/>
  <c r="AE234" i="3"/>
  <c r="AE235" i="3"/>
  <c r="AE236" i="3"/>
  <c r="AE237" i="3"/>
  <c r="AE238" i="3"/>
  <c r="AE239" i="3"/>
  <c r="AE240" i="3"/>
  <c r="AE241" i="3"/>
  <c r="AE242" i="3"/>
  <c r="AE243" i="3"/>
  <c r="AE244" i="3"/>
  <c r="AE245" i="3"/>
  <c r="AE246" i="3"/>
  <c r="AE247" i="3"/>
  <c r="AE248" i="3"/>
  <c r="AE249" i="3"/>
  <c r="AE250" i="3"/>
  <c r="AE251" i="3"/>
  <c r="AE252" i="3"/>
  <c r="AE253" i="3"/>
  <c r="AE254" i="3"/>
  <c r="AE255" i="3"/>
  <c r="AE256" i="3"/>
  <c r="AE257" i="3"/>
  <c r="AE258" i="3"/>
  <c r="AE259" i="3"/>
  <c r="AE260" i="3"/>
  <c r="AE261" i="3"/>
  <c r="AE262" i="3"/>
  <c r="AE263" i="3"/>
  <c r="AE264" i="3"/>
  <c r="AE265" i="3"/>
  <c r="AE266" i="3"/>
  <c r="AE267" i="3"/>
  <c r="AE268" i="3"/>
  <c r="AE269" i="3"/>
  <c r="AE270" i="3"/>
  <c r="AE271" i="3"/>
  <c r="AE272" i="3"/>
  <c r="AE273" i="3"/>
  <c r="AE274" i="3"/>
  <c r="AE275" i="3"/>
  <c r="AE276" i="3"/>
  <c r="AE277" i="3"/>
  <c r="AE278" i="3"/>
  <c r="AE279" i="3"/>
  <c r="AE280" i="3"/>
  <c r="AE281" i="3"/>
  <c r="AE282" i="3"/>
  <c r="AE283" i="3"/>
  <c r="AE284" i="3"/>
  <c r="AE285" i="3"/>
  <c r="AE286" i="3"/>
  <c r="AE287" i="3"/>
  <c r="AE288" i="3"/>
  <c r="AE289" i="3"/>
  <c r="AE290" i="3"/>
  <c r="AE291" i="3"/>
  <c r="AE292" i="3"/>
  <c r="AE293" i="3"/>
  <c r="AE294" i="3"/>
  <c r="AE295" i="3"/>
  <c r="AE296" i="3"/>
  <c r="AE297" i="3"/>
  <c r="AE298" i="3"/>
  <c r="AE299" i="3"/>
  <c r="AE300" i="3"/>
  <c r="AE301" i="3"/>
  <c r="AE302" i="3"/>
  <c r="AE303" i="3"/>
  <c r="AE304" i="3"/>
  <c r="AE305" i="3"/>
  <c r="AE306" i="3"/>
  <c r="AE307" i="3"/>
  <c r="AE308" i="3"/>
  <c r="AE309" i="3"/>
  <c r="AE310" i="3"/>
  <c r="AE311" i="3"/>
  <c r="AE312" i="3"/>
  <c r="AE313" i="3"/>
  <c r="AE314" i="3"/>
  <c r="AE315" i="3"/>
  <c r="AE316" i="3"/>
  <c r="AE317" i="3"/>
  <c r="AE318" i="3"/>
  <c r="AE319" i="3"/>
  <c r="AE320" i="3"/>
  <c r="AE321" i="3"/>
  <c r="AE322" i="3"/>
  <c r="AE323" i="3"/>
  <c r="AE324" i="3"/>
  <c r="AE325" i="3"/>
  <c r="AE326" i="3"/>
  <c r="AE327" i="3"/>
  <c r="AE328" i="3"/>
  <c r="AE329" i="3"/>
  <c r="AE330" i="3"/>
  <c r="AE331" i="3"/>
  <c r="AE332" i="3"/>
  <c r="AE333" i="3"/>
  <c r="AE334" i="3"/>
  <c r="AE335" i="3"/>
  <c r="AE336" i="3"/>
  <c r="AE337" i="3"/>
  <c r="AE338" i="3"/>
  <c r="AE339" i="3"/>
  <c r="AE340" i="3"/>
  <c r="AE13" i="3"/>
  <c r="L61" i="3" l="1"/>
  <c r="V638" i="2" l="1"/>
  <c r="U638" i="2"/>
  <c r="R638" i="2"/>
  <c r="S638" i="2"/>
  <c r="T638" i="2"/>
  <c r="V605" i="2"/>
  <c r="U605" i="2"/>
  <c r="T605" i="2"/>
  <c r="S605" i="2"/>
  <c r="R605" i="2"/>
  <c r="V572" i="2"/>
  <c r="U572" i="2"/>
  <c r="T572" i="2"/>
  <c r="S572" i="2"/>
  <c r="R572" i="2"/>
  <c r="V539" i="2"/>
  <c r="U539" i="2"/>
  <c r="T539" i="2"/>
  <c r="S539" i="2"/>
  <c r="R539" i="2"/>
  <c r="V506" i="2"/>
  <c r="U506" i="2"/>
  <c r="T506" i="2"/>
  <c r="S506" i="2"/>
  <c r="R506" i="2"/>
  <c r="V473" i="2"/>
  <c r="U473" i="2"/>
  <c r="T473" i="2"/>
  <c r="S473" i="2"/>
  <c r="R473" i="2"/>
  <c r="V440" i="2"/>
  <c r="U440" i="2"/>
  <c r="T440" i="2"/>
  <c r="S440" i="2"/>
  <c r="R440" i="2"/>
  <c r="V407" i="2"/>
  <c r="U407" i="2"/>
  <c r="T407" i="2"/>
  <c r="S407" i="2"/>
  <c r="R407" i="2"/>
  <c r="V374" i="2"/>
  <c r="U374" i="2"/>
  <c r="T374" i="2"/>
  <c r="S374" i="2"/>
  <c r="R374" i="2"/>
  <c r="V341" i="2"/>
  <c r="U341" i="2"/>
  <c r="T341" i="2"/>
  <c r="S341" i="2"/>
  <c r="R341" i="2"/>
  <c r="V308" i="2"/>
  <c r="U308" i="2"/>
  <c r="T308" i="2"/>
  <c r="S308" i="2"/>
  <c r="R308" i="2"/>
  <c r="V143" i="2"/>
  <c r="U143" i="2"/>
  <c r="T143" i="2"/>
  <c r="S143" i="2"/>
  <c r="R143" i="2"/>
  <c r="U176" i="2"/>
  <c r="R176" i="2"/>
  <c r="V176" i="2"/>
  <c r="T176" i="2"/>
  <c r="S176" i="2"/>
  <c r="V209" i="2"/>
  <c r="U209" i="2"/>
  <c r="T209" i="2"/>
  <c r="S209" i="2"/>
  <c r="R209" i="2"/>
  <c r="V242" i="2"/>
  <c r="U242" i="2"/>
  <c r="T242" i="2"/>
  <c r="S242" i="2"/>
  <c r="R242" i="2"/>
  <c r="S275" i="2"/>
  <c r="R275" i="2"/>
  <c r="V163" i="2"/>
  <c r="U163" i="2"/>
  <c r="T163" i="2"/>
  <c r="S163" i="2"/>
  <c r="R163" i="2"/>
  <c r="V161" i="2"/>
  <c r="U161" i="2"/>
  <c r="T161" i="2"/>
  <c r="S161" i="2"/>
  <c r="R161" i="2"/>
  <c r="V130" i="2"/>
  <c r="U130" i="2"/>
  <c r="T130" i="2"/>
  <c r="S130" i="2"/>
  <c r="R130" i="2"/>
  <c r="V128" i="2"/>
  <c r="U128" i="2"/>
  <c r="T128" i="2"/>
  <c r="S128" i="2"/>
  <c r="R128" i="2"/>
  <c r="V97" i="2"/>
  <c r="U97" i="2"/>
  <c r="T97" i="2"/>
  <c r="S97" i="2"/>
  <c r="R97" i="2"/>
  <c r="V95" i="2"/>
  <c r="U95" i="2"/>
  <c r="T95" i="2"/>
  <c r="S95" i="2"/>
  <c r="R95" i="2"/>
  <c r="R64" i="2"/>
  <c r="V64" i="2"/>
  <c r="U64" i="2"/>
  <c r="T64" i="2"/>
  <c r="S64" i="2"/>
  <c r="V62" i="2"/>
  <c r="U62" i="2"/>
  <c r="T62" i="2"/>
  <c r="S62" i="2"/>
  <c r="R62" i="2"/>
  <c r="R29" i="2"/>
  <c r="V29" i="2"/>
  <c r="U29" i="2"/>
  <c r="T29" i="2"/>
  <c r="S29" i="2"/>
  <c r="V31" i="2"/>
  <c r="U31" i="2"/>
  <c r="T31" i="2"/>
  <c r="S31" i="2"/>
  <c r="R31" i="2"/>
  <c r="R274" i="2"/>
  <c r="C90" i="6"/>
  <c r="AH334" i="3"/>
  <c r="L206" i="4"/>
  <c r="L207" i="4"/>
  <c r="L208" i="4"/>
  <c r="L209" i="4"/>
  <c r="L210" i="4"/>
  <c r="L211" i="4"/>
  <c r="L212" i="4"/>
  <c r="H235" i="3"/>
  <c r="I235" i="3"/>
  <c r="J235" i="3"/>
  <c r="K235" i="3"/>
  <c r="M235" i="3" s="1"/>
  <c r="L235" i="3"/>
  <c r="O235" i="3"/>
  <c r="Q235" i="3" s="1"/>
  <c r="P235" i="3"/>
  <c r="R235" i="3" s="1"/>
  <c r="D52" i="3"/>
  <c r="D232" i="3"/>
  <c r="D186" i="3"/>
  <c r="D174" i="3"/>
  <c r="D172" i="3"/>
  <c r="D170" i="3"/>
  <c r="D128" i="3"/>
  <c r="D109" i="3"/>
  <c r="D327" i="3"/>
  <c r="D216" i="3"/>
  <c r="D215" i="3"/>
  <c r="D214" i="3"/>
  <c r="D213" i="3"/>
  <c r="D212" i="3"/>
  <c r="D211" i="3"/>
  <c r="D210" i="3"/>
  <c r="D209" i="3"/>
  <c r="D208" i="3"/>
  <c r="D207" i="3"/>
  <c r="D206" i="3"/>
  <c r="D205" i="3"/>
  <c r="D204" i="3"/>
  <c r="D203" i="3"/>
  <c r="D202" i="3"/>
  <c r="D201" i="3"/>
  <c r="D200" i="3"/>
  <c r="D199" i="3"/>
  <c r="D198" i="3"/>
  <c r="O13" i="2"/>
  <c r="A26" i="2"/>
  <c r="O25" i="2" s="1"/>
  <c r="I340" i="3"/>
  <c r="J340" i="3"/>
  <c r="K340" i="3"/>
  <c r="L340" i="3"/>
  <c r="AC340" i="3" s="1"/>
  <c r="O340" i="3"/>
  <c r="Q340" i="3" s="1"/>
  <c r="P340" i="3"/>
  <c r="Z340" i="3" s="1"/>
  <c r="U340" i="3"/>
  <c r="V340" i="3" s="1"/>
  <c r="W340" i="3"/>
  <c r="X340" i="3"/>
  <c r="AH340" i="3"/>
  <c r="I339" i="3"/>
  <c r="J339" i="3"/>
  <c r="K339" i="3"/>
  <c r="L339" i="3"/>
  <c r="N339" i="3" s="1"/>
  <c r="O339" i="3"/>
  <c r="Q339" i="3" s="1"/>
  <c r="P339" i="3"/>
  <c r="R339" i="3" s="1"/>
  <c r="U339" i="3"/>
  <c r="V339" i="3" s="1"/>
  <c r="W339" i="3"/>
  <c r="X339" i="3"/>
  <c r="AH339" i="3"/>
  <c r="O15" i="2" l="1"/>
  <c r="O23" i="2"/>
  <c r="AF340" i="3"/>
  <c r="N235" i="3"/>
  <c r="AF339" i="3"/>
  <c r="R340" i="3"/>
  <c r="Z339" i="3"/>
  <c r="AC339" i="3"/>
  <c r="AB340" i="3"/>
  <c r="N340" i="3"/>
  <c r="AB339" i="3"/>
  <c r="I334" i="3" l="1"/>
  <c r="J334" i="3"/>
  <c r="K334" i="3"/>
  <c r="L334" i="3"/>
  <c r="O334" i="3"/>
  <c r="Q334" i="3" s="1"/>
  <c r="P334" i="3"/>
  <c r="Z334" i="3" s="1"/>
  <c r="U334" i="3"/>
  <c r="V334" i="3" s="1"/>
  <c r="W334" i="3"/>
  <c r="X334" i="3"/>
  <c r="I335" i="3"/>
  <c r="J335" i="3"/>
  <c r="K335" i="3"/>
  <c r="L335" i="3"/>
  <c r="O335" i="3"/>
  <c r="Q335" i="3" s="1"/>
  <c r="P335" i="3"/>
  <c r="Z335" i="3" s="1"/>
  <c r="U335" i="3"/>
  <c r="V335" i="3" s="1"/>
  <c r="W335" i="3"/>
  <c r="X335" i="3"/>
  <c r="AH335" i="3"/>
  <c r="I336" i="3"/>
  <c r="J336" i="3"/>
  <c r="K336" i="3"/>
  <c r="L336" i="3"/>
  <c r="AC336" i="3" s="1"/>
  <c r="O336" i="3"/>
  <c r="Q336" i="3" s="1"/>
  <c r="P336" i="3"/>
  <c r="Z336" i="3" s="1"/>
  <c r="U336" i="3"/>
  <c r="V336" i="3" s="1"/>
  <c r="W336" i="3"/>
  <c r="X336" i="3"/>
  <c r="AH336" i="3"/>
  <c r="I337" i="3"/>
  <c r="J337" i="3"/>
  <c r="K337" i="3"/>
  <c r="L337" i="3"/>
  <c r="O337" i="3"/>
  <c r="Q337" i="3" s="1"/>
  <c r="P337" i="3"/>
  <c r="Z337" i="3" s="1"/>
  <c r="U337" i="3"/>
  <c r="V337" i="3" s="1"/>
  <c r="W337" i="3"/>
  <c r="X337" i="3"/>
  <c r="AH337" i="3"/>
  <c r="I338" i="3"/>
  <c r="J338" i="3"/>
  <c r="K338" i="3"/>
  <c r="L338" i="3"/>
  <c r="AB338" i="3" s="1"/>
  <c r="O338" i="3"/>
  <c r="Q338" i="3" s="1"/>
  <c r="P338" i="3"/>
  <c r="Z338" i="3" s="1"/>
  <c r="U338" i="3"/>
  <c r="V338" i="3" s="1"/>
  <c r="W338" i="3"/>
  <c r="X338" i="3"/>
  <c r="AH338" i="3"/>
  <c r="AF337" i="3" l="1"/>
  <c r="AC334" i="3"/>
  <c r="AB334" i="3"/>
  <c r="AF334" i="3"/>
  <c r="N336" i="3"/>
  <c r="R337" i="3"/>
  <c r="R338" i="3"/>
  <c r="AB337" i="3"/>
  <c r="AB336" i="3"/>
  <c r="R336" i="3"/>
  <c r="AF335" i="3"/>
  <c r="AF338" i="3"/>
  <c r="AF336" i="3"/>
  <c r="R335" i="3"/>
  <c r="R334" i="3"/>
  <c r="AB335" i="3"/>
  <c r="B1" i="9" l="1"/>
  <c r="B2" i="9" s="1"/>
  <c r="B3" i="9" s="1"/>
  <c r="B4" i="9" s="1"/>
  <c r="B5" i="9" s="1"/>
  <c r="B6" i="9" s="1"/>
  <c r="B7" i="9" s="1"/>
  <c r="B8" i="9" s="1"/>
  <c r="B9" i="9" s="1"/>
  <c r="B10" i="9" s="1"/>
  <c r="B11" i="9" s="1"/>
  <c r="B12" i="9" s="1"/>
  <c r="B13" i="9" s="1"/>
  <c r="B14" i="9" s="1"/>
  <c r="B15" i="9" s="1"/>
  <c r="B16" i="9" s="1"/>
  <c r="B17" i="9" s="1"/>
  <c r="B18" i="9" s="1"/>
  <c r="B19" i="9" s="1"/>
  <c r="B20" i="9" s="1"/>
  <c r="A1" i="9"/>
  <c r="A2" i="9" s="1"/>
  <c r="A3" i="9" s="1"/>
  <c r="A4" i="9" s="1"/>
  <c r="A5" i="9" s="1"/>
  <c r="A6" i="9" s="1"/>
  <c r="A7" i="9" s="1"/>
  <c r="A8" i="9" s="1"/>
  <c r="A9" i="9" s="1"/>
  <c r="A10" i="9" s="1"/>
  <c r="A11" i="9" s="1"/>
  <c r="A12" i="9" s="1"/>
  <c r="A13" i="9" s="1"/>
  <c r="A14" i="9" s="1"/>
  <c r="A15" i="9" s="1"/>
  <c r="A16" i="9" s="1"/>
  <c r="A17" i="9" s="1"/>
  <c r="A18" i="9" s="1"/>
  <c r="A19" i="9" s="1"/>
  <c r="A20" i="9" s="1"/>
  <c r="C9" i="3" l="1"/>
  <c r="C34" i="8"/>
  <c r="B34" i="8"/>
  <c r="I6" i="8"/>
  <c r="I12" i="8"/>
  <c r="G23" i="8" s="1"/>
  <c r="H12" i="8"/>
  <c r="G12" i="8"/>
  <c r="F12" i="8"/>
  <c r="F27" i="8" s="1"/>
  <c r="E12" i="8"/>
  <c r="H340" i="3" l="1"/>
  <c r="M340" i="3" s="1"/>
  <c r="Y340" i="3" s="1"/>
  <c r="H339" i="3"/>
  <c r="M339" i="3" s="1"/>
  <c r="Y339" i="3" s="1"/>
  <c r="AD339" i="3" s="1"/>
  <c r="AA339" i="3" s="1"/>
  <c r="H334" i="3"/>
  <c r="H335" i="3"/>
  <c r="H336" i="3"/>
  <c r="M336" i="3" s="1"/>
  <c r="Y336" i="3" s="1"/>
  <c r="H337" i="3"/>
  <c r="H338" i="3"/>
  <c r="F23" i="8"/>
  <c r="K23" i="8"/>
  <c r="J23" i="8"/>
  <c r="I23" i="8"/>
  <c r="H23" i="8"/>
  <c r="N337" i="3" l="1"/>
  <c r="M337" i="3"/>
  <c r="N338" i="3"/>
  <c r="M338" i="3"/>
  <c r="N334" i="3"/>
  <c r="M334" i="3"/>
  <c r="AD336" i="3"/>
  <c r="AA336" i="3" s="1"/>
  <c r="M335" i="3"/>
  <c r="N335" i="3"/>
  <c r="AD340" i="3"/>
  <c r="AA340" i="3" s="1"/>
  <c r="AC20" i="2"/>
  <c r="AC19" i="2"/>
  <c r="B49" i="6" s="1"/>
  <c r="R22" i="2"/>
  <c r="Y338" i="3" l="1"/>
  <c r="AC338" i="3" s="1"/>
  <c r="AD338" i="3" s="1"/>
  <c r="AA338" i="3" s="1"/>
  <c r="Y337" i="3"/>
  <c r="AC337" i="3" s="1"/>
  <c r="AD337" i="3" s="1"/>
  <c r="AA337" i="3" s="1"/>
  <c r="Y334" i="3"/>
  <c r="Y335" i="3"/>
  <c r="AC335" i="3" s="1"/>
  <c r="AD335" i="3" s="1"/>
  <c r="AA335" i="3" s="1"/>
  <c r="AD334" i="3" l="1"/>
  <c r="AA334" i="3" s="1"/>
  <c r="L192" i="4"/>
  <c r="L193" i="4"/>
  <c r="L194" i="4"/>
  <c r="L195" i="4"/>
  <c r="L196" i="4"/>
  <c r="L197" i="4"/>
  <c r="L198" i="4"/>
  <c r="L199" i="4"/>
  <c r="L200" i="4"/>
  <c r="L201" i="4"/>
  <c r="L202" i="4"/>
  <c r="L203" i="4"/>
  <c r="L204" i="4"/>
  <c r="L205" i="4"/>
  <c r="I96" i="3" l="1"/>
  <c r="L191" i="4" l="1"/>
  <c r="L190" i="4"/>
  <c r="L189" i="4"/>
  <c r="L188" i="4"/>
  <c r="L187" i="4"/>
  <c r="L186" i="4"/>
  <c r="L185" i="4"/>
  <c r="L184" i="4"/>
  <c r="L183" i="4"/>
  <c r="L182" i="4"/>
  <c r="L181" i="4"/>
  <c r="L180" i="4"/>
  <c r="L179" i="4"/>
  <c r="L178" i="4"/>
  <c r="L177" i="4"/>
  <c r="L176" i="4"/>
  <c r="L175" i="4"/>
  <c r="L174" i="4"/>
  <c r="L173" i="4"/>
  <c r="L172" i="4"/>
  <c r="L171" i="4"/>
  <c r="L170" i="4"/>
  <c r="L169" i="4"/>
  <c r="L168" i="4"/>
  <c r="L167" i="4"/>
  <c r="L166" i="4"/>
  <c r="L165" i="4"/>
  <c r="L164" i="4"/>
  <c r="L163" i="4"/>
  <c r="L162" i="4"/>
  <c r="L161" i="4"/>
  <c r="L160" i="4"/>
  <c r="L159" i="4"/>
  <c r="L158" i="4"/>
  <c r="L157" i="4"/>
  <c r="L156" i="4"/>
  <c r="L155" i="4"/>
  <c r="L154" i="4"/>
  <c r="L153" i="4"/>
  <c r="L152" i="4"/>
  <c r="L151" i="4"/>
  <c r="L150" i="4"/>
  <c r="L149" i="4"/>
  <c r="L148" i="4"/>
  <c r="L147" i="4"/>
  <c r="L146" i="4"/>
  <c r="L145" i="4"/>
  <c r="L144" i="4"/>
  <c r="L143" i="4"/>
  <c r="L142" i="4"/>
  <c r="L141" i="4"/>
  <c r="L140" i="4"/>
  <c r="L139" i="4"/>
  <c r="L138" i="4"/>
  <c r="L137" i="4"/>
  <c r="L136" i="4"/>
  <c r="L135" i="4"/>
  <c r="L134" i="4"/>
  <c r="L133" i="4"/>
  <c r="L132" i="4"/>
  <c r="L131" i="4"/>
  <c r="L130" i="4"/>
  <c r="L129" i="4"/>
  <c r="L128" i="4"/>
  <c r="L127" i="4"/>
  <c r="L126" i="4"/>
  <c r="L125" i="4"/>
  <c r="L124" i="4"/>
  <c r="L123" i="4"/>
  <c r="L122" i="4"/>
  <c r="L121" i="4"/>
  <c r="L120" i="4"/>
  <c r="L119" i="4"/>
  <c r="L118" i="4"/>
  <c r="L117" i="4"/>
  <c r="L116" i="4"/>
  <c r="L115" i="4"/>
  <c r="L114" i="4"/>
  <c r="L113" i="4"/>
  <c r="L112" i="4"/>
  <c r="L111" i="4"/>
  <c r="L110" i="4"/>
  <c r="L109" i="4"/>
  <c r="L108" i="4"/>
  <c r="L107" i="4"/>
  <c r="L106" i="4"/>
  <c r="L105" i="4"/>
  <c r="L104" i="4"/>
  <c r="L103" i="4"/>
  <c r="L102" i="4"/>
  <c r="L101" i="4"/>
  <c r="L100" i="4"/>
  <c r="L99" i="4"/>
  <c r="L98" i="4"/>
  <c r="L97" i="4"/>
  <c r="L96" i="4"/>
  <c r="L95" i="4"/>
  <c r="L94" i="4"/>
  <c r="L93" i="4"/>
  <c r="L92" i="4"/>
  <c r="L91" i="4"/>
  <c r="L90" i="4"/>
  <c r="L89" i="4"/>
  <c r="L88" i="4"/>
  <c r="L87" i="4"/>
  <c r="L86" i="4"/>
  <c r="L85" i="4"/>
  <c r="L84" i="4"/>
  <c r="L83" i="4"/>
  <c r="L82" i="4"/>
  <c r="L81" i="4"/>
  <c r="L80" i="4"/>
  <c r="L79" i="4"/>
  <c r="L78" i="4"/>
  <c r="L77" i="4"/>
  <c r="L76" i="4"/>
  <c r="L75" i="4"/>
  <c r="L74" i="4"/>
  <c r="L73" i="4"/>
  <c r="L72" i="4"/>
  <c r="L71" i="4"/>
  <c r="L70" i="4"/>
  <c r="L69" i="4"/>
  <c r="L68" i="4"/>
  <c r="L67" i="4"/>
  <c r="L66" i="4"/>
  <c r="L65" i="4"/>
  <c r="L64" i="4"/>
  <c r="L63" i="4"/>
  <c r="L62" i="4"/>
  <c r="L61" i="4"/>
  <c r="L60" i="4"/>
  <c r="L59" i="4"/>
  <c r="L58" i="4"/>
  <c r="L57" i="4"/>
  <c r="L56" i="4"/>
  <c r="L55" i="4"/>
  <c r="L54" i="4"/>
  <c r="L53" i="4"/>
  <c r="L52" i="4"/>
  <c r="L51" i="4"/>
  <c r="L50" i="4"/>
  <c r="L49" i="4"/>
  <c r="L48" i="4"/>
  <c r="L47" i="4"/>
  <c r="L46" i="4"/>
  <c r="L45" i="4"/>
  <c r="L44" i="4"/>
  <c r="L43" i="4"/>
  <c r="L42" i="4"/>
  <c r="L41" i="4"/>
  <c r="L40" i="4"/>
  <c r="L39" i="4"/>
  <c r="L38" i="4"/>
  <c r="L37" i="4"/>
  <c r="L36" i="4"/>
  <c r="L35" i="4"/>
  <c r="L34" i="4"/>
  <c r="L33" i="4"/>
  <c r="L32" i="4"/>
  <c r="L31" i="4"/>
  <c r="L30" i="4"/>
  <c r="L29" i="4"/>
  <c r="L28" i="4"/>
  <c r="L27" i="4"/>
  <c r="L26" i="4"/>
  <c r="L25" i="4"/>
  <c r="L24" i="4"/>
  <c r="L23" i="4"/>
  <c r="L22" i="4"/>
  <c r="L21" i="4"/>
  <c r="L20" i="4"/>
  <c r="L19" i="4"/>
  <c r="L18" i="4"/>
  <c r="L17" i="4"/>
  <c r="L16" i="4"/>
  <c r="L15" i="4"/>
  <c r="L14" i="4"/>
  <c r="L13" i="4"/>
  <c r="L12" i="4"/>
  <c r="L11" i="4"/>
  <c r="L10" i="4"/>
  <c r="L9" i="4"/>
  <c r="L8" i="4"/>
  <c r="L7" i="4"/>
  <c r="L6" i="4"/>
  <c r="L4" i="4"/>
  <c r="L3" i="4"/>
  <c r="L5" i="4"/>
  <c r="I332" i="3" l="1"/>
  <c r="J332" i="3"/>
  <c r="K332" i="3"/>
  <c r="L332" i="3"/>
  <c r="AB332" i="3" s="1"/>
  <c r="O332" i="3"/>
  <c r="Q332" i="3" s="1"/>
  <c r="P332" i="3"/>
  <c r="R332" i="3" s="1"/>
  <c r="U332" i="3"/>
  <c r="V332" i="3" s="1"/>
  <c r="W332" i="3"/>
  <c r="X332" i="3"/>
  <c r="AH332" i="3"/>
  <c r="I333" i="3"/>
  <c r="J333" i="3"/>
  <c r="K333" i="3"/>
  <c r="L333" i="3"/>
  <c r="AB333" i="3" s="1"/>
  <c r="O333" i="3"/>
  <c r="Q333" i="3" s="1"/>
  <c r="P333" i="3"/>
  <c r="Z333" i="3" s="1"/>
  <c r="U333" i="3"/>
  <c r="V333" i="3" s="1"/>
  <c r="W333" i="3"/>
  <c r="X333" i="3"/>
  <c r="AH333" i="3"/>
  <c r="AF333" i="3" l="1"/>
  <c r="R333" i="3"/>
  <c r="Z332" i="3"/>
  <c r="AF332" i="3"/>
  <c r="I331" i="3" l="1"/>
  <c r="J331" i="3"/>
  <c r="K331" i="3"/>
  <c r="L331" i="3"/>
  <c r="AB331" i="3" s="1"/>
  <c r="O331" i="3"/>
  <c r="Q331" i="3" s="1"/>
  <c r="P331" i="3"/>
  <c r="R331" i="3" s="1"/>
  <c r="U331" i="3"/>
  <c r="V331" i="3" s="1"/>
  <c r="W331" i="3"/>
  <c r="X331" i="3"/>
  <c r="AH331" i="3"/>
  <c r="AF331" i="3" l="1"/>
  <c r="Z331" i="3"/>
  <c r="I329" i="3"/>
  <c r="J329" i="3"/>
  <c r="K329" i="3"/>
  <c r="L329" i="3"/>
  <c r="O329" i="3"/>
  <c r="Q329" i="3" s="1"/>
  <c r="P329" i="3"/>
  <c r="Z329" i="3" s="1"/>
  <c r="U329" i="3"/>
  <c r="V329" i="3" s="1"/>
  <c r="W329" i="3"/>
  <c r="X329" i="3"/>
  <c r="AH329" i="3"/>
  <c r="I330" i="3"/>
  <c r="J330" i="3"/>
  <c r="K330" i="3"/>
  <c r="O330" i="3" s="1"/>
  <c r="Q330" i="3" s="1"/>
  <c r="L330" i="3"/>
  <c r="P330" i="3" s="1"/>
  <c r="R330" i="3" s="1"/>
  <c r="U330" i="3"/>
  <c r="V330" i="3" s="1"/>
  <c r="X330" i="3"/>
  <c r="AH330" i="3"/>
  <c r="W330" i="3" l="1"/>
  <c r="AF329" i="3"/>
  <c r="R329" i="3"/>
  <c r="AF330" i="3"/>
  <c r="Z330" i="3"/>
  <c r="AB330" i="3" s="1"/>
  <c r="AB329" i="3"/>
  <c r="I322" i="3" l="1"/>
  <c r="J322" i="3"/>
  <c r="K322" i="3"/>
  <c r="O322" i="3" s="1"/>
  <c r="Q322" i="3" s="1"/>
  <c r="L322" i="3"/>
  <c r="U322" i="3"/>
  <c r="V322" i="3" s="1"/>
  <c r="W322" i="3"/>
  <c r="X322" i="3"/>
  <c r="AH322" i="3"/>
  <c r="I323" i="3"/>
  <c r="J323" i="3"/>
  <c r="K323" i="3"/>
  <c r="O323" i="3" s="1"/>
  <c r="Q323" i="3" s="1"/>
  <c r="L323" i="3"/>
  <c r="P323" i="3" s="1"/>
  <c r="U323" i="3"/>
  <c r="W323" i="3" s="1"/>
  <c r="X323" i="3"/>
  <c r="AH323" i="3"/>
  <c r="I324" i="3"/>
  <c r="J324" i="3"/>
  <c r="K324" i="3"/>
  <c r="O324" i="3" s="1"/>
  <c r="Q324" i="3" s="1"/>
  <c r="L324" i="3"/>
  <c r="AC324" i="3" s="1"/>
  <c r="M324" i="3"/>
  <c r="N324" i="3"/>
  <c r="Y324" i="3" s="1"/>
  <c r="U324" i="3"/>
  <c r="W324" i="3" s="1"/>
  <c r="V324" i="3"/>
  <c r="X324" i="3"/>
  <c r="AH324" i="3"/>
  <c r="I325" i="3"/>
  <c r="J325" i="3"/>
  <c r="K325" i="3"/>
  <c r="L325" i="3"/>
  <c r="O325" i="3"/>
  <c r="Q325" i="3" s="1"/>
  <c r="P325" i="3"/>
  <c r="Z325" i="3" s="1"/>
  <c r="U325" i="3"/>
  <c r="W325" i="3" s="1"/>
  <c r="X325" i="3"/>
  <c r="AH325" i="3"/>
  <c r="I326" i="3"/>
  <c r="J326" i="3"/>
  <c r="K326" i="3"/>
  <c r="O326" i="3" s="1"/>
  <c r="Q326" i="3" s="1"/>
  <c r="L326" i="3"/>
  <c r="P326" i="3" s="1"/>
  <c r="U326" i="3"/>
  <c r="W326" i="3" s="1"/>
  <c r="X326" i="3"/>
  <c r="AH326" i="3"/>
  <c r="I327" i="3"/>
  <c r="J327" i="3"/>
  <c r="K327" i="3"/>
  <c r="L327" i="3"/>
  <c r="O327" i="3"/>
  <c r="Q327" i="3" s="1"/>
  <c r="P327" i="3"/>
  <c r="R327" i="3" s="1"/>
  <c r="U327" i="3"/>
  <c r="W327" i="3" s="1"/>
  <c r="X327" i="3"/>
  <c r="AH327" i="3"/>
  <c r="I328" i="3"/>
  <c r="J328" i="3"/>
  <c r="K328" i="3"/>
  <c r="L328" i="3"/>
  <c r="O328" i="3"/>
  <c r="Q328" i="3" s="1"/>
  <c r="P328" i="3"/>
  <c r="Z328" i="3" s="1"/>
  <c r="U328" i="3"/>
  <c r="W328" i="3" s="1"/>
  <c r="X328" i="3"/>
  <c r="AH328" i="3"/>
  <c r="AF327" i="3" l="1"/>
  <c r="AF328" i="3"/>
  <c r="R325" i="3"/>
  <c r="AF325" i="3"/>
  <c r="P324" i="3"/>
  <c r="R324" i="3" s="1"/>
  <c r="V323" i="3"/>
  <c r="V328" i="3"/>
  <c r="R328" i="3"/>
  <c r="AB328" i="3"/>
  <c r="V327" i="3"/>
  <c r="V326" i="3"/>
  <c r="V325" i="3"/>
  <c r="AB325" i="3"/>
  <c r="AD324" i="3"/>
  <c r="AF324" i="3"/>
  <c r="Z323" i="3"/>
  <c r="AB323" i="3" s="1"/>
  <c r="AF323" i="3"/>
  <c r="R326" i="3"/>
  <c r="Z326" i="3"/>
  <c r="R323" i="3"/>
  <c r="AB326" i="3"/>
  <c r="AF322" i="3"/>
  <c r="P322" i="3"/>
  <c r="Z327" i="3"/>
  <c r="AB327" i="3" s="1"/>
  <c r="AF326" i="3"/>
  <c r="I321" i="3"/>
  <c r="J321" i="3"/>
  <c r="K321" i="3"/>
  <c r="O321" i="3" s="1"/>
  <c r="Q321" i="3" s="1"/>
  <c r="L321" i="3"/>
  <c r="U321" i="3"/>
  <c r="V321" i="3" s="1"/>
  <c r="X321" i="3"/>
  <c r="AH321" i="3"/>
  <c r="I318" i="3"/>
  <c r="J318" i="3"/>
  <c r="K318" i="3"/>
  <c r="L318" i="3"/>
  <c r="AB318" i="3" s="1"/>
  <c r="O318" i="3"/>
  <c r="Q318" i="3" s="1"/>
  <c r="P318" i="3"/>
  <c r="Z318" i="3" s="1"/>
  <c r="U318" i="3"/>
  <c r="V318" i="3" s="1"/>
  <c r="W318" i="3"/>
  <c r="X318" i="3"/>
  <c r="AH318" i="3"/>
  <c r="I319" i="3"/>
  <c r="J319" i="3"/>
  <c r="K319" i="3"/>
  <c r="L319" i="3"/>
  <c r="O319" i="3"/>
  <c r="Q319" i="3" s="1"/>
  <c r="P319" i="3"/>
  <c r="Z319" i="3" s="1"/>
  <c r="U319" i="3"/>
  <c r="V319" i="3" s="1"/>
  <c r="W319" i="3"/>
  <c r="X319" i="3"/>
  <c r="AH319" i="3"/>
  <c r="I320" i="3"/>
  <c r="J320" i="3"/>
  <c r="K320" i="3"/>
  <c r="L320" i="3"/>
  <c r="O320" i="3"/>
  <c r="Q320" i="3" s="1"/>
  <c r="P320" i="3"/>
  <c r="Z320" i="3" s="1"/>
  <c r="U320" i="3"/>
  <c r="V320" i="3" s="1"/>
  <c r="W320" i="3"/>
  <c r="X320" i="3"/>
  <c r="AH320" i="3"/>
  <c r="AF319" i="3" l="1"/>
  <c r="AF320" i="3"/>
  <c r="Z324" i="3"/>
  <c r="AB324" i="3" s="1"/>
  <c r="Z322" i="3"/>
  <c r="AB322" i="3" s="1"/>
  <c r="R322" i="3"/>
  <c r="W321" i="3"/>
  <c r="P321" i="3"/>
  <c r="Z321" i="3" s="1"/>
  <c r="AB321" i="3" s="1"/>
  <c r="R320" i="3"/>
  <c r="R319" i="3"/>
  <c r="AF318" i="3"/>
  <c r="AB320" i="3"/>
  <c r="AB319" i="3"/>
  <c r="AF321" i="3"/>
  <c r="R318" i="3"/>
  <c r="I317" i="3"/>
  <c r="J317" i="3"/>
  <c r="K317" i="3"/>
  <c r="L317" i="3"/>
  <c r="O317" i="3"/>
  <c r="Q317" i="3" s="1"/>
  <c r="P317" i="3"/>
  <c r="R317" i="3" s="1"/>
  <c r="U317" i="3"/>
  <c r="V317" i="3" s="1"/>
  <c r="W317" i="3"/>
  <c r="X317" i="3"/>
  <c r="AH317" i="3"/>
  <c r="AA324" i="3" l="1"/>
  <c r="AF317" i="3"/>
  <c r="Z317" i="3"/>
  <c r="R321" i="3"/>
  <c r="AB317" i="3"/>
  <c r="I312" i="3" l="1"/>
  <c r="J312" i="3"/>
  <c r="K312" i="3"/>
  <c r="L312" i="3"/>
  <c r="O312" i="3"/>
  <c r="Q312" i="3" s="1"/>
  <c r="P312" i="3"/>
  <c r="Z312" i="3" s="1"/>
  <c r="U312" i="3"/>
  <c r="V312" i="3" s="1"/>
  <c r="W312" i="3"/>
  <c r="X312" i="3"/>
  <c r="AH312" i="3"/>
  <c r="I313" i="3"/>
  <c r="J313" i="3"/>
  <c r="K313" i="3"/>
  <c r="L313" i="3"/>
  <c r="O313" i="3"/>
  <c r="Q313" i="3" s="1"/>
  <c r="P313" i="3"/>
  <c r="Z313" i="3" s="1"/>
  <c r="U313" i="3"/>
  <c r="V313" i="3" s="1"/>
  <c r="W313" i="3"/>
  <c r="X313" i="3"/>
  <c r="AH313" i="3"/>
  <c r="I314" i="3"/>
  <c r="J314" i="3"/>
  <c r="K314" i="3"/>
  <c r="L314" i="3"/>
  <c r="AB314" i="3" s="1"/>
  <c r="O314" i="3"/>
  <c r="Q314" i="3" s="1"/>
  <c r="P314" i="3"/>
  <c r="Z314" i="3" s="1"/>
  <c r="U314" i="3"/>
  <c r="V314" i="3" s="1"/>
  <c r="W314" i="3"/>
  <c r="X314" i="3"/>
  <c r="AH314" i="3"/>
  <c r="I315" i="3"/>
  <c r="J315" i="3"/>
  <c r="K315" i="3"/>
  <c r="L315" i="3"/>
  <c r="O315" i="3"/>
  <c r="Q315" i="3" s="1"/>
  <c r="P315" i="3"/>
  <c r="Z315" i="3" s="1"/>
  <c r="U315" i="3"/>
  <c r="V315" i="3" s="1"/>
  <c r="W315" i="3"/>
  <c r="X315" i="3"/>
  <c r="AH315" i="3"/>
  <c r="I316" i="3"/>
  <c r="J316" i="3"/>
  <c r="K316" i="3"/>
  <c r="L316" i="3"/>
  <c r="O316" i="3"/>
  <c r="Q316" i="3" s="1"/>
  <c r="P316" i="3"/>
  <c r="Z316" i="3" s="1"/>
  <c r="U316" i="3"/>
  <c r="V316" i="3" s="1"/>
  <c r="W316" i="3"/>
  <c r="X316" i="3"/>
  <c r="AH316" i="3"/>
  <c r="AF316" i="3" l="1"/>
  <c r="AF315" i="3"/>
  <c r="R313" i="3"/>
  <c r="AB315" i="3"/>
  <c r="R315" i="3"/>
  <c r="AF313" i="3"/>
  <c r="AB316" i="3"/>
  <c r="AF314" i="3"/>
  <c r="R316" i="3"/>
  <c r="R314" i="3"/>
  <c r="AF312" i="3"/>
  <c r="R312" i="3"/>
  <c r="AB313" i="3"/>
  <c r="AB312" i="3"/>
  <c r="I309" i="3"/>
  <c r="J309" i="3"/>
  <c r="K309" i="3"/>
  <c r="L309" i="3"/>
  <c r="U309" i="3"/>
  <c r="V309" i="3" s="1"/>
  <c r="X309" i="3"/>
  <c r="AH309" i="3"/>
  <c r="I310" i="3"/>
  <c r="J310" i="3"/>
  <c r="K310" i="3"/>
  <c r="L310" i="3"/>
  <c r="AB310" i="3" s="1"/>
  <c r="O310" i="3"/>
  <c r="Q310" i="3" s="1"/>
  <c r="P310" i="3"/>
  <c r="Z310" i="3" s="1"/>
  <c r="U310" i="3"/>
  <c r="V310" i="3" s="1"/>
  <c r="W310" i="3"/>
  <c r="X310" i="3"/>
  <c r="AH310" i="3"/>
  <c r="I311" i="3"/>
  <c r="J311" i="3"/>
  <c r="K311" i="3"/>
  <c r="L311" i="3"/>
  <c r="AB311" i="3" s="1"/>
  <c r="O311" i="3"/>
  <c r="Q311" i="3" s="1"/>
  <c r="P311" i="3"/>
  <c r="Z311" i="3" s="1"/>
  <c r="U311" i="3"/>
  <c r="V311" i="3" s="1"/>
  <c r="W311" i="3"/>
  <c r="X311" i="3"/>
  <c r="AH311" i="3"/>
  <c r="O309" i="3" l="1"/>
  <c r="Q309" i="3" s="1"/>
  <c r="R310" i="3"/>
  <c r="W309" i="3"/>
  <c r="P309" i="3"/>
  <c r="AF311" i="3"/>
  <c r="AF310" i="3"/>
  <c r="R311" i="3"/>
  <c r="AF309" i="3"/>
  <c r="I306" i="3"/>
  <c r="J306" i="3"/>
  <c r="K306" i="3"/>
  <c r="L306" i="3"/>
  <c r="O306" i="3"/>
  <c r="Q306" i="3" s="1"/>
  <c r="P306" i="3"/>
  <c r="R306" i="3" s="1"/>
  <c r="U306" i="3"/>
  <c r="V306" i="3" s="1"/>
  <c r="W306" i="3"/>
  <c r="X306" i="3"/>
  <c r="AH306" i="3"/>
  <c r="I307" i="3"/>
  <c r="J307" i="3"/>
  <c r="K307" i="3"/>
  <c r="L307" i="3"/>
  <c r="AB307" i="3" s="1"/>
  <c r="O307" i="3"/>
  <c r="Q307" i="3" s="1"/>
  <c r="P307" i="3"/>
  <c r="Z307" i="3" s="1"/>
  <c r="U307" i="3"/>
  <c r="V307" i="3" s="1"/>
  <c r="W307" i="3"/>
  <c r="X307" i="3"/>
  <c r="AH307" i="3"/>
  <c r="I308" i="3"/>
  <c r="J308" i="3"/>
  <c r="K308" i="3"/>
  <c r="L308" i="3"/>
  <c r="AB308" i="3" s="1"/>
  <c r="O308" i="3"/>
  <c r="Q308" i="3" s="1"/>
  <c r="P308" i="3"/>
  <c r="Z308" i="3" s="1"/>
  <c r="U308" i="3"/>
  <c r="V308" i="3" s="1"/>
  <c r="W308" i="3"/>
  <c r="X308" i="3"/>
  <c r="AH308" i="3"/>
  <c r="AF307" i="3" l="1"/>
  <c r="AF308" i="3"/>
  <c r="R309" i="3"/>
  <c r="Z309" i="3"/>
  <c r="AB309" i="3" s="1"/>
  <c r="R307" i="3"/>
  <c r="Z306" i="3"/>
  <c r="R308" i="3"/>
  <c r="AF306" i="3"/>
  <c r="AB306" i="3"/>
  <c r="I305" i="3"/>
  <c r="J305" i="3"/>
  <c r="K305" i="3"/>
  <c r="L305" i="3"/>
  <c r="O305" i="3"/>
  <c r="Q305" i="3" s="1"/>
  <c r="P305" i="3"/>
  <c r="R305" i="3" s="1"/>
  <c r="U305" i="3"/>
  <c r="V305" i="3" s="1"/>
  <c r="W305" i="3"/>
  <c r="X305" i="3"/>
  <c r="AH305" i="3"/>
  <c r="Z305" i="3" l="1"/>
  <c r="AF305" i="3"/>
  <c r="AB305" i="3"/>
  <c r="I304" i="3"/>
  <c r="J304" i="3"/>
  <c r="K304" i="3"/>
  <c r="L304" i="3"/>
  <c r="AB304" i="3" s="1"/>
  <c r="O304" i="3"/>
  <c r="Q304" i="3" s="1"/>
  <c r="P304" i="3"/>
  <c r="R304" i="3" s="1"/>
  <c r="U304" i="3"/>
  <c r="V304" i="3" s="1"/>
  <c r="W304" i="3"/>
  <c r="X304" i="3"/>
  <c r="AH304" i="3"/>
  <c r="Z304" i="3" l="1"/>
  <c r="AF304" i="3"/>
  <c r="I302" i="3"/>
  <c r="J302" i="3"/>
  <c r="K302" i="3"/>
  <c r="L302" i="3"/>
  <c r="AB302" i="3" s="1"/>
  <c r="O302" i="3"/>
  <c r="Q302" i="3" s="1"/>
  <c r="P302" i="3"/>
  <c r="R302" i="3" s="1"/>
  <c r="U302" i="3"/>
  <c r="V302" i="3" s="1"/>
  <c r="W302" i="3"/>
  <c r="X302" i="3"/>
  <c r="AH302" i="3"/>
  <c r="I303" i="3"/>
  <c r="J303" i="3"/>
  <c r="K303" i="3"/>
  <c r="L303" i="3"/>
  <c r="AB303" i="3" s="1"/>
  <c r="O303" i="3"/>
  <c r="Q303" i="3" s="1"/>
  <c r="P303" i="3"/>
  <c r="R303" i="3" s="1"/>
  <c r="U303" i="3"/>
  <c r="V303" i="3" s="1"/>
  <c r="W303" i="3"/>
  <c r="X303" i="3"/>
  <c r="AH303" i="3"/>
  <c r="AF303" i="3" l="1"/>
  <c r="Z302" i="3"/>
  <c r="Z303" i="3"/>
  <c r="AF302" i="3"/>
  <c r="R10" i="7"/>
  <c r="B470" i="7"/>
  <c r="R22" i="7" s="1"/>
  <c r="B635" i="7"/>
  <c r="R27" i="7" s="1"/>
  <c r="B602" i="7"/>
  <c r="R26" i="7" s="1"/>
  <c r="B569" i="7"/>
  <c r="R25" i="7" s="1"/>
  <c r="B536" i="7"/>
  <c r="R24" i="7" s="1"/>
  <c r="B503" i="7"/>
  <c r="R23" i="7" s="1"/>
  <c r="B437" i="7"/>
  <c r="R21" i="7" s="1"/>
  <c r="B404" i="7"/>
  <c r="R20" i="7" s="1"/>
  <c r="B371" i="7"/>
  <c r="R19" i="7" s="1"/>
  <c r="B338" i="7"/>
  <c r="R18" i="7" s="1"/>
  <c r="B305" i="7"/>
  <c r="R17" i="7" s="1"/>
  <c r="B272" i="7"/>
  <c r="R16" i="7" s="1"/>
  <c r="B239" i="7"/>
  <c r="R15" i="7" s="1"/>
  <c r="B206" i="7"/>
  <c r="R14" i="7" s="1"/>
  <c r="B173" i="7"/>
  <c r="R13" i="7" s="1"/>
  <c r="B140" i="7"/>
  <c r="R12" i="7" s="1"/>
  <c r="B107" i="7"/>
  <c r="R11" i="7" s="1"/>
  <c r="B41" i="7"/>
  <c r="R9" i="7" s="1"/>
  <c r="N659" i="7"/>
  <c r="N626" i="7"/>
  <c r="N593" i="7"/>
  <c r="N560" i="7"/>
  <c r="N527" i="7"/>
  <c r="N494" i="7"/>
  <c r="N461" i="7"/>
  <c r="N428" i="7"/>
  <c r="N395" i="7"/>
  <c r="N362" i="7"/>
  <c r="N329" i="7"/>
  <c r="N296" i="7"/>
  <c r="N263" i="7"/>
  <c r="N230" i="7"/>
  <c r="N197" i="7"/>
  <c r="N164" i="7"/>
  <c r="N131" i="7"/>
  <c r="N98" i="7"/>
  <c r="N65" i="7"/>
  <c r="N32" i="7"/>
  <c r="I33" i="7"/>
  <c r="I32" i="7"/>
  <c r="I31" i="7"/>
  <c r="I30" i="7"/>
  <c r="A26" i="7"/>
  <c r="A59" i="7" s="1"/>
  <c r="A92" i="7" s="1"/>
  <c r="A125" i="7" s="1"/>
  <c r="A158" i="7" s="1"/>
  <c r="A191" i="7" s="1"/>
  <c r="A224" i="7" s="1"/>
  <c r="A257" i="7" s="1"/>
  <c r="A290" i="7" s="1"/>
  <c r="A323" i="7" s="1"/>
  <c r="A356" i="7" s="1"/>
  <c r="A389" i="7" s="1"/>
  <c r="A422" i="7" s="1"/>
  <c r="A455" i="7" s="1"/>
  <c r="A488" i="7" s="1"/>
  <c r="A521" i="7" s="1"/>
  <c r="A554" i="7" s="1"/>
  <c r="A587" i="7" s="1"/>
  <c r="A620" i="7" s="1"/>
  <c r="A653" i="7" s="1"/>
  <c r="H18" i="7"/>
  <c r="H51" i="7" s="1"/>
  <c r="H84" i="7" s="1"/>
  <c r="H117" i="7" s="1"/>
  <c r="H150" i="7" s="1"/>
  <c r="H183" i="7" s="1"/>
  <c r="H216" i="7" s="1"/>
  <c r="H249" i="7" s="1"/>
  <c r="H282" i="7" s="1"/>
  <c r="H315" i="7" s="1"/>
  <c r="H348" i="7" s="1"/>
  <c r="H381" i="7" s="1"/>
  <c r="H414" i="7" s="1"/>
  <c r="H447" i="7" s="1"/>
  <c r="H480" i="7" s="1"/>
  <c r="H513" i="7" s="1"/>
  <c r="H546" i="7" s="1"/>
  <c r="H579" i="7" s="1"/>
  <c r="H612" i="7" s="1"/>
  <c r="H645" i="7" s="1"/>
  <c r="A18" i="7"/>
  <c r="A51" i="7" s="1"/>
  <c r="A84" i="7" s="1"/>
  <c r="A117" i="7" s="1"/>
  <c r="A150" i="7" s="1"/>
  <c r="A183" i="7" s="1"/>
  <c r="A216" i="7" s="1"/>
  <c r="A249" i="7" s="1"/>
  <c r="A282" i="7" s="1"/>
  <c r="A315" i="7" s="1"/>
  <c r="A348" i="7" s="1"/>
  <c r="A381" i="7" s="1"/>
  <c r="A414" i="7" s="1"/>
  <c r="A447" i="7" s="1"/>
  <c r="A480" i="7" s="1"/>
  <c r="A513" i="7" s="1"/>
  <c r="A546" i="7" s="1"/>
  <c r="A579" i="7" s="1"/>
  <c r="A612" i="7" s="1"/>
  <c r="A645" i="7" s="1"/>
  <c r="H10" i="7"/>
  <c r="H43" i="7" s="1"/>
  <c r="H76" i="7" s="1"/>
  <c r="H109" i="7" s="1"/>
  <c r="H142" i="7" s="1"/>
  <c r="H175" i="7" s="1"/>
  <c r="H208" i="7" s="1"/>
  <c r="H241" i="7" s="1"/>
  <c r="H274" i="7" s="1"/>
  <c r="H307" i="7" s="1"/>
  <c r="H340" i="7" s="1"/>
  <c r="H373" i="7" s="1"/>
  <c r="H406" i="7" s="1"/>
  <c r="H439" i="7" s="1"/>
  <c r="H472" i="7" s="1"/>
  <c r="H505" i="7" s="1"/>
  <c r="H538" i="7" s="1"/>
  <c r="H571" i="7" s="1"/>
  <c r="H604" i="7" s="1"/>
  <c r="H637" i="7" s="1"/>
  <c r="A10" i="7"/>
  <c r="A43" i="7" s="1"/>
  <c r="A76" i="7" s="1"/>
  <c r="A109" i="7" s="1"/>
  <c r="A142" i="7" s="1"/>
  <c r="A175" i="7" s="1"/>
  <c r="A208" i="7" s="1"/>
  <c r="A241" i="7" s="1"/>
  <c r="A274" i="7" s="1"/>
  <c r="A307" i="7" s="1"/>
  <c r="A340" i="7" s="1"/>
  <c r="A373" i="7" s="1"/>
  <c r="A406" i="7" s="1"/>
  <c r="A439" i="7" s="1"/>
  <c r="A472" i="7" s="1"/>
  <c r="A505" i="7" s="1"/>
  <c r="A538" i="7" s="1"/>
  <c r="A571" i="7" s="1"/>
  <c r="A604" i="7" s="1"/>
  <c r="A637" i="7" s="1"/>
  <c r="A10" i="2"/>
  <c r="I29" i="7"/>
  <c r="I28" i="7"/>
  <c r="I27" i="7"/>
  <c r="L33" i="7"/>
  <c r="K33" i="7"/>
  <c r="J33" i="7"/>
  <c r="L32" i="7"/>
  <c r="K32" i="7"/>
  <c r="J32" i="7"/>
  <c r="L31" i="7"/>
  <c r="K31" i="7"/>
  <c r="J31" i="7"/>
  <c r="L30" i="7"/>
  <c r="K30" i="7"/>
  <c r="J30" i="7"/>
  <c r="L29" i="7"/>
  <c r="K29" i="7"/>
  <c r="J29" i="7"/>
  <c r="L28" i="7"/>
  <c r="K28" i="7"/>
  <c r="J28" i="7"/>
  <c r="L27" i="7"/>
  <c r="K27" i="7"/>
  <c r="J27" i="7"/>
  <c r="O7" i="2" l="1"/>
  <c r="O17" i="2"/>
  <c r="B8" i="7"/>
  <c r="R8" i="7" s="1"/>
  <c r="I301" i="3" l="1"/>
  <c r="J301" i="3"/>
  <c r="K301" i="3"/>
  <c r="L301" i="3"/>
  <c r="O301" i="3"/>
  <c r="Q301" i="3" s="1"/>
  <c r="P301" i="3"/>
  <c r="R301" i="3" s="1"/>
  <c r="U301" i="3"/>
  <c r="V301" i="3" s="1"/>
  <c r="W301" i="3"/>
  <c r="X301" i="3"/>
  <c r="AH301" i="3"/>
  <c r="Z301" i="3" l="1"/>
  <c r="AF301" i="3"/>
  <c r="AB301" i="3"/>
  <c r="I298" i="3"/>
  <c r="J298" i="3"/>
  <c r="K298" i="3"/>
  <c r="L298" i="3"/>
  <c r="O298" i="3"/>
  <c r="Q298" i="3" s="1"/>
  <c r="P298" i="3"/>
  <c r="Z298" i="3" s="1"/>
  <c r="U298" i="3"/>
  <c r="V298" i="3" s="1"/>
  <c r="W298" i="3"/>
  <c r="X298" i="3"/>
  <c r="AH298" i="3"/>
  <c r="I299" i="3"/>
  <c r="J299" i="3"/>
  <c r="K299" i="3"/>
  <c r="L299" i="3"/>
  <c r="O299" i="3"/>
  <c r="Q299" i="3" s="1"/>
  <c r="P299" i="3"/>
  <c r="Z299" i="3" s="1"/>
  <c r="U299" i="3"/>
  <c r="V299" i="3" s="1"/>
  <c r="W299" i="3"/>
  <c r="X299" i="3"/>
  <c r="AH299" i="3"/>
  <c r="I300" i="3"/>
  <c r="J300" i="3"/>
  <c r="K300" i="3"/>
  <c r="L300" i="3"/>
  <c r="AB300" i="3" s="1"/>
  <c r="O300" i="3"/>
  <c r="Q300" i="3" s="1"/>
  <c r="P300" i="3"/>
  <c r="Z300" i="3" s="1"/>
  <c r="U300" i="3"/>
  <c r="V300" i="3" s="1"/>
  <c r="W300" i="3"/>
  <c r="X300" i="3"/>
  <c r="AH300" i="3"/>
  <c r="AF299" i="3" l="1"/>
  <c r="R299" i="3"/>
  <c r="AB299" i="3"/>
  <c r="AF300" i="3"/>
  <c r="R300" i="3"/>
  <c r="AF298" i="3"/>
  <c r="R298" i="3"/>
  <c r="AB298" i="3"/>
  <c r="I292" i="3" l="1"/>
  <c r="J292" i="3"/>
  <c r="K292" i="3"/>
  <c r="L292" i="3"/>
  <c r="O292" i="3"/>
  <c r="Q292" i="3" s="1"/>
  <c r="U292" i="3"/>
  <c r="W292" i="3" s="1"/>
  <c r="X292" i="3"/>
  <c r="AH292" i="3"/>
  <c r="I293" i="3"/>
  <c r="J293" i="3"/>
  <c r="K293" i="3"/>
  <c r="O293" i="3" s="1"/>
  <c r="Q293" i="3" s="1"/>
  <c r="L293" i="3"/>
  <c r="P293" i="3"/>
  <c r="Z293" i="3" s="1"/>
  <c r="U293" i="3"/>
  <c r="W293" i="3" s="1"/>
  <c r="X293" i="3"/>
  <c r="AH293" i="3"/>
  <c r="I294" i="3"/>
  <c r="J294" i="3"/>
  <c r="K294" i="3"/>
  <c r="L294" i="3"/>
  <c r="O294" i="3"/>
  <c r="Q294" i="3" s="1"/>
  <c r="P294" i="3"/>
  <c r="Z294" i="3" s="1"/>
  <c r="U294" i="3"/>
  <c r="V294" i="3" s="1"/>
  <c r="W294" i="3"/>
  <c r="X294" i="3"/>
  <c r="AH294" i="3"/>
  <c r="I295" i="3"/>
  <c r="J295" i="3"/>
  <c r="K295" i="3"/>
  <c r="L295" i="3"/>
  <c r="O295" i="3"/>
  <c r="Q295" i="3" s="1"/>
  <c r="P295" i="3"/>
  <c r="Z295" i="3" s="1"/>
  <c r="U295" i="3"/>
  <c r="V295" i="3" s="1"/>
  <c r="W295" i="3"/>
  <c r="X295" i="3"/>
  <c r="AH295" i="3"/>
  <c r="I296" i="3"/>
  <c r="J296" i="3"/>
  <c r="K296" i="3"/>
  <c r="L296" i="3"/>
  <c r="O296" i="3"/>
  <c r="Q296" i="3" s="1"/>
  <c r="P296" i="3"/>
  <c r="Z296" i="3" s="1"/>
  <c r="U296" i="3"/>
  <c r="V296" i="3" s="1"/>
  <c r="W296" i="3"/>
  <c r="X296" i="3"/>
  <c r="AH296" i="3"/>
  <c r="I297" i="3"/>
  <c r="J297" i="3"/>
  <c r="K297" i="3"/>
  <c r="L297" i="3"/>
  <c r="O297" i="3"/>
  <c r="Q297" i="3" s="1"/>
  <c r="P297" i="3"/>
  <c r="Z297" i="3" s="1"/>
  <c r="U297" i="3"/>
  <c r="W297" i="3" s="1"/>
  <c r="X297" i="3"/>
  <c r="AH297" i="3"/>
  <c r="AF293" i="3" l="1"/>
  <c r="AF294" i="3"/>
  <c r="AB296" i="3"/>
  <c r="AF295" i="3"/>
  <c r="AF297" i="3"/>
  <c r="R293" i="3"/>
  <c r="V297" i="3"/>
  <c r="R296" i="3"/>
  <c r="AF296" i="3"/>
  <c r="R294" i="3"/>
  <c r="V292" i="3"/>
  <c r="V293" i="3"/>
  <c r="R295" i="3"/>
  <c r="AB297" i="3"/>
  <c r="AB295" i="3"/>
  <c r="AB294" i="3"/>
  <c r="AB293" i="3"/>
  <c r="R297" i="3"/>
  <c r="AF292" i="3"/>
  <c r="P292" i="3"/>
  <c r="I288" i="3"/>
  <c r="J288" i="3"/>
  <c r="K288" i="3"/>
  <c r="L288" i="3"/>
  <c r="U288" i="3"/>
  <c r="V288" i="3" s="1"/>
  <c r="X288" i="3"/>
  <c r="AH288" i="3"/>
  <c r="I289" i="3"/>
  <c r="J289" i="3"/>
  <c r="K289" i="3"/>
  <c r="L289" i="3"/>
  <c r="O289" i="3"/>
  <c r="Q289" i="3" s="1"/>
  <c r="P289" i="3"/>
  <c r="R289" i="3" s="1"/>
  <c r="U289" i="3"/>
  <c r="V289" i="3" s="1"/>
  <c r="W289" i="3"/>
  <c r="X289" i="3"/>
  <c r="AH289" i="3"/>
  <c r="I290" i="3"/>
  <c r="J290" i="3"/>
  <c r="K290" i="3"/>
  <c r="L290" i="3"/>
  <c r="O290" i="3"/>
  <c r="Q290" i="3" s="1"/>
  <c r="P290" i="3"/>
  <c r="Z290" i="3" s="1"/>
  <c r="U290" i="3"/>
  <c r="V290" i="3" s="1"/>
  <c r="W290" i="3"/>
  <c r="X290" i="3"/>
  <c r="AH290" i="3"/>
  <c r="I291" i="3"/>
  <c r="J291" i="3"/>
  <c r="K291" i="3"/>
  <c r="L291" i="3"/>
  <c r="P291" i="3" s="1"/>
  <c r="U291" i="3"/>
  <c r="V291" i="3" s="1"/>
  <c r="X291" i="3"/>
  <c r="AH291" i="3"/>
  <c r="O291" i="3" l="1"/>
  <c r="Q291" i="3" s="1"/>
  <c r="AF290" i="3"/>
  <c r="AF291" i="3"/>
  <c r="Z292" i="3"/>
  <c r="R292" i="3"/>
  <c r="W291" i="3"/>
  <c r="R290" i="3"/>
  <c r="W288" i="3"/>
  <c r="Z289" i="3"/>
  <c r="R291" i="3"/>
  <c r="P288" i="3"/>
  <c r="O288" i="3"/>
  <c r="Q288" i="3" s="1"/>
  <c r="AF288" i="3"/>
  <c r="AB291" i="3"/>
  <c r="AB290" i="3"/>
  <c r="AF289" i="3"/>
  <c r="AB289" i="3"/>
  <c r="Z291" i="3" l="1"/>
  <c r="AB292" i="3"/>
  <c r="R288" i="3"/>
  <c r="Z288" i="3"/>
  <c r="AB288" i="3" s="1"/>
  <c r="I287" i="3"/>
  <c r="J287" i="3"/>
  <c r="K287" i="3"/>
  <c r="L287" i="3"/>
  <c r="O287" i="3"/>
  <c r="Q287" i="3" s="1"/>
  <c r="P287" i="3"/>
  <c r="R287" i="3" s="1"/>
  <c r="U287" i="3"/>
  <c r="V287" i="3" s="1"/>
  <c r="W287" i="3"/>
  <c r="X287" i="3"/>
  <c r="AH287" i="3"/>
  <c r="Z287" i="3" l="1"/>
  <c r="AF287" i="3"/>
  <c r="AB287" i="3"/>
  <c r="I286" i="3"/>
  <c r="J286" i="3"/>
  <c r="K286" i="3"/>
  <c r="L286" i="3"/>
  <c r="O286" i="3"/>
  <c r="Q286" i="3" s="1"/>
  <c r="P286" i="3"/>
  <c r="R286" i="3" s="1"/>
  <c r="U286" i="3"/>
  <c r="V286" i="3" s="1"/>
  <c r="W286" i="3"/>
  <c r="X286" i="3"/>
  <c r="AH286" i="3"/>
  <c r="AF286" i="3" l="1"/>
  <c r="Z286" i="3"/>
  <c r="AB286" i="3"/>
  <c r="I285" i="3"/>
  <c r="J285" i="3"/>
  <c r="K285" i="3"/>
  <c r="L285" i="3"/>
  <c r="O285" i="3"/>
  <c r="Q285" i="3" s="1"/>
  <c r="P285" i="3"/>
  <c r="R285" i="3" s="1"/>
  <c r="U285" i="3"/>
  <c r="V285" i="3" s="1"/>
  <c r="W285" i="3"/>
  <c r="X285" i="3"/>
  <c r="AH285" i="3"/>
  <c r="Z285" i="3" l="1"/>
  <c r="AF285" i="3"/>
  <c r="AB285" i="3"/>
  <c r="I284" i="3" l="1"/>
  <c r="J284" i="3"/>
  <c r="K284" i="3"/>
  <c r="L284" i="3"/>
  <c r="AB284" i="3" s="1"/>
  <c r="O284" i="3"/>
  <c r="Q284" i="3" s="1"/>
  <c r="P284" i="3"/>
  <c r="R284" i="3" s="1"/>
  <c r="U284" i="3"/>
  <c r="V284" i="3" s="1"/>
  <c r="W284" i="3"/>
  <c r="X284" i="3"/>
  <c r="AH284" i="3"/>
  <c r="AF284" i="3" l="1"/>
  <c r="Z284" i="3"/>
  <c r="I280" i="3"/>
  <c r="J280" i="3"/>
  <c r="K280" i="3"/>
  <c r="L280" i="3"/>
  <c r="AB280" i="3" s="1"/>
  <c r="O280" i="3"/>
  <c r="Q280" i="3" s="1"/>
  <c r="P280" i="3"/>
  <c r="R280" i="3" s="1"/>
  <c r="U280" i="3"/>
  <c r="V280" i="3" s="1"/>
  <c r="W280" i="3"/>
  <c r="X280" i="3"/>
  <c r="AH280" i="3"/>
  <c r="I281" i="3"/>
  <c r="J281" i="3"/>
  <c r="K281" i="3"/>
  <c r="L281" i="3"/>
  <c r="O281" i="3"/>
  <c r="Q281" i="3" s="1"/>
  <c r="P281" i="3"/>
  <c r="Z281" i="3" s="1"/>
  <c r="U281" i="3"/>
  <c r="V281" i="3" s="1"/>
  <c r="W281" i="3"/>
  <c r="X281" i="3"/>
  <c r="AH281" i="3"/>
  <c r="I282" i="3"/>
  <c r="J282" i="3"/>
  <c r="K282" i="3"/>
  <c r="L282" i="3"/>
  <c r="O282" i="3"/>
  <c r="Q282" i="3" s="1"/>
  <c r="P282" i="3"/>
  <c r="Z282" i="3" s="1"/>
  <c r="U282" i="3"/>
  <c r="V282" i="3" s="1"/>
  <c r="W282" i="3"/>
  <c r="X282" i="3"/>
  <c r="AH282" i="3"/>
  <c r="I283" i="3"/>
  <c r="J283" i="3"/>
  <c r="K283" i="3"/>
  <c r="L283" i="3"/>
  <c r="AB283" i="3" s="1"/>
  <c r="O283" i="3"/>
  <c r="Q283" i="3" s="1"/>
  <c r="P283" i="3"/>
  <c r="R283" i="3" s="1"/>
  <c r="U283" i="3"/>
  <c r="V283" i="3" s="1"/>
  <c r="W283" i="3"/>
  <c r="X283" i="3"/>
  <c r="AH283" i="3"/>
  <c r="AF282" i="3" l="1"/>
  <c r="AB282" i="3"/>
  <c r="R281" i="3"/>
  <c r="R282" i="3"/>
  <c r="AB281" i="3"/>
  <c r="AF281" i="3"/>
  <c r="AF283" i="3"/>
  <c r="N283" i="3"/>
  <c r="Z283" i="3"/>
  <c r="Z280" i="3"/>
  <c r="AC283" i="3"/>
  <c r="AF280" i="3"/>
  <c r="I279" i="3"/>
  <c r="J279" i="3"/>
  <c r="K279" i="3"/>
  <c r="L279" i="3"/>
  <c r="O279" i="3"/>
  <c r="Q279" i="3" s="1"/>
  <c r="P279" i="3"/>
  <c r="R279" i="3" s="1"/>
  <c r="U279" i="3"/>
  <c r="V279" i="3" s="1"/>
  <c r="W279" i="3"/>
  <c r="X279" i="3"/>
  <c r="AH279" i="3"/>
  <c r="AB279" i="3" l="1"/>
  <c r="AF279" i="3"/>
  <c r="Z279" i="3"/>
  <c r="I276" i="3"/>
  <c r="J276" i="3"/>
  <c r="K276" i="3"/>
  <c r="O276" i="3" s="1"/>
  <c r="Q276" i="3" s="1"/>
  <c r="L276" i="3"/>
  <c r="P276" i="3" s="1"/>
  <c r="R276" i="3" s="1"/>
  <c r="U276" i="3"/>
  <c r="V276" i="3" s="1"/>
  <c r="X276" i="3"/>
  <c r="AH276" i="3"/>
  <c r="I277" i="3"/>
  <c r="J277" i="3"/>
  <c r="K277" i="3"/>
  <c r="L277" i="3"/>
  <c r="O277" i="3"/>
  <c r="Q277" i="3" s="1"/>
  <c r="P277" i="3"/>
  <c r="Z277" i="3" s="1"/>
  <c r="U277" i="3"/>
  <c r="V277" i="3" s="1"/>
  <c r="W277" i="3"/>
  <c r="X277" i="3"/>
  <c r="AH277" i="3"/>
  <c r="I278" i="3"/>
  <c r="J278" i="3"/>
  <c r="K278" i="3"/>
  <c r="L278" i="3"/>
  <c r="O278" i="3"/>
  <c r="Q278" i="3" s="1"/>
  <c r="P278" i="3"/>
  <c r="R278" i="3" s="1"/>
  <c r="U278" i="3"/>
  <c r="V278" i="3" s="1"/>
  <c r="W278" i="3"/>
  <c r="X278" i="3"/>
  <c r="AH278" i="3"/>
  <c r="W276" i="3" l="1"/>
  <c r="Z276" i="3"/>
  <c r="R277" i="3"/>
  <c r="AF277" i="3"/>
  <c r="AF278" i="3"/>
  <c r="AB277" i="3"/>
  <c r="AB278" i="3"/>
  <c r="Z278" i="3"/>
  <c r="AF276" i="3"/>
  <c r="AB276" i="3"/>
  <c r="I275" i="3"/>
  <c r="J275" i="3"/>
  <c r="K275" i="3"/>
  <c r="L275" i="3"/>
  <c r="O275" i="3"/>
  <c r="Q275" i="3" s="1"/>
  <c r="P275" i="3"/>
  <c r="Z275" i="3" s="1"/>
  <c r="U275" i="3"/>
  <c r="V275" i="3" s="1"/>
  <c r="W275" i="3"/>
  <c r="X275" i="3"/>
  <c r="AH275" i="3"/>
  <c r="I272" i="3"/>
  <c r="J272" i="3"/>
  <c r="K272" i="3"/>
  <c r="L272" i="3"/>
  <c r="O272" i="3"/>
  <c r="Q272" i="3" s="1"/>
  <c r="P272" i="3"/>
  <c r="Z272" i="3" s="1"/>
  <c r="U272" i="3"/>
  <c r="V272" i="3" s="1"/>
  <c r="W272" i="3"/>
  <c r="X272" i="3"/>
  <c r="AH272" i="3"/>
  <c r="I273" i="3"/>
  <c r="J273" i="3"/>
  <c r="K273" i="3"/>
  <c r="L273" i="3"/>
  <c r="AB273" i="3" s="1"/>
  <c r="O273" i="3"/>
  <c r="Q273" i="3" s="1"/>
  <c r="P273" i="3"/>
  <c r="R273" i="3" s="1"/>
  <c r="U273" i="3"/>
  <c r="V273" i="3" s="1"/>
  <c r="W273" i="3"/>
  <c r="X273" i="3"/>
  <c r="AH273" i="3"/>
  <c r="I274" i="3"/>
  <c r="J274" i="3"/>
  <c r="K274" i="3"/>
  <c r="L274" i="3"/>
  <c r="AB274" i="3" s="1"/>
  <c r="O274" i="3"/>
  <c r="Q274" i="3" s="1"/>
  <c r="P274" i="3"/>
  <c r="Z274" i="3" s="1"/>
  <c r="U274" i="3"/>
  <c r="V274" i="3" s="1"/>
  <c r="W274" i="3"/>
  <c r="X274" i="3"/>
  <c r="AH274" i="3"/>
  <c r="I271" i="3"/>
  <c r="J271" i="3"/>
  <c r="K271" i="3"/>
  <c r="L271" i="3"/>
  <c r="AB271" i="3" s="1"/>
  <c r="O271" i="3"/>
  <c r="Q271" i="3" s="1"/>
  <c r="P271" i="3"/>
  <c r="Z271" i="3" s="1"/>
  <c r="U271" i="3"/>
  <c r="V271" i="3" s="1"/>
  <c r="W271" i="3"/>
  <c r="X271" i="3"/>
  <c r="AH271" i="3"/>
  <c r="I270" i="3"/>
  <c r="J270" i="3"/>
  <c r="K270" i="3"/>
  <c r="L270" i="3"/>
  <c r="O270" i="3"/>
  <c r="Q270" i="3" s="1"/>
  <c r="P270" i="3"/>
  <c r="R270" i="3" s="1"/>
  <c r="U270" i="3"/>
  <c r="V270" i="3" s="1"/>
  <c r="W270" i="3"/>
  <c r="X270" i="3"/>
  <c r="AH270" i="3"/>
  <c r="I268" i="3"/>
  <c r="J268" i="3"/>
  <c r="K268" i="3"/>
  <c r="L268" i="3"/>
  <c r="O268" i="3"/>
  <c r="Q268" i="3" s="1"/>
  <c r="P268" i="3"/>
  <c r="R268" i="3" s="1"/>
  <c r="U268" i="3"/>
  <c r="V268" i="3" s="1"/>
  <c r="W268" i="3"/>
  <c r="X268" i="3"/>
  <c r="AH268" i="3"/>
  <c r="I269" i="3"/>
  <c r="J269" i="3"/>
  <c r="K269" i="3"/>
  <c r="L269" i="3"/>
  <c r="AB269" i="3" s="1"/>
  <c r="O269" i="3"/>
  <c r="Q269" i="3" s="1"/>
  <c r="P269" i="3"/>
  <c r="Z269" i="3" s="1"/>
  <c r="U269" i="3"/>
  <c r="V269" i="3" s="1"/>
  <c r="W269" i="3"/>
  <c r="X269" i="3"/>
  <c r="AH269" i="3"/>
  <c r="AH267" i="3"/>
  <c r="X267" i="3"/>
  <c r="W267" i="3"/>
  <c r="U267" i="3"/>
  <c r="V267" i="3" s="1"/>
  <c r="P267" i="3"/>
  <c r="Z267" i="3" s="1"/>
  <c r="O267" i="3"/>
  <c r="Q267" i="3" s="1"/>
  <c r="L267" i="3"/>
  <c r="K267" i="3"/>
  <c r="J267" i="3"/>
  <c r="I267" i="3"/>
  <c r="AH266" i="3"/>
  <c r="X266" i="3"/>
  <c r="W266" i="3"/>
  <c r="U266" i="3"/>
  <c r="V266" i="3" s="1"/>
  <c r="P266" i="3"/>
  <c r="Z266" i="3" s="1"/>
  <c r="O266" i="3"/>
  <c r="Q266" i="3" s="1"/>
  <c r="L266" i="3"/>
  <c r="K266" i="3"/>
  <c r="J266" i="3"/>
  <c r="I266" i="3"/>
  <c r="AH265" i="3"/>
  <c r="X265" i="3"/>
  <c r="U265" i="3"/>
  <c r="V265" i="3" s="1"/>
  <c r="L265" i="3"/>
  <c r="P265" i="3" s="1"/>
  <c r="R265" i="3" s="1"/>
  <c r="K265" i="3"/>
  <c r="O265" i="3" s="1"/>
  <c r="Q265" i="3" s="1"/>
  <c r="J265" i="3"/>
  <c r="I265" i="3"/>
  <c r="I263" i="3"/>
  <c r="J263" i="3"/>
  <c r="K263" i="3"/>
  <c r="L263" i="3"/>
  <c r="O263" i="3"/>
  <c r="Q263" i="3" s="1"/>
  <c r="P263" i="3"/>
  <c r="R263" i="3" s="1"/>
  <c r="U263" i="3"/>
  <c r="V263" i="3" s="1"/>
  <c r="W263" i="3"/>
  <c r="X263" i="3"/>
  <c r="AH263" i="3"/>
  <c r="I264" i="3"/>
  <c r="J264" i="3"/>
  <c r="K264" i="3"/>
  <c r="L264" i="3"/>
  <c r="O264" i="3"/>
  <c r="Q264" i="3" s="1"/>
  <c r="P264" i="3"/>
  <c r="U264" i="3"/>
  <c r="V264" i="3" s="1"/>
  <c r="W264" i="3"/>
  <c r="X264" i="3"/>
  <c r="AH264" i="3"/>
  <c r="I262" i="3"/>
  <c r="J262" i="3"/>
  <c r="K262" i="3"/>
  <c r="L262" i="3"/>
  <c r="O262" i="3"/>
  <c r="Q262" i="3" s="1"/>
  <c r="P262" i="3"/>
  <c r="Z262" i="3" s="1"/>
  <c r="U262" i="3"/>
  <c r="V262" i="3" s="1"/>
  <c r="W262" i="3"/>
  <c r="X262" i="3"/>
  <c r="AH262" i="3"/>
  <c r="I261" i="3"/>
  <c r="J261" i="3"/>
  <c r="K261" i="3"/>
  <c r="L261" i="3"/>
  <c r="AB261" i="3" s="1"/>
  <c r="O261" i="3"/>
  <c r="Q261" i="3" s="1"/>
  <c r="P261" i="3"/>
  <c r="R261" i="3" s="1"/>
  <c r="U261" i="3"/>
  <c r="V261" i="3" s="1"/>
  <c r="W261" i="3"/>
  <c r="X261" i="3"/>
  <c r="AH261" i="3"/>
  <c r="I260" i="3"/>
  <c r="J260" i="3"/>
  <c r="K260" i="3"/>
  <c r="O260" i="3" s="1"/>
  <c r="Q260" i="3" s="1"/>
  <c r="L260" i="3"/>
  <c r="P260" i="3" s="1"/>
  <c r="M260" i="3"/>
  <c r="N260" i="3"/>
  <c r="Y260" i="3" s="1"/>
  <c r="U260" i="3"/>
  <c r="W260" i="3" s="1"/>
  <c r="V260" i="3"/>
  <c r="X260" i="3"/>
  <c r="AH260" i="3"/>
  <c r="I256" i="3"/>
  <c r="J256" i="3"/>
  <c r="K256" i="3"/>
  <c r="L256" i="3"/>
  <c r="O256" i="3"/>
  <c r="Q256" i="3" s="1"/>
  <c r="P256" i="3"/>
  <c r="U256" i="3"/>
  <c r="V256" i="3" s="1"/>
  <c r="W256" i="3"/>
  <c r="X256" i="3"/>
  <c r="AH256" i="3"/>
  <c r="I257" i="3"/>
  <c r="J257" i="3"/>
  <c r="K257" i="3"/>
  <c r="L257" i="3"/>
  <c r="AB257" i="3" s="1"/>
  <c r="O257" i="3"/>
  <c r="Q257" i="3" s="1"/>
  <c r="P257" i="3"/>
  <c r="U257" i="3"/>
  <c r="V257" i="3" s="1"/>
  <c r="W257" i="3"/>
  <c r="X257" i="3"/>
  <c r="AH257" i="3"/>
  <c r="I258" i="3"/>
  <c r="J258" i="3"/>
  <c r="K258" i="3"/>
  <c r="L258" i="3"/>
  <c r="O258" i="3"/>
  <c r="Q258" i="3" s="1"/>
  <c r="P258" i="3"/>
  <c r="Z258" i="3" s="1"/>
  <c r="U258" i="3"/>
  <c r="V258" i="3" s="1"/>
  <c r="W258" i="3"/>
  <c r="X258" i="3"/>
  <c r="AH258" i="3"/>
  <c r="I259" i="3"/>
  <c r="J259" i="3"/>
  <c r="K259" i="3"/>
  <c r="L259" i="3"/>
  <c r="O259" i="3"/>
  <c r="Q259" i="3" s="1"/>
  <c r="P259" i="3"/>
  <c r="Z259" i="3" s="1"/>
  <c r="U259" i="3"/>
  <c r="V259" i="3" s="1"/>
  <c r="W259" i="3"/>
  <c r="X259" i="3"/>
  <c r="AH259" i="3"/>
  <c r="I250" i="3"/>
  <c r="J250" i="3"/>
  <c r="K250" i="3"/>
  <c r="L250" i="3"/>
  <c r="O250" i="3"/>
  <c r="Q250" i="3" s="1"/>
  <c r="P250" i="3"/>
  <c r="U250" i="3"/>
  <c r="V250" i="3" s="1"/>
  <c r="W250" i="3"/>
  <c r="X250" i="3"/>
  <c r="AH250" i="3"/>
  <c r="I251" i="3"/>
  <c r="J251" i="3"/>
  <c r="K251" i="3"/>
  <c r="L251" i="3"/>
  <c r="O251" i="3"/>
  <c r="Q251" i="3" s="1"/>
  <c r="P251" i="3"/>
  <c r="U251" i="3"/>
  <c r="V251" i="3" s="1"/>
  <c r="W251" i="3"/>
  <c r="X251" i="3"/>
  <c r="AH251" i="3"/>
  <c r="I252" i="3"/>
  <c r="J252" i="3"/>
  <c r="K252" i="3"/>
  <c r="L252" i="3"/>
  <c r="O252" i="3"/>
  <c r="Q252" i="3" s="1"/>
  <c r="P252" i="3"/>
  <c r="R252" i="3" s="1"/>
  <c r="U252" i="3"/>
  <c r="V252" i="3" s="1"/>
  <c r="W252" i="3"/>
  <c r="X252" i="3"/>
  <c r="AH252" i="3"/>
  <c r="I253" i="3"/>
  <c r="J253" i="3"/>
  <c r="K253" i="3"/>
  <c r="L253" i="3"/>
  <c r="O253" i="3"/>
  <c r="Q253" i="3" s="1"/>
  <c r="P253" i="3"/>
  <c r="R253" i="3" s="1"/>
  <c r="U253" i="3"/>
  <c r="V253" i="3" s="1"/>
  <c r="W253" i="3"/>
  <c r="X253" i="3"/>
  <c r="AH253" i="3"/>
  <c r="I254" i="3"/>
  <c r="J254" i="3"/>
  <c r="K254" i="3"/>
  <c r="L254" i="3"/>
  <c r="N254" i="3" s="1"/>
  <c r="O254" i="3"/>
  <c r="Q254" i="3" s="1"/>
  <c r="P254" i="3"/>
  <c r="Z254" i="3" s="1"/>
  <c r="U254" i="3"/>
  <c r="V254" i="3" s="1"/>
  <c r="W254" i="3"/>
  <c r="X254" i="3"/>
  <c r="AH254" i="3"/>
  <c r="I255" i="3"/>
  <c r="J255" i="3"/>
  <c r="K255" i="3"/>
  <c r="L255" i="3"/>
  <c r="O255" i="3"/>
  <c r="Q255" i="3" s="1"/>
  <c r="P255" i="3"/>
  <c r="Z255" i="3" s="1"/>
  <c r="U255" i="3"/>
  <c r="V255" i="3" s="1"/>
  <c r="W255" i="3"/>
  <c r="X255" i="3"/>
  <c r="AH255" i="3"/>
  <c r="I247" i="3"/>
  <c r="J247" i="3"/>
  <c r="K247" i="3"/>
  <c r="L247" i="3"/>
  <c r="AB247" i="3" s="1"/>
  <c r="O247" i="3"/>
  <c r="Q247" i="3" s="1"/>
  <c r="P247" i="3"/>
  <c r="Z247" i="3" s="1"/>
  <c r="U247" i="3"/>
  <c r="V247" i="3" s="1"/>
  <c r="W247" i="3"/>
  <c r="X247" i="3"/>
  <c r="AH247" i="3"/>
  <c r="I248" i="3"/>
  <c r="J248" i="3"/>
  <c r="K248" i="3"/>
  <c r="L248" i="3"/>
  <c r="O248" i="3"/>
  <c r="Q248" i="3" s="1"/>
  <c r="P248" i="3"/>
  <c r="Z248" i="3" s="1"/>
  <c r="U248" i="3"/>
  <c r="V248" i="3" s="1"/>
  <c r="W248" i="3"/>
  <c r="X248" i="3"/>
  <c r="AH248" i="3"/>
  <c r="I249" i="3"/>
  <c r="J249" i="3"/>
  <c r="K249" i="3"/>
  <c r="L249" i="3"/>
  <c r="AB249" i="3" s="1"/>
  <c r="O249" i="3"/>
  <c r="Q249" i="3" s="1"/>
  <c r="P249" i="3"/>
  <c r="U249" i="3"/>
  <c r="V249" i="3" s="1"/>
  <c r="W249" i="3"/>
  <c r="X249" i="3"/>
  <c r="AH249" i="3"/>
  <c r="I246" i="3"/>
  <c r="J246" i="3"/>
  <c r="K246" i="3"/>
  <c r="O246" i="3" s="1"/>
  <c r="Q246" i="3" s="1"/>
  <c r="L246" i="3"/>
  <c r="P246" i="3" s="1"/>
  <c r="R246" i="3" s="1"/>
  <c r="U246" i="3"/>
  <c r="V246" i="3" s="1"/>
  <c r="X246" i="3"/>
  <c r="AH246" i="3"/>
  <c r="A88" i="6"/>
  <c r="AH176" i="3"/>
  <c r="AH13" i="3"/>
  <c r="AH53" i="3"/>
  <c r="AH54" i="3"/>
  <c r="AH55" i="3"/>
  <c r="AH56" i="3"/>
  <c r="AH57" i="3"/>
  <c r="AH58" i="3"/>
  <c r="AH59" i="3"/>
  <c r="AH60" i="3"/>
  <c r="AH61" i="3"/>
  <c r="AH62" i="3"/>
  <c r="AH63" i="3"/>
  <c r="AH64" i="3"/>
  <c r="AH65" i="3"/>
  <c r="AH66" i="3"/>
  <c r="AH67" i="3"/>
  <c r="AH68" i="3"/>
  <c r="AH69" i="3"/>
  <c r="AH70" i="3"/>
  <c r="AH71" i="3"/>
  <c r="AH72" i="3"/>
  <c r="AH73" i="3"/>
  <c r="AH74" i="3"/>
  <c r="AH75" i="3"/>
  <c r="AH76" i="3"/>
  <c r="AH77" i="3"/>
  <c r="AH78" i="3"/>
  <c r="AH79" i="3"/>
  <c r="AH80" i="3"/>
  <c r="AH81" i="3"/>
  <c r="AH82" i="3"/>
  <c r="AH83" i="3"/>
  <c r="AH84" i="3"/>
  <c r="AH85" i="3"/>
  <c r="AH86" i="3"/>
  <c r="AH87" i="3"/>
  <c r="AH88" i="3"/>
  <c r="AH89" i="3"/>
  <c r="AH90" i="3"/>
  <c r="AH91" i="3"/>
  <c r="AH92" i="3"/>
  <c r="AH93" i="3"/>
  <c r="AH94" i="3"/>
  <c r="AH95" i="3"/>
  <c r="AH96" i="3"/>
  <c r="AH97" i="3"/>
  <c r="AH98" i="3"/>
  <c r="AH99" i="3"/>
  <c r="AH100" i="3"/>
  <c r="AH101" i="3"/>
  <c r="AH102" i="3"/>
  <c r="AH103" i="3"/>
  <c r="AH104" i="3"/>
  <c r="AH105" i="3"/>
  <c r="AH106" i="3"/>
  <c r="AH107" i="3"/>
  <c r="AH108" i="3"/>
  <c r="AH109" i="3"/>
  <c r="AH110" i="3"/>
  <c r="AH111" i="3"/>
  <c r="AH112" i="3"/>
  <c r="AH113" i="3"/>
  <c r="AH114" i="3"/>
  <c r="AH115" i="3"/>
  <c r="AH116" i="3"/>
  <c r="AH117" i="3"/>
  <c r="AH118" i="3"/>
  <c r="AH119" i="3"/>
  <c r="AH120" i="3"/>
  <c r="AH121" i="3"/>
  <c r="AH122" i="3"/>
  <c r="AH123" i="3"/>
  <c r="AH124" i="3"/>
  <c r="AH125" i="3"/>
  <c r="AH126" i="3"/>
  <c r="AH127" i="3"/>
  <c r="AH128" i="3"/>
  <c r="AH129" i="3"/>
  <c r="AH130" i="3"/>
  <c r="AH131" i="3"/>
  <c r="AH132" i="3"/>
  <c r="AH133" i="3"/>
  <c r="AH134" i="3"/>
  <c r="AH135" i="3"/>
  <c r="AH136" i="3"/>
  <c r="AH137" i="3"/>
  <c r="AH138" i="3"/>
  <c r="AH139" i="3"/>
  <c r="AH140" i="3"/>
  <c r="AH141" i="3"/>
  <c r="AH142" i="3"/>
  <c r="AH143" i="3"/>
  <c r="AH144" i="3"/>
  <c r="AH145" i="3"/>
  <c r="AH146" i="3"/>
  <c r="AH147" i="3"/>
  <c r="AH148" i="3"/>
  <c r="AH149" i="3"/>
  <c r="AH150" i="3"/>
  <c r="AH151" i="3"/>
  <c r="AH152" i="3"/>
  <c r="AH153" i="3"/>
  <c r="AH154" i="3"/>
  <c r="AH155" i="3"/>
  <c r="AH156" i="3"/>
  <c r="AH157" i="3"/>
  <c r="AH158" i="3"/>
  <c r="AH159" i="3"/>
  <c r="AH160" i="3"/>
  <c r="AH161" i="3"/>
  <c r="AH162" i="3"/>
  <c r="AH163" i="3"/>
  <c r="AH164" i="3"/>
  <c r="AH165" i="3"/>
  <c r="AH166" i="3"/>
  <c r="AH167" i="3"/>
  <c r="AH168" i="3"/>
  <c r="AH169" i="3"/>
  <c r="AH170" i="3"/>
  <c r="AH171" i="3"/>
  <c r="AH172" i="3"/>
  <c r="AH173" i="3"/>
  <c r="AH174" i="3"/>
  <c r="AH175" i="3"/>
  <c r="AH177" i="3"/>
  <c r="AH178" i="3"/>
  <c r="AH179" i="3"/>
  <c r="AH180" i="3"/>
  <c r="AH181" i="3"/>
  <c r="AH182" i="3"/>
  <c r="AH183" i="3"/>
  <c r="AH184" i="3"/>
  <c r="AH185" i="3"/>
  <c r="AH186" i="3"/>
  <c r="AH187" i="3"/>
  <c r="AH188" i="3"/>
  <c r="AH189" i="3"/>
  <c r="AH190" i="3"/>
  <c r="AH191" i="3"/>
  <c r="AH192" i="3"/>
  <c r="AH193" i="3"/>
  <c r="AH194" i="3"/>
  <c r="AH195" i="3"/>
  <c r="AH196" i="3"/>
  <c r="AH197" i="3"/>
  <c r="AH198" i="3"/>
  <c r="AH199" i="3"/>
  <c r="AH200" i="3"/>
  <c r="AH201" i="3"/>
  <c r="AH202" i="3"/>
  <c r="AH203" i="3"/>
  <c r="AH204" i="3"/>
  <c r="AH205" i="3"/>
  <c r="AH206" i="3"/>
  <c r="AH207" i="3"/>
  <c r="AH208" i="3"/>
  <c r="AH209" i="3"/>
  <c r="AH210" i="3"/>
  <c r="AH211" i="3"/>
  <c r="AH212" i="3"/>
  <c r="AH213" i="3"/>
  <c r="AH214" i="3"/>
  <c r="AH215" i="3"/>
  <c r="AH216" i="3"/>
  <c r="AH217" i="3"/>
  <c r="AH218" i="3"/>
  <c r="AH219" i="3"/>
  <c r="AH220" i="3"/>
  <c r="AH221" i="3"/>
  <c r="AH222" i="3"/>
  <c r="AH223" i="3"/>
  <c r="AH224" i="3"/>
  <c r="AH225" i="3"/>
  <c r="AH226" i="3"/>
  <c r="AH227" i="3"/>
  <c r="AH228" i="3"/>
  <c r="AH229" i="3"/>
  <c r="AH230" i="3"/>
  <c r="AH231" i="3"/>
  <c r="AH232" i="3"/>
  <c r="AH233" i="3"/>
  <c r="AH234" i="3"/>
  <c r="AH235" i="3"/>
  <c r="AH236" i="3"/>
  <c r="AH237" i="3"/>
  <c r="AH238" i="3"/>
  <c r="AH239" i="3"/>
  <c r="AH240" i="3"/>
  <c r="AH241" i="3"/>
  <c r="AH242" i="3"/>
  <c r="AH243" i="3"/>
  <c r="AH244" i="3"/>
  <c r="AH245" i="3"/>
  <c r="AH52" i="3"/>
  <c r="AH49" i="3"/>
  <c r="AH46" i="3"/>
  <c r="AH45" i="3"/>
  <c r="AH44" i="3"/>
  <c r="AH43" i="3"/>
  <c r="AH41" i="3"/>
  <c r="AH40" i="3"/>
  <c r="AH39" i="3"/>
  <c r="AH37" i="3"/>
  <c r="AH35" i="3"/>
  <c r="AH33" i="3"/>
  <c r="AH32" i="3"/>
  <c r="AH31" i="3"/>
  <c r="AH29" i="3"/>
  <c r="AH28" i="3"/>
  <c r="AH27" i="3"/>
  <c r="AH25" i="3"/>
  <c r="AH24" i="3"/>
  <c r="AH22" i="3"/>
  <c r="AH20" i="3"/>
  <c r="AH19" i="3"/>
  <c r="AH17" i="3"/>
  <c r="AH15" i="3"/>
  <c r="AH14" i="3"/>
  <c r="AH18" i="3"/>
  <c r="AH21" i="3"/>
  <c r="AH23" i="3"/>
  <c r="AH26" i="3"/>
  <c r="AH30" i="3"/>
  <c r="AH34" i="3"/>
  <c r="AH36" i="3"/>
  <c r="AH38" i="3"/>
  <c r="AH42" i="3"/>
  <c r="AH47" i="3"/>
  <c r="AH48" i="3"/>
  <c r="AH50" i="3"/>
  <c r="AH51" i="3"/>
  <c r="L13" i="3"/>
  <c r="N9" i="1"/>
  <c r="I224" i="3"/>
  <c r="J224" i="3"/>
  <c r="K224" i="3"/>
  <c r="O224" i="3" s="1"/>
  <c r="L224" i="3"/>
  <c r="P224" i="3" s="1"/>
  <c r="R224" i="3" s="1"/>
  <c r="U224" i="3"/>
  <c r="W224" i="3" s="1"/>
  <c r="X224" i="3"/>
  <c r="I225" i="3"/>
  <c r="J225" i="3"/>
  <c r="K225" i="3"/>
  <c r="L225" i="3"/>
  <c r="O225" i="3"/>
  <c r="Q225" i="3" s="1"/>
  <c r="P225" i="3"/>
  <c r="R225" i="3" s="1"/>
  <c r="U225" i="3"/>
  <c r="V225" i="3" s="1"/>
  <c r="W225" i="3"/>
  <c r="X225" i="3"/>
  <c r="I226" i="3"/>
  <c r="J226" i="3"/>
  <c r="K226" i="3"/>
  <c r="L226" i="3"/>
  <c r="O226" i="3"/>
  <c r="Q226" i="3" s="1"/>
  <c r="P226" i="3"/>
  <c r="R226" i="3" s="1"/>
  <c r="U226" i="3"/>
  <c r="V226" i="3" s="1"/>
  <c r="W226" i="3"/>
  <c r="X226" i="3"/>
  <c r="I227" i="3"/>
  <c r="J227" i="3"/>
  <c r="K227" i="3"/>
  <c r="L227" i="3"/>
  <c r="O227" i="3"/>
  <c r="Q227" i="3" s="1"/>
  <c r="P227" i="3"/>
  <c r="U227" i="3"/>
  <c r="V227" i="3" s="1"/>
  <c r="W227" i="3"/>
  <c r="X227" i="3"/>
  <c r="I228" i="3"/>
  <c r="J228" i="3"/>
  <c r="K228" i="3"/>
  <c r="L228" i="3"/>
  <c r="O228" i="3"/>
  <c r="Q228" i="3" s="1"/>
  <c r="P228" i="3"/>
  <c r="R228" i="3" s="1"/>
  <c r="U228" i="3"/>
  <c r="V228" i="3" s="1"/>
  <c r="W228" i="3"/>
  <c r="X228" i="3"/>
  <c r="I229" i="3"/>
  <c r="J229" i="3"/>
  <c r="K229" i="3"/>
  <c r="L229" i="3"/>
  <c r="O229" i="3"/>
  <c r="Q229" i="3" s="1"/>
  <c r="P229" i="3"/>
  <c r="R229" i="3" s="1"/>
  <c r="U229" i="3"/>
  <c r="V229" i="3" s="1"/>
  <c r="W229" i="3"/>
  <c r="X229" i="3"/>
  <c r="I230" i="3"/>
  <c r="J230" i="3"/>
  <c r="K230" i="3"/>
  <c r="L230" i="3"/>
  <c r="O230" i="3"/>
  <c r="Q230" i="3" s="1"/>
  <c r="P230" i="3"/>
  <c r="R230" i="3" s="1"/>
  <c r="U230" i="3"/>
  <c r="V230" i="3" s="1"/>
  <c r="W230" i="3"/>
  <c r="X230" i="3"/>
  <c r="I231" i="3"/>
  <c r="J231" i="3"/>
  <c r="K231" i="3"/>
  <c r="L231" i="3"/>
  <c r="O231" i="3"/>
  <c r="Q231" i="3" s="1"/>
  <c r="P231" i="3"/>
  <c r="U231" i="3"/>
  <c r="V231" i="3" s="1"/>
  <c r="W231" i="3"/>
  <c r="X231" i="3"/>
  <c r="I232" i="3"/>
  <c r="J232" i="3"/>
  <c r="K232" i="3"/>
  <c r="O232" i="3" s="1"/>
  <c r="Q232" i="3" s="1"/>
  <c r="L232" i="3"/>
  <c r="U232" i="3"/>
  <c r="W232" i="3" s="1"/>
  <c r="X232" i="3"/>
  <c r="I233" i="3"/>
  <c r="J233" i="3"/>
  <c r="K233" i="3"/>
  <c r="L233" i="3"/>
  <c r="O233" i="3"/>
  <c r="Q233" i="3" s="1"/>
  <c r="P233" i="3"/>
  <c r="Z233" i="3" s="1"/>
  <c r="U233" i="3"/>
  <c r="V233" i="3" s="1"/>
  <c r="W233" i="3"/>
  <c r="X233" i="3"/>
  <c r="I234" i="3"/>
  <c r="J234" i="3"/>
  <c r="K234" i="3"/>
  <c r="O234" i="3" s="1"/>
  <c r="Q234" i="3" s="1"/>
  <c r="L234" i="3"/>
  <c r="AB234" i="3" s="1"/>
  <c r="U234" i="3"/>
  <c r="V234" i="3" s="1"/>
  <c r="X234" i="3"/>
  <c r="Z235" i="3"/>
  <c r="U235" i="3"/>
  <c r="V235" i="3" s="1"/>
  <c r="W235" i="3"/>
  <c r="X235" i="3"/>
  <c r="I236" i="3"/>
  <c r="J236" i="3"/>
  <c r="K236" i="3"/>
  <c r="L236" i="3"/>
  <c r="AB236" i="3" s="1"/>
  <c r="O236" i="3"/>
  <c r="Q236" i="3" s="1"/>
  <c r="P236" i="3"/>
  <c r="Z236" i="3" s="1"/>
  <c r="U236" i="3"/>
  <c r="V236" i="3" s="1"/>
  <c r="W236" i="3"/>
  <c r="X236" i="3"/>
  <c r="I237" i="3"/>
  <c r="J237" i="3"/>
  <c r="K237" i="3"/>
  <c r="L237" i="3"/>
  <c r="AB237" i="3" s="1"/>
  <c r="O237" i="3"/>
  <c r="Q237" i="3" s="1"/>
  <c r="P237" i="3"/>
  <c r="Z237" i="3" s="1"/>
  <c r="U237" i="3"/>
  <c r="V237" i="3" s="1"/>
  <c r="W237" i="3"/>
  <c r="X237" i="3"/>
  <c r="I238" i="3"/>
  <c r="J238" i="3"/>
  <c r="K238" i="3"/>
  <c r="L238" i="3"/>
  <c r="AB238" i="3" s="1"/>
  <c r="O238" i="3"/>
  <c r="Q238" i="3" s="1"/>
  <c r="P238" i="3"/>
  <c r="R238" i="3" s="1"/>
  <c r="U238" i="3"/>
  <c r="V238" i="3" s="1"/>
  <c r="W238" i="3"/>
  <c r="X238" i="3"/>
  <c r="I239" i="3"/>
  <c r="J239" i="3"/>
  <c r="K239" i="3"/>
  <c r="L239" i="3"/>
  <c r="AB239" i="3" s="1"/>
  <c r="O239" i="3"/>
  <c r="Q239" i="3" s="1"/>
  <c r="P239" i="3"/>
  <c r="Z239" i="3" s="1"/>
  <c r="U239" i="3"/>
  <c r="V239" i="3" s="1"/>
  <c r="W239" i="3"/>
  <c r="X239" i="3"/>
  <c r="I240" i="3"/>
  <c r="J240" i="3"/>
  <c r="K240" i="3"/>
  <c r="L240" i="3"/>
  <c r="AB240" i="3" s="1"/>
  <c r="O240" i="3"/>
  <c r="Q240" i="3" s="1"/>
  <c r="P240" i="3"/>
  <c r="R240" i="3" s="1"/>
  <c r="U240" i="3"/>
  <c r="V240" i="3" s="1"/>
  <c r="W240" i="3"/>
  <c r="X240" i="3"/>
  <c r="I241" i="3"/>
  <c r="J241" i="3"/>
  <c r="K241" i="3"/>
  <c r="L241" i="3"/>
  <c r="AB241" i="3" s="1"/>
  <c r="O241" i="3"/>
  <c r="Q241" i="3" s="1"/>
  <c r="P241" i="3"/>
  <c r="Z241" i="3" s="1"/>
  <c r="U241" i="3"/>
  <c r="V241" i="3" s="1"/>
  <c r="W241" i="3"/>
  <c r="X241" i="3"/>
  <c r="I242" i="3"/>
  <c r="J242" i="3"/>
  <c r="K242" i="3"/>
  <c r="L242" i="3"/>
  <c r="AB242" i="3" s="1"/>
  <c r="O242" i="3"/>
  <c r="Q242" i="3" s="1"/>
  <c r="P242" i="3"/>
  <c r="U242" i="3"/>
  <c r="V242" i="3" s="1"/>
  <c r="W242" i="3"/>
  <c r="X242" i="3"/>
  <c r="I243" i="3"/>
  <c r="J243" i="3"/>
  <c r="K243" i="3"/>
  <c r="L243" i="3"/>
  <c r="O243" i="3"/>
  <c r="Q243" i="3" s="1"/>
  <c r="P243" i="3"/>
  <c r="R243" i="3" s="1"/>
  <c r="U243" i="3"/>
  <c r="V243" i="3" s="1"/>
  <c r="W243" i="3"/>
  <c r="X243" i="3"/>
  <c r="I244" i="3"/>
  <c r="J244" i="3"/>
  <c r="K244" i="3"/>
  <c r="L244" i="3"/>
  <c r="N244" i="3" s="1"/>
  <c r="O244" i="3"/>
  <c r="Q244" i="3" s="1"/>
  <c r="P244" i="3"/>
  <c r="R244" i="3" s="1"/>
  <c r="U244" i="3"/>
  <c r="V244" i="3" s="1"/>
  <c r="W244" i="3"/>
  <c r="X244" i="3"/>
  <c r="I245" i="3"/>
  <c r="J245" i="3"/>
  <c r="K245" i="3"/>
  <c r="O245" i="3" s="1"/>
  <c r="Q245" i="3" s="1"/>
  <c r="L245" i="3"/>
  <c r="AB245" i="3" s="1"/>
  <c r="U245" i="3"/>
  <c r="V245" i="3" s="1"/>
  <c r="X245" i="3"/>
  <c r="I214" i="3"/>
  <c r="J214" i="3"/>
  <c r="K214" i="3"/>
  <c r="L214" i="3"/>
  <c r="AB214" i="3" s="1"/>
  <c r="O214" i="3"/>
  <c r="Q214" i="3" s="1"/>
  <c r="P214" i="3"/>
  <c r="Z214" i="3" s="1"/>
  <c r="U214" i="3"/>
  <c r="V214" i="3" s="1"/>
  <c r="W214" i="3"/>
  <c r="X214" i="3"/>
  <c r="I215" i="3"/>
  <c r="J215" i="3"/>
  <c r="K215" i="3"/>
  <c r="L215" i="3"/>
  <c r="O215" i="3"/>
  <c r="Q215" i="3" s="1"/>
  <c r="P215" i="3"/>
  <c r="U215" i="3"/>
  <c r="V215" i="3" s="1"/>
  <c r="W215" i="3"/>
  <c r="X215" i="3"/>
  <c r="I216" i="3"/>
  <c r="J216" i="3"/>
  <c r="K216" i="3"/>
  <c r="L216" i="3"/>
  <c r="AB216" i="3" s="1"/>
  <c r="O216" i="3"/>
  <c r="Q216" i="3" s="1"/>
  <c r="P216" i="3"/>
  <c r="U216" i="3"/>
  <c r="V216" i="3" s="1"/>
  <c r="W216" i="3"/>
  <c r="X216" i="3"/>
  <c r="I217" i="3"/>
  <c r="J217" i="3"/>
  <c r="K217" i="3"/>
  <c r="L217" i="3"/>
  <c r="O217" i="3"/>
  <c r="Q217" i="3" s="1"/>
  <c r="P217" i="3"/>
  <c r="R217" i="3" s="1"/>
  <c r="U217" i="3"/>
  <c r="V217" i="3" s="1"/>
  <c r="W217" i="3"/>
  <c r="X217" i="3"/>
  <c r="I218" i="3"/>
  <c r="J218" i="3"/>
  <c r="K218" i="3"/>
  <c r="L218" i="3"/>
  <c r="AB218" i="3" s="1"/>
  <c r="O218" i="3"/>
  <c r="Q218" i="3" s="1"/>
  <c r="P218" i="3"/>
  <c r="Z218" i="3" s="1"/>
  <c r="U218" i="3"/>
  <c r="V218" i="3" s="1"/>
  <c r="W218" i="3"/>
  <c r="X218" i="3"/>
  <c r="I219" i="3"/>
  <c r="J219" i="3"/>
  <c r="K219" i="3"/>
  <c r="O219" i="3" s="1"/>
  <c r="Q219" i="3" s="1"/>
  <c r="L219" i="3"/>
  <c r="P219" i="3" s="1"/>
  <c r="R219" i="3" s="1"/>
  <c r="U219" i="3"/>
  <c r="W219" i="3" s="1"/>
  <c r="X219" i="3"/>
  <c r="I220" i="3"/>
  <c r="J220" i="3"/>
  <c r="K220" i="3"/>
  <c r="L220" i="3"/>
  <c r="O220" i="3"/>
  <c r="Q220" i="3" s="1"/>
  <c r="P220" i="3"/>
  <c r="Z220" i="3" s="1"/>
  <c r="U220" i="3"/>
  <c r="V220" i="3" s="1"/>
  <c r="W220" i="3"/>
  <c r="X220" i="3"/>
  <c r="I221" i="3"/>
  <c r="J221" i="3"/>
  <c r="K221" i="3"/>
  <c r="L221" i="3"/>
  <c r="O221" i="3"/>
  <c r="Q221" i="3" s="1"/>
  <c r="P221" i="3"/>
  <c r="Z221" i="3" s="1"/>
  <c r="U221" i="3"/>
  <c r="V221" i="3" s="1"/>
  <c r="W221" i="3"/>
  <c r="X221" i="3"/>
  <c r="I222" i="3"/>
  <c r="J222" i="3"/>
  <c r="K222" i="3"/>
  <c r="L222" i="3"/>
  <c r="O222" i="3"/>
  <c r="Q222" i="3" s="1"/>
  <c r="P222" i="3"/>
  <c r="R222" i="3" s="1"/>
  <c r="U222" i="3"/>
  <c r="V222" i="3" s="1"/>
  <c r="W222" i="3"/>
  <c r="X222" i="3"/>
  <c r="I223" i="3"/>
  <c r="J223" i="3"/>
  <c r="K223" i="3"/>
  <c r="L223" i="3"/>
  <c r="O223" i="3"/>
  <c r="Q223" i="3" s="1"/>
  <c r="P223" i="3"/>
  <c r="U223" i="3"/>
  <c r="V223" i="3" s="1"/>
  <c r="W223" i="3"/>
  <c r="X223" i="3"/>
  <c r="I200" i="3"/>
  <c r="J200" i="3"/>
  <c r="K200" i="3"/>
  <c r="L200" i="3"/>
  <c r="O200" i="3"/>
  <c r="Q200" i="3" s="1"/>
  <c r="P200" i="3"/>
  <c r="U200" i="3"/>
  <c r="V200" i="3" s="1"/>
  <c r="W200" i="3"/>
  <c r="X200" i="3"/>
  <c r="I201" i="3"/>
  <c r="J201" i="3"/>
  <c r="K201" i="3"/>
  <c r="L201" i="3"/>
  <c r="AB201" i="3" s="1"/>
  <c r="O201" i="3"/>
  <c r="Q201" i="3" s="1"/>
  <c r="P201" i="3"/>
  <c r="R201" i="3" s="1"/>
  <c r="U201" i="3"/>
  <c r="V201" i="3" s="1"/>
  <c r="W201" i="3"/>
  <c r="X201" i="3"/>
  <c r="I202" i="3"/>
  <c r="J202" i="3"/>
  <c r="K202" i="3"/>
  <c r="L202" i="3"/>
  <c r="AB202" i="3" s="1"/>
  <c r="O202" i="3"/>
  <c r="Q202" i="3" s="1"/>
  <c r="P202" i="3"/>
  <c r="R202" i="3" s="1"/>
  <c r="U202" i="3"/>
  <c r="V202" i="3" s="1"/>
  <c r="W202" i="3"/>
  <c r="X202" i="3"/>
  <c r="I203" i="3"/>
  <c r="J203" i="3"/>
  <c r="K203" i="3"/>
  <c r="L203" i="3"/>
  <c r="AB203" i="3" s="1"/>
  <c r="O203" i="3"/>
  <c r="Q203" i="3" s="1"/>
  <c r="P203" i="3"/>
  <c r="Z203" i="3" s="1"/>
  <c r="U203" i="3"/>
  <c r="V203" i="3" s="1"/>
  <c r="W203" i="3"/>
  <c r="X203" i="3"/>
  <c r="I204" i="3"/>
  <c r="J204" i="3"/>
  <c r="K204" i="3"/>
  <c r="L204" i="3"/>
  <c r="AB204" i="3" s="1"/>
  <c r="O204" i="3"/>
  <c r="Q204" i="3" s="1"/>
  <c r="P204" i="3"/>
  <c r="Z204" i="3" s="1"/>
  <c r="U204" i="3"/>
  <c r="V204" i="3" s="1"/>
  <c r="W204" i="3"/>
  <c r="X204" i="3"/>
  <c r="I205" i="3"/>
  <c r="J205" i="3"/>
  <c r="K205" i="3"/>
  <c r="L205" i="3"/>
  <c r="O205" i="3"/>
  <c r="Q205" i="3" s="1"/>
  <c r="P205" i="3"/>
  <c r="R205" i="3" s="1"/>
  <c r="U205" i="3"/>
  <c r="V205" i="3" s="1"/>
  <c r="W205" i="3"/>
  <c r="X205" i="3"/>
  <c r="I206" i="3"/>
  <c r="J206" i="3"/>
  <c r="K206" i="3"/>
  <c r="L206" i="3"/>
  <c r="AB206" i="3" s="1"/>
  <c r="O206" i="3"/>
  <c r="Q206" i="3" s="1"/>
  <c r="P206" i="3"/>
  <c r="U206" i="3"/>
  <c r="V206" i="3" s="1"/>
  <c r="W206" i="3"/>
  <c r="X206" i="3"/>
  <c r="I207" i="3"/>
  <c r="J207" i="3"/>
  <c r="K207" i="3"/>
  <c r="L207" i="3"/>
  <c r="O207" i="3"/>
  <c r="Q207" i="3" s="1"/>
  <c r="P207" i="3"/>
  <c r="Z207" i="3" s="1"/>
  <c r="U207" i="3"/>
  <c r="V207" i="3" s="1"/>
  <c r="W207" i="3"/>
  <c r="X207" i="3"/>
  <c r="I208" i="3"/>
  <c r="J208" i="3"/>
  <c r="K208" i="3"/>
  <c r="L208" i="3"/>
  <c r="O208" i="3"/>
  <c r="Q208" i="3" s="1"/>
  <c r="P208" i="3"/>
  <c r="U208" i="3"/>
  <c r="V208" i="3" s="1"/>
  <c r="W208" i="3"/>
  <c r="X208" i="3"/>
  <c r="I209" i="3"/>
  <c r="J209" i="3"/>
  <c r="K209" i="3"/>
  <c r="L209" i="3"/>
  <c r="AB209" i="3" s="1"/>
  <c r="O209" i="3"/>
  <c r="Q209" i="3" s="1"/>
  <c r="P209" i="3"/>
  <c r="R209" i="3" s="1"/>
  <c r="U209" i="3"/>
  <c r="V209" i="3" s="1"/>
  <c r="W209" i="3"/>
  <c r="X209" i="3"/>
  <c r="I210" i="3"/>
  <c r="J210" i="3"/>
  <c r="K210" i="3"/>
  <c r="L210" i="3"/>
  <c r="AB210" i="3" s="1"/>
  <c r="O210" i="3"/>
  <c r="Q210" i="3" s="1"/>
  <c r="P210" i="3"/>
  <c r="Z210" i="3" s="1"/>
  <c r="U210" i="3"/>
  <c r="V210" i="3" s="1"/>
  <c r="W210" i="3"/>
  <c r="X210" i="3"/>
  <c r="I211" i="3"/>
  <c r="J211" i="3"/>
  <c r="K211" i="3"/>
  <c r="L211" i="3"/>
  <c r="O211" i="3"/>
  <c r="Q211" i="3" s="1"/>
  <c r="P211" i="3"/>
  <c r="R211" i="3" s="1"/>
  <c r="U211" i="3"/>
  <c r="V211" i="3" s="1"/>
  <c r="W211" i="3"/>
  <c r="X211" i="3"/>
  <c r="I212" i="3"/>
  <c r="J212" i="3"/>
  <c r="K212" i="3"/>
  <c r="L212" i="3"/>
  <c r="O212" i="3"/>
  <c r="Q212" i="3" s="1"/>
  <c r="P212" i="3"/>
  <c r="U212" i="3"/>
  <c r="V212" i="3" s="1"/>
  <c r="W212" i="3"/>
  <c r="X212" i="3"/>
  <c r="I213" i="3"/>
  <c r="J213" i="3"/>
  <c r="K213" i="3"/>
  <c r="L213" i="3"/>
  <c r="AB213" i="3" s="1"/>
  <c r="O213" i="3"/>
  <c r="Q213" i="3" s="1"/>
  <c r="P213" i="3"/>
  <c r="U213" i="3"/>
  <c r="V213" i="3" s="1"/>
  <c r="W213" i="3"/>
  <c r="X213" i="3"/>
  <c r="E60" i="5"/>
  <c r="E58" i="5"/>
  <c r="E59" i="5"/>
  <c r="E61" i="5"/>
  <c r="E62" i="5"/>
  <c r="E63" i="5"/>
  <c r="E64" i="5"/>
  <c r="E65" i="5"/>
  <c r="E66" i="5"/>
  <c r="E67" i="5"/>
  <c r="E68" i="5"/>
  <c r="E57" i="5"/>
  <c r="E54" i="5"/>
  <c r="I52" i="5" s="1"/>
  <c r="F87" i="6"/>
  <c r="F88" i="6" s="1"/>
  <c r="F89" i="6" s="1"/>
  <c r="F90" i="6" s="1"/>
  <c r="F91" i="6" s="1"/>
  <c r="F92" i="6" s="1"/>
  <c r="F93" i="6" s="1"/>
  <c r="F94" i="6" s="1"/>
  <c r="F95" i="6" s="1"/>
  <c r="F96" i="6" s="1"/>
  <c r="F97" i="6" s="1"/>
  <c r="F98" i="6" s="1"/>
  <c r="F99" i="6" s="1"/>
  <c r="F100" i="6" s="1"/>
  <c r="F101" i="6" s="1"/>
  <c r="F102" i="6" s="1"/>
  <c r="F103" i="6" s="1"/>
  <c r="F104" i="6" s="1"/>
  <c r="F105" i="6" s="1"/>
  <c r="F106" i="6" s="1"/>
  <c r="F107" i="6" s="1"/>
  <c r="F108" i="6" s="1"/>
  <c r="F109" i="6" s="1"/>
  <c r="F110" i="6" s="1"/>
  <c r="F111" i="6" s="1"/>
  <c r="F112" i="6" s="1"/>
  <c r="F113" i="6" s="1"/>
  <c r="F114" i="6" s="1"/>
  <c r="F115" i="6" s="1"/>
  <c r="F116" i="6" s="1"/>
  <c r="F117" i="6" s="1"/>
  <c r="F118" i="6" s="1"/>
  <c r="F119" i="6" s="1"/>
  <c r="F120" i="6" s="1"/>
  <c r="F121" i="6" s="1"/>
  <c r="F122" i="6" s="1"/>
  <c r="F123" i="6" s="1"/>
  <c r="F124" i="6" s="1"/>
  <c r="F125" i="6" s="1"/>
  <c r="F126" i="6" s="1"/>
  <c r="F127" i="6" s="1"/>
  <c r="F128" i="6" s="1"/>
  <c r="F129" i="6" s="1"/>
  <c r="F130" i="6" s="1"/>
  <c r="F131" i="6" s="1"/>
  <c r="F132" i="6" s="1"/>
  <c r="F133" i="6" s="1"/>
  <c r="F134" i="6" s="1"/>
  <c r="F135" i="6" s="1"/>
  <c r="F136" i="6" s="1"/>
  <c r="F137" i="6" s="1"/>
  <c r="F138" i="6" s="1"/>
  <c r="F139" i="6" s="1"/>
  <c r="F140" i="6" s="1"/>
  <c r="F141" i="6" s="1"/>
  <c r="F142" i="6" s="1"/>
  <c r="F143" i="6" s="1"/>
  <c r="F144" i="6" s="1"/>
  <c r="F145" i="6" s="1"/>
  <c r="F146" i="6" s="1"/>
  <c r="F147" i="6" s="1"/>
  <c r="F148" i="6" s="1"/>
  <c r="F149" i="6" s="1"/>
  <c r="F150" i="6" s="1"/>
  <c r="F151" i="6" s="1"/>
  <c r="F152" i="6" s="1"/>
  <c r="F153" i="6" s="1"/>
  <c r="F154" i="6" s="1"/>
  <c r="F155" i="6" s="1"/>
  <c r="F156" i="6" s="1"/>
  <c r="F157" i="6" s="1"/>
  <c r="F158" i="6" s="1"/>
  <c r="F159" i="6" s="1"/>
  <c r="F160" i="6" s="1"/>
  <c r="F161" i="6" s="1"/>
  <c r="F162" i="6" s="1"/>
  <c r="F163" i="6" s="1"/>
  <c r="F164" i="6" s="1"/>
  <c r="F165" i="6" s="1"/>
  <c r="F166" i="6" s="1"/>
  <c r="F167" i="6" s="1"/>
  <c r="F168" i="6" s="1"/>
  <c r="F169" i="6" s="1"/>
  <c r="F170" i="6" s="1"/>
  <c r="F171" i="6" s="1"/>
  <c r="F172" i="6" s="1"/>
  <c r="F173" i="6" s="1"/>
  <c r="F174" i="6" s="1"/>
  <c r="F175" i="6" s="1"/>
  <c r="F176" i="6" s="1"/>
  <c r="F177" i="6" s="1"/>
  <c r="F178" i="6" s="1"/>
  <c r="F179" i="6" s="1"/>
  <c r="F180" i="6" s="1"/>
  <c r="F181" i="6" s="1"/>
  <c r="F182" i="6" s="1"/>
  <c r="F183" i="6" s="1"/>
  <c r="F184" i="6" s="1"/>
  <c r="F185" i="6" s="1"/>
  <c r="F186" i="6" s="1"/>
  <c r="E87" i="6"/>
  <c r="E88" i="6" s="1"/>
  <c r="E89" i="6" s="1"/>
  <c r="E90" i="6" s="1"/>
  <c r="E91" i="6" s="1"/>
  <c r="E92" i="6" s="1"/>
  <c r="E93" i="6" s="1"/>
  <c r="E94" i="6" s="1"/>
  <c r="E95" i="6" s="1"/>
  <c r="E96" i="6" s="1"/>
  <c r="E97" i="6" s="1"/>
  <c r="E98" i="6" s="1"/>
  <c r="E99" i="6" s="1"/>
  <c r="E100" i="6" s="1"/>
  <c r="E101" i="6" s="1"/>
  <c r="E102" i="6" s="1"/>
  <c r="E103" i="6" s="1"/>
  <c r="E104" i="6" s="1"/>
  <c r="E105" i="6" s="1"/>
  <c r="E106" i="6" s="1"/>
  <c r="E107" i="6" s="1"/>
  <c r="E108" i="6" s="1"/>
  <c r="E109" i="6" s="1"/>
  <c r="E110" i="6" s="1"/>
  <c r="E111" i="6" s="1"/>
  <c r="E112" i="6" s="1"/>
  <c r="E113" i="6" s="1"/>
  <c r="E114" i="6" s="1"/>
  <c r="E115" i="6" s="1"/>
  <c r="E116" i="6" s="1"/>
  <c r="E117" i="6" s="1"/>
  <c r="E118" i="6" s="1"/>
  <c r="E119" i="6" s="1"/>
  <c r="E120" i="6" s="1"/>
  <c r="E121" i="6" s="1"/>
  <c r="E122" i="6" s="1"/>
  <c r="E123" i="6" s="1"/>
  <c r="E124" i="6" s="1"/>
  <c r="E125" i="6" s="1"/>
  <c r="E126" i="6" s="1"/>
  <c r="E127" i="6" s="1"/>
  <c r="E128" i="6" s="1"/>
  <c r="E129" i="6" s="1"/>
  <c r="E130" i="6" s="1"/>
  <c r="E131" i="6" s="1"/>
  <c r="E132" i="6" s="1"/>
  <c r="E133" i="6" s="1"/>
  <c r="E134" i="6" s="1"/>
  <c r="E135" i="6" s="1"/>
  <c r="E136" i="6" s="1"/>
  <c r="E137" i="6" s="1"/>
  <c r="E138" i="6" s="1"/>
  <c r="E139" i="6" s="1"/>
  <c r="E140" i="6" s="1"/>
  <c r="E141" i="6" s="1"/>
  <c r="E142" i="6" s="1"/>
  <c r="E143" i="6" s="1"/>
  <c r="E144" i="6" s="1"/>
  <c r="E145" i="6" s="1"/>
  <c r="E146" i="6" s="1"/>
  <c r="E147" i="6" s="1"/>
  <c r="E148" i="6" s="1"/>
  <c r="E149" i="6" s="1"/>
  <c r="E150" i="6" s="1"/>
  <c r="E151" i="6" s="1"/>
  <c r="E152" i="6" s="1"/>
  <c r="E153" i="6" s="1"/>
  <c r="E154" i="6" s="1"/>
  <c r="E155" i="6" s="1"/>
  <c r="E156" i="6" s="1"/>
  <c r="E157" i="6" s="1"/>
  <c r="E158" i="6" s="1"/>
  <c r="E159" i="6" s="1"/>
  <c r="E160" i="6" s="1"/>
  <c r="E161" i="6" s="1"/>
  <c r="E162" i="6" s="1"/>
  <c r="E163" i="6" s="1"/>
  <c r="E164" i="6" s="1"/>
  <c r="E165" i="6" s="1"/>
  <c r="E166" i="6" s="1"/>
  <c r="E167" i="6" s="1"/>
  <c r="E168" i="6" s="1"/>
  <c r="E169" i="6" s="1"/>
  <c r="E170" i="6" s="1"/>
  <c r="E171" i="6" s="1"/>
  <c r="E172" i="6" s="1"/>
  <c r="E173" i="6" s="1"/>
  <c r="E174" i="6" s="1"/>
  <c r="E175" i="6" s="1"/>
  <c r="E176" i="6" s="1"/>
  <c r="E177" i="6" s="1"/>
  <c r="E178" i="6" s="1"/>
  <c r="E179" i="6" s="1"/>
  <c r="E180" i="6" s="1"/>
  <c r="E181" i="6" s="1"/>
  <c r="E182" i="6" s="1"/>
  <c r="E183" i="6" s="1"/>
  <c r="E184" i="6" s="1"/>
  <c r="E185" i="6" s="1"/>
  <c r="E186" i="6" s="1"/>
  <c r="I197" i="3"/>
  <c r="J197" i="3"/>
  <c r="K197" i="3"/>
  <c r="L197" i="3"/>
  <c r="AC197" i="3" s="1"/>
  <c r="O197" i="3"/>
  <c r="Q197" i="3" s="1"/>
  <c r="P197" i="3"/>
  <c r="R197" i="3" s="1"/>
  <c r="U197" i="3"/>
  <c r="V197" i="3" s="1"/>
  <c r="W197" i="3"/>
  <c r="X197" i="3"/>
  <c r="I198" i="3"/>
  <c r="J198" i="3"/>
  <c r="K198" i="3"/>
  <c r="L198" i="3"/>
  <c r="O198" i="3"/>
  <c r="Q198" i="3" s="1"/>
  <c r="P198" i="3"/>
  <c r="R198" i="3" s="1"/>
  <c r="U198" i="3"/>
  <c r="V198" i="3" s="1"/>
  <c r="W198" i="3"/>
  <c r="X198" i="3"/>
  <c r="I199" i="3"/>
  <c r="J199" i="3"/>
  <c r="K199" i="3"/>
  <c r="L199" i="3"/>
  <c r="AB199" i="3" s="1"/>
  <c r="O199" i="3"/>
  <c r="Q199" i="3" s="1"/>
  <c r="P199" i="3"/>
  <c r="U199" i="3"/>
  <c r="V199" i="3" s="1"/>
  <c r="W199" i="3"/>
  <c r="X199" i="3"/>
  <c r="J16" i="3"/>
  <c r="J17" i="3"/>
  <c r="J18" i="3"/>
  <c r="J19" i="3"/>
  <c r="J20" i="3"/>
  <c r="J21" i="3"/>
  <c r="J22" i="3"/>
  <c r="J23" i="3"/>
  <c r="J24" i="3"/>
  <c r="J25" i="3"/>
  <c r="J26" i="3"/>
  <c r="J27" i="3"/>
  <c r="J28" i="3"/>
  <c r="J29" i="3"/>
  <c r="J30" i="3"/>
  <c r="J31" i="3"/>
  <c r="J32" i="3"/>
  <c r="J33" i="3"/>
  <c r="J34" i="3"/>
  <c r="J35" i="3"/>
  <c r="J36" i="3"/>
  <c r="J37" i="3"/>
  <c r="J38" i="3"/>
  <c r="J39" i="3"/>
  <c r="J40" i="3"/>
  <c r="J41" i="3"/>
  <c r="J42" i="3"/>
  <c r="J43" i="3"/>
  <c r="J44" i="3"/>
  <c r="J45" i="3"/>
  <c r="J46" i="3"/>
  <c r="J47" i="3"/>
  <c r="J48" i="3"/>
  <c r="J49" i="3"/>
  <c r="J50" i="3"/>
  <c r="J51" i="3"/>
  <c r="J52" i="3"/>
  <c r="J53" i="3"/>
  <c r="J54" i="3"/>
  <c r="J55" i="3"/>
  <c r="J56" i="3"/>
  <c r="J57" i="3"/>
  <c r="J58" i="3"/>
  <c r="J59" i="3"/>
  <c r="J60" i="3"/>
  <c r="J61" i="3"/>
  <c r="J62" i="3"/>
  <c r="J63" i="3"/>
  <c r="J64" i="3"/>
  <c r="J65" i="3"/>
  <c r="J66" i="3"/>
  <c r="J67" i="3"/>
  <c r="J68" i="3"/>
  <c r="J69" i="3"/>
  <c r="J70" i="3"/>
  <c r="J71" i="3"/>
  <c r="J72" i="3"/>
  <c r="J73" i="3"/>
  <c r="J74" i="3"/>
  <c r="J75" i="3"/>
  <c r="J76" i="3"/>
  <c r="J77" i="3"/>
  <c r="J78" i="3"/>
  <c r="J79" i="3"/>
  <c r="J80" i="3"/>
  <c r="J81" i="3"/>
  <c r="J82" i="3"/>
  <c r="J83" i="3"/>
  <c r="J84" i="3"/>
  <c r="J85" i="3"/>
  <c r="J86" i="3"/>
  <c r="J87" i="3"/>
  <c r="J88" i="3"/>
  <c r="J89" i="3"/>
  <c r="J90" i="3"/>
  <c r="J91" i="3"/>
  <c r="J92" i="3"/>
  <c r="J93" i="3"/>
  <c r="J94" i="3"/>
  <c r="J95" i="3"/>
  <c r="J96" i="3"/>
  <c r="J97" i="3"/>
  <c r="J98" i="3"/>
  <c r="J99" i="3"/>
  <c r="J100" i="3"/>
  <c r="J101" i="3"/>
  <c r="J102" i="3"/>
  <c r="J103" i="3"/>
  <c r="J104" i="3"/>
  <c r="J105" i="3"/>
  <c r="J106" i="3"/>
  <c r="J107" i="3"/>
  <c r="J108" i="3"/>
  <c r="J109" i="3"/>
  <c r="J110" i="3"/>
  <c r="J111" i="3"/>
  <c r="J112" i="3"/>
  <c r="J113" i="3"/>
  <c r="J114" i="3"/>
  <c r="J115" i="3"/>
  <c r="J116" i="3"/>
  <c r="J117" i="3"/>
  <c r="J118" i="3"/>
  <c r="J119" i="3"/>
  <c r="J120" i="3"/>
  <c r="J121" i="3"/>
  <c r="J122" i="3"/>
  <c r="J123" i="3"/>
  <c r="J124" i="3"/>
  <c r="J125" i="3"/>
  <c r="J126" i="3"/>
  <c r="J127" i="3"/>
  <c r="J128" i="3"/>
  <c r="J129" i="3"/>
  <c r="J130" i="3"/>
  <c r="J131" i="3"/>
  <c r="J132" i="3"/>
  <c r="J133" i="3"/>
  <c r="J134" i="3"/>
  <c r="J135" i="3"/>
  <c r="J136" i="3"/>
  <c r="J137" i="3"/>
  <c r="J138" i="3"/>
  <c r="J139" i="3"/>
  <c r="J140" i="3"/>
  <c r="J141" i="3"/>
  <c r="J142" i="3"/>
  <c r="J143" i="3"/>
  <c r="J144" i="3"/>
  <c r="J145" i="3"/>
  <c r="J146" i="3"/>
  <c r="J147" i="3"/>
  <c r="J148" i="3"/>
  <c r="J149" i="3"/>
  <c r="J150" i="3"/>
  <c r="J151" i="3"/>
  <c r="J152" i="3"/>
  <c r="J153" i="3"/>
  <c r="J154" i="3"/>
  <c r="J155" i="3"/>
  <c r="J156" i="3"/>
  <c r="J157" i="3"/>
  <c r="J158" i="3"/>
  <c r="J159" i="3"/>
  <c r="J160" i="3"/>
  <c r="J161" i="3"/>
  <c r="J162" i="3"/>
  <c r="J163" i="3"/>
  <c r="J164" i="3"/>
  <c r="J165" i="3"/>
  <c r="J166" i="3"/>
  <c r="J167" i="3"/>
  <c r="J168" i="3"/>
  <c r="J169" i="3"/>
  <c r="J170" i="3"/>
  <c r="J171" i="3"/>
  <c r="J172" i="3"/>
  <c r="J173" i="3"/>
  <c r="J174" i="3"/>
  <c r="J175" i="3"/>
  <c r="J176" i="3"/>
  <c r="J177" i="3"/>
  <c r="J178" i="3"/>
  <c r="J179" i="3"/>
  <c r="J180" i="3"/>
  <c r="J181" i="3"/>
  <c r="J182" i="3"/>
  <c r="J183" i="3"/>
  <c r="J184" i="3"/>
  <c r="J185" i="3"/>
  <c r="J186" i="3"/>
  <c r="J187" i="3"/>
  <c r="J188" i="3"/>
  <c r="J189" i="3"/>
  <c r="J190" i="3"/>
  <c r="J191" i="3"/>
  <c r="J192" i="3"/>
  <c r="J193" i="3"/>
  <c r="J194" i="3"/>
  <c r="J195" i="3"/>
  <c r="J196" i="3"/>
  <c r="J13" i="3"/>
  <c r="J14" i="3"/>
  <c r="J15" i="3"/>
  <c r="X193" i="3"/>
  <c r="W193" i="3"/>
  <c r="U193" i="3"/>
  <c r="V193" i="3" s="1"/>
  <c r="P193" i="3"/>
  <c r="R193" i="3" s="1"/>
  <c r="O193" i="3"/>
  <c r="Q193" i="3" s="1"/>
  <c r="L193" i="3"/>
  <c r="AB193" i="3" s="1"/>
  <c r="K193" i="3"/>
  <c r="I193" i="3"/>
  <c r="X192" i="3"/>
  <c r="W192" i="3"/>
  <c r="U192" i="3"/>
  <c r="V192" i="3" s="1"/>
  <c r="P192" i="3"/>
  <c r="O192" i="3"/>
  <c r="Q192" i="3" s="1"/>
  <c r="L192" i="3"/>
  <c r="K192" i="3"/>
  <c r="I192" i="3"/>
  <c r="X191" i="3"/>
  <c r="W191" i="3"/>
  <c r="U191" i="3"/>
  <c r="V191" i="3" s="1"/>
  <c r="P191" i="3"/>
  <c r="Z191" i="3" s="1"/>
  <c r="O191" i="3"/>
  <c r="Q191" i="3" s="1"/>
  <c r="L191" i="3"/>
  <c r="K191" i="3"/>
  <c r="I191" i="3"/>
  <c r="X190" i="3"/>
  <c r="U190" i="3"/>
  <c r="V190" i="3" s="1"/>
  <c r="L190" i="3"/>
  <c r="AB190" i="3" s="1"/>
  <c r="K190" i="3"/>
  <c r="O190" i="3" s="1"/>
  <c r="Q190" i="3" s="1"/>
  <c r="I190" i="3"/>
  <c r="X189" i="3"/>
  <c r="V189" i="3"/>
  <c r="U189" i="3"/>
  <c r="W189" i="3" s="1"/>
  <c r="N189" i="3"/>
  <c r="Y189" i="3" s="1"/>
  <c r="M189" i="3"/>
  <c r="L189" i="3"/>
  <c r="P189" i="3" s="1"/>
  <c r="R189" i="3" s="1"/>
  <c r="K189" i="3"/>
  <c r="O189" i="3" s="1"/>
  <c r="I189" i="3"/>
  <c r="X188" i="3"/>
  <c r="W188" i="3"/>
  <c r="U188" i="3"/>
  <c r="V188" i="3" s="1"/>
  <c r="P188" i="3"/>
  <c r="O188" i="3"/>
  <c r="Q188" i="3" s="1"/>
  <c r="L188" i="3"/>
  <c r="K188" i="3"/>
  <c r="I188" i="3"/>
  <c r="X187" i="3"/>
  <c r="W187" i="3"/>
  <c r="U187" i="3"/>
  <c r="V187" i="3" s="1"/>
  <c r="P187" i="3"/>
  <c r="R187" i="3" s="1"/>
  <c r="O187" i="3"/>
  <c r="Q187" i="3" s="1"/>
  <c r="L187" i="3"/>
  <c r="AB187" i="3" s="1"/>
  <c r="K187" i="3"/>
  <c r="I187" i="3"/>
  <c r="X186" i="3"/>
  <c r="W186" i="3"/>
  <c r="U186" i="3"/>
  <c r="V186" i="3" s="1"/>
  <c r="P186" i="3"/>
  <c r="R186" i="3" s="1"/>
  <c r="O186" i="3"/>
  <c r="Q186" i="3" s="1"/>
  <c r="L186" i="3"/>
  <c r="K186" i="3"/>
  <c r="I186" i="3"/>
  <c r="X185" i="3"/>
  <c r="W185" i="3"/>
  <c r="U185" i="3"/>
  <c r="V185" i="3" s="1"/>
  <c r="P185" i="3"/>
  <c r="O185" i="3"/>
  <c r="Q185" i="3" s="1"/>
  <c r="L185" i="3"/>
  <c r="AB185" i="3" s="1"/>
  <c r="K185" i="3"/>
  <c r="I185" i="3"/>
  <c r="X184" i="3"/>
  <c r="W184" i="3"/>
  <c r="U184" i="3"/>
  <c r="V184" i="3" s="1"/>
  <c r="P184" i="3"/>
  <c r="R184" i="3" s="1"/>
  <c r="O184" i="3"/>
  <c r="Q184" i="3" s="1"/>
  <c r="L184" i="3"/>
  <c r="AB184" i="3" s="1"/>
  <c r="K184" i="3"/>
  <c r="I184" i="3"/>
  <c r="X183" i="3"/>
  <c r="W183" i="3"/>
  <c r="U183" i="3"/>
  <c r="V183" i="3" s="1"/>
  <c r="P183" i="3"/>
  <c r="O183" i="3"/>
  <c r="Q183" i="3" s="1"/>
  <c r="L183" i="3"/>
  <c r="AB183" i="3" s="1"/>
  <c r="K183" i="3"/>
  <c r="I183" i="3"/>
  <c r="X182" i="3"/>
  <c r="W182" i="3"/>
  <c r="U182" i="3"/>
  <c r="V182" i="3" s="1"/>
  <c r="P182" i="3"/>
  <c r="R182" i="3" s="1"/>
  <c r="O182" i="3"/>
  <c r="Q182" i="3" s="1"/>
  <c r="L182" i="3"/>
  <c r="N182" i="3" s="1"/>
  <c r="K182" i="3"/>
  <c r="I182" i="3"/>
  <c r="X181" i="3"/>
  <c r="W181" i="3"/>
  <c r="U181" i="3"/>
  <c r="V181" i="3" s="1"/>
  <c r="P181" i="3"/>
  <c r="O181" i="3"/>
  <c r="Q181" i="3" s="1"/>
  <c r="L181" i="3"/>
  <c r="K181" i="3"/>
  <c r="I181" i="3"/>
  <c r="X180" i="3"/>
  <c r="W180" i="3"/>
  <c r="U180" i="3"/>
  <c r="V180" i="3" s="1"/>
  <c r="P180" i="3"/>
  <c r="O180" i="3"/>
  <c r="Q180" i="3" s="1"/>
  <c r="L180" i="3"/>
  <c r="K180" i="3"/>
  <c r="I180" i="3"/>
  <c r="X179" i="3"/>
  <c r="W179" i="3"/>
  <c r="U179" i="3"/>
  <c r="V179" i="3" s="1"/>
  <c r="P179" i="3"/>
  <c r="Z179" i="3" s="1"/>
  <c r="O179" i="3"/>
  <c r="Q179" i="3" s="1"/>
  <c r="L179" i="3"/>
  <c r="K179" i="3"/>
  <c r="I179" i="3"/>
  <c r="X178" i="3"/>
  <c r="W178" i="3"/>
  <c r="U178" i="3"/>
  <c r="V178" i="3" s="1"/>
  <c r="P178" i="3"/>
  <c r="R178" i="3" s="1"/>
  <c r="O178" i="3"/>
  <c r="Q178" i="3" s="1"/>
  <c r="L178" i="3"/>
  <c r="AB178" i="3" s="1"/>
  <c r="K178" i="3"/>
  <c r="I178" i="3"/>
  <c r="X177" i="3"/>
  <c r="W177" i="3"/>
  <c r="U177" i="3"/>
  <c r="V177" i="3" s="1"/>
  <c r="P177" i="3"/>
  <c r="Z177" i="3" s="1"/>
  <c r="O177" i="3"/>
  <c r="Q177" i="3" s="1"/>
  <c r="L177" i="3"/>
  <c r="K177" i="3"/>
  <c r="I177" i="3"/>
  <c r="X176" i="3"/>
  <c r="U176" i="3"/>
  <c r="W176" i="3" s="1"/>
  <c r="L176" i="3"/>
  <c r="K176" i="3"/>
  <c r="O176" i="3" s="1"/>
  <c r="I176" i="3"/>
  <c r="X175" i="3"/>
  <c r="W175" i="3"/>
  <c r="U175" i="3"/>
  <c r="V175" i="3" s="1"/>
  <c r="P175" i="3"/>
  <c r="O175" i="3"/>
  <c r="Q175" i="3" s="1"/>
  <c r="L175" i="3"/>
  <c r="K175" i="3"/>
  <c r="I175" i="3"/>
  <c r="X174" i="3"/>
  <c r="W174" i="3"/>
  <c r="U174" i="3"/>
  <c r="V174" i="3" s="1"/>
  <c r="P174" i="3"/>
  <c r="Z174" i="3" s="1"/>
  <c r="O174" i="3"/>
  <c r="Q174" i="3" s="1"/>
  <c r="L174" i="3"/>
  <c r="AB174" i="3" s="1"/>
  <c r="K174" i="3"/>
  <c r="I174" i="3"/>
  <c r="X173" i="3"/>
  <c r="W173" i="3"/>
  <c r="U173" i="3"/>
  <c r="V173" i="3" s="1"/>
  <c r="P173" i="3"/>
  <c r="R173" i="3" s="1"/>
  <c r="O173" i="3"/>
  <c r="Q173" i="3" s="1"/>
  <c r="L173" i="3"/>
  <c r="N173" i="3" s="1"/>
  <c r="K173" i="3"/>
  <c r="I173" i="3"/>
  <c r="X172" i="3"/>
  <c r="W172" i="3"/>
  <c r="U172" i="3"/>
  <c r="V172" i="3" s="1"/>
  <c r="P172" i="3"/>
  <c r="R172" i="3" s="1"/>
  <c r="O172" i="3"/>
  <c r="Q172" i="3" s="1"/>
  <c r="L172" i="3"/>
  <c r="K172" i="3"/>
  <c r="I172" i="3"/>
  <c r="X171" i="3"/>
  <c r="W171" i="3"/>
  <c r="U171" i="3"/>
  <c r="V171" i="3" s="1"/>
  <c r="P171" i="3"/>
  <c r="R171" i="3" s="1"/>
  <c r="O171" i="3"/>
  <c r="Q171" i="3" s="1"/>
  <c r="L171" i="3"/>
  <c r="AB171" i="3" s="1"/>
  <c r="K171" i="3"/>
  <c r="I171" i="3"/>
  <c r="X170" i="3"/>
  <c r="W170" i="3"/>
  <c r="U170" i="3"/>
  <c r="V170" i="3" s="1"/>
  <c r="P170" i="3"/>
  <c r="Z170" i="3" s="1"/>
  <c r="O170" i="3"/>
  <c r="Q170" i="3" s="1"/>
  <c r="L170" i="3"/>
  <c r="K170" i="3"/>
  <c r="I170" i="3"/>
  <c r="X169" i="3"/>
  <c r="W169" i="3"/>
  <c r="U169" i="3"/>
  <c r="V169" i="3" s="1"/>
  <c r="P169" i="3"/>
  <c r="Z169" i="3" s="1"/>
  <c r="O169" i="3"/>
  <c r="Q169" i="3" s="1"/>
  <c r="L169" i="3"/>
  <c r="K169" i="3"/>
  <c r="I169" i="3"/>
  <c r="X168" i="3"/>
  <c r="U168" i="3"/>
  <c r="W168" i="3" s="1"/>
  <c r="L168" i="3"/>
  <c r="P168" i="3" s="1"/>
  <c r="R168" i="3" s="1"/>
  <c r="K168" i="3"/>
  <c r="O168" i="3" s="1"/>
  <c r="I168" i="3"/>
  <c r="X167" i="3"/>
  <c r="W167" i="3"/>
  <c r="U167" i="3"/>
  <c r="V167" i="3" s="1"/>
  <c r="P167" i="3"/>
  <c r="R167" i="3" s="1"/>
  <c r="O167" i="3"/>
  <c r="Q167" i="3" s="1"/>
  <c r="L167" i="3"/>
  <c r="K167" i="3"/>
  <c r="I167" i="3"/>
  <c r="X166" i="3"/>
  <c r="U166" i="3"/>
  <c r="V166" i="3" s="1"/>
  <c r="L166" i="3"/>
  <c r="P166" i="3" s="1"/>
  <c r="R166" i="3" s="1"/>
  <c r="K166" i="3"/>
  <c r="O166" i="3" s="1"/>
  <c r="Q166" i="3" s="1"/>
  <c r="I166" i="3"/>
  <c r="X165" i="3"/>
  <c r="W165" i="3"/>
  <c r="U165" i="3"/>
  <c r="V165" i="3" s="1"/>
  <c r="P165" i="3"/>
  <c r="O165" i="3"/>
  <c r="Q165" i="3" s="1"/>
  <c r="L165" i="3"/>
  <c r="K165" i="3"/>
  <c r="I165" i="3"/>
  <c r="X164" i="3"/>
  <c r="W164" i="3"/>
  <c r="U164" i="3"/>
  <c r="V164" i="3" s="1"/>
  <c r="P164" i="3"/>
  <c r="R164" i="3" s="1"/>
  <c r="O164" i="3"/>
  <c r="Q164" i="3" s="1"/>
  <c r="L164" i="3"/>
  <c r="K164" i="3"/>
  <c r="I164" i="3"/>
  <c r="X163" i="3"/>
  <c r="W163" i="3"/>
  <c r="U163" i="3"/>
  <c r="V163" i="3" s="1"/>
  <c r="P163" i="3"/>
  <c r="O163" i="3"/>
  <c r="Q163" i="3" s="1"/>
  <c r="L163" i="3"/>
  <c r="K163" i="3"/>
  <c r="I163" i="3"/>
  <c r="X162" i="3"/>
  <c r="W162" i="3"/>
  <c r="U162" i="3"/>
  <c r="V162" i="3" s="1"/>
  <c r="P162" i="3"/>
  <c r="R162" i="3" s="1"/>
  <c r="O162" i="3"/>
  <c r="Q162" i="3" s="1"/>
  <c r="L162" i="3"/>
  <c r="K162" i="3"/>
  <c r="I162" i="3"/>
  <c r="X161" i="3"/>
  <c r="W161" i="3"/>
  <c r="U161" i="3"/>
  <c r="V161" i="3" s="1"/>
  <c r="P161" i="3"/>
  <c r="Z161" i="3" s="1"/>
  <c r="O161" i="3"/>
  <c r="Q161" i="3" s="1"/>
  <c r="L161" i="3"/>
  <c r="K161" i="3"/>
  <c r="I161" i="3"/>
  <c r="X160" i="3"/>
  <c r="W160" i="3"/>
  <c r="U160" i="3"/>
  <c r="V160" i="3" s="1"/>
  <c r="P160" i="3"/>
  <c r="O160" i="3"/>
  <c r="Q160" i="3" s="1"/>
  <c r="L160" i="3"/>
  <c r="AB160" i="3" s="1"/>
  <c r="K160" i="3"/>
  <c r="I160" i="3"/>
  <c r="X159" i="3"/>
  <c r="W159" i="3"/>
  <c r="U159" i="3"/>
  <c r="V159" i="3" s="1"/>
  <c r="P159" i="3"/>
  <c r="R159" i="3" s="1"/>
  <c r="O159" i="3"/>
  <c r="Q159" i="3" s="1"/>
  <c r="L159" i="3"/>
  <c r="AB159" i="3" s="1"/>
  <c r="K159" i="3"/>
  <c r="I159" i="3"/>
  <c r="X158" i="3"/>
  <c r="U158" i="3"/>
  <c r="W158" i="3" s="1"/>
  <c r="L158" i="3"/>
  <c r="P158" i="3" s="1"/>
  <c r="R158" i="3" s="1"/>
  <c r="K158" i="3"/>
  <c r="O158" i="3" s="1"/>
  <c r="I158" i="3"/>
  <c r="X157" i="3"/>
  <c r="W157" i="3"/>
  <c r="U157" i="3"/>
  <c r="V157" i="3" s="1"/>
  <c r="P157" i="3"/>
  <c r="Z157" i="3" s="1"/>
  <c r="O157" i="3"/>
  <c r="Q157" i="3" s="1"/>
  <c r="L157" i="3"/>
  <c r="K157" i="3"/>
  <c r="I157" i="3"/>
  <c r="X156" i="3"/>
  <c r="U156" i="3"/>
  <c r="W156" i="3" s="1"/>
  <c r="L156" i="3"/>
  <c r="P156" i="3" s="1"/>
  <c r="R156" i="3" s="1"/>
  <c r="K156" i="3"/>
  <c r="O156" i="3" s="1"/>
  <c r="I156" i="3"/>
  <c r="X155" i="3"/>
  <c r="W155" i="3"/>
  <c r="U155" i="3"/>
  <c r="V155" i="3" s="1"/>
  <c r="P155" i="3"/>
  <c r="O155" i="3"/>
  <c r="Q155" i="3" s="1"/>
  <c r="L155" i="3"/>
  <c r="K155" i="3"/>
  <c r="I155" i="3"/>
  <c r="X154" i="3"/>
  <c r="W154" i="3"/>
  <c r="U154" i="3"/>
  <c r="V154" i="3" s="1"/>
  <c r="P154" i="3"/>
  <c r="Z154" i="3" s="1"/>
  <c r="O154" i="3"/>
  <c r="Q154" i="3" s="1"/>
  <c r="L154" i="3"/>
  <c r="K154" i="3"/>
  <c r="I154" i="3"/>
  <c r="X153" i="3"/>
  <c r="W153" i="3"/>
  <c r="U153" i="3"/>
  <c r="V153" i="3" s="1"/>
  <c r="P153" i="3"/>
  <c r="Z153" i="3" s="1"/>
  <c r="O153" i="3"/>
  <c r="Q153" i="3" s="1"/>
  <c r="L153" i="3"/>
  <c r="K153" i="3"/>
  <c r="I153" i="3"/>
  <c r="X152" i="3"/>
  <c r="W152" i="3"/>
  <c r="U152" i="3"/>
  <c r="V152" i="3" s="1"/>
  <c r="P152" i="3"/>
  <c r="Z152" i="3" s="1"/>
  <c r="O152" i="3"/>
  <c r="Q152" i="3" s="1"/>
  <c r="L152" i="3"/>
  <c r="K152" i="3"/>
  <c r="I152" i="3"/>
  <c r="X151" i="3"/>
  <c r="U151" i="3"/>
  <c r="W151" i="3" s="1"/>
  <c r="L151" i="3"/>
  <c r="K151" i="3"/>
  <c r="O151" i="3" s="1"/>
  <c r="Q151" i="3" s="1"/>
  <c r="I151" i="3"/>
  <c r="X150" i="3"/>
  <c r="W150" i="3"/>
  <c r="U150" i="3"/>
  <c r="V150" i="3" s="1"/>
  <c r="P150" i="3"/>
  <c r="R150" i="3" s="1"/>
  <c r="O150" i="3"/>
  <c r="Q150" i="3" s="1"/>
  <c r="L150" i="3"/>
  <c r="K150" i="3"/>
  <c r="I150" i="3"/>
  <c r="X149" i="3"/>
  <c r="U149" i="3"/>
  <c r="V149" i="3" s="1"/>
  <c r="L149" i="3"/>
  <c r="P149" i="3" s="1"/>
  <c r="R149" i="3" s="1"/>
  <c r="K149" i="3"/>
  <c r="O149" i="3" s="1"/>
  <c r="Q149" i="3" s="1"/>
  <c r="I149" i="3"/>
  <c r="X148" i="3"/>
  <c r="W148" i="3"/>
  <c r="U148" i="3"/>
  <c r="V148" i="3" s="1"/>
  <c r="P148" i="3"/>
  <c r="R148" i="3" s="1"/>
  <c r="O148" i="3"/>
  <c r="Q148" i="3" s="1"/>
  <c r="L148" i="3"/>
  <c r="K148" i="3"/>
  <c r="I148" i="3"/>
  <c r="X147" i="3"/>
  <c r="U147" i="3"/>
  <c r="V147" i="3" s="1"/>
  <c r="L147" i="3"/>
  <c r="P147" i="3" s="1"/>
  <c r="Z147" i="3" s="1"/>
  <c r="K147" i="3"/>
  <c r="O147" i="3" s="1"/>
  <c r="Q147" i="3" s="1"/>
  <c r="I147" i="3"/>
  <c r="X146" i="3"/>
  <c r="W146" i="3"/>
  <c r="U146" i="3"/>
  <c r="V146" i="3" s="1"/>
  <c r="P146" i="3"/>
  <c r="Z146" i="3" s="1"/>
  <c r="O146" i="3"/>
  <c r="Q146" i="3" s="1"/>
  <c r="L146" i="3"/>
  <c r="K146" i="3"/>
  <c r="I146" i="3"/>
  <c r="X145" i="3"/>
  <c r="W145" i="3"/>
  <c r="U145" i="3"/>
  <c r="V145" i="3" s="1"/>
  <c r="P145" i="3"/>
  <c r="R145" i="3" s="1"/>
  <c r="O145" i="3"/>
  <c r="Q145" i="3" s="1"/>
  <c r="L145" i="3"/>
  <c r="K145" i="3"/>
  <c r="I145" i="3"/>
  <c r="X144" i="3"/>
  <c r="U144" i="3"/>
  <c r="W144" i="3" s="1"/>
  <c r="L144" i="3"/>
  <c r="K144" i="3"/>
  <c r="O144" i="3" s="1"/>
  <c r="Q144" i="3" s="1"/>
  <c r="I144" i="3"/>
  <c r="X143" i="3"/>
  <c r="W143" i="3"/>
  <c r="U143" i="3"/>
  <c r="V143" i="3" s="1"/>
  <c r="P143" i="3"/>
  <c r="O143" i="3"/>
  <c r="Q143" i="3" s="1"/>
  <c r="L143" i="3"/>
  <c r="K143" i="3"/>
  <c r="I143" i="3"/>
  <c r="X142" i="3"/>
  <c r="U142" i="3"/>
  <c r="V142" i="3" s="1"/>
  <c r="L142" i="3"/>
  <c r="P142" i="3" s="1"/>
  <c r="R142" i="3" s="1"/>
  <c r="K142" i="3"/>
  <c r="O142" i="3" s="1"/>
  <c r="Q142" i="3" s="1"/>
  <c r="I142" i="3"/>
  <c r="X141" i="3"/>
  <c r="W141" i="3"/>
  <c r="U141" i="3"/>
  <c r="V141" i="3" s="1"/>
  <c r="P141" i="3"/>
  <c r="O141" i="3"/>
  <c r="Q141" i="3" s="1"/>
  <c r="L141" i="3"/>
  <c r="K141" i="3"/>
  <c r="I141" i="3"/>
  <c r="X140" i="3"/>
  <c r="W140" i="3"/>
  <c r="U140" i="3"/>
  <c r="V140" i="3" s="1"/>
  <c r="P140" i="3"/>
  <c r="R140" i="3" s="1"/>
  <c r="O140" i="3"/>
  <c r="Q140" i="3" s="1"/>
  <c r="L140" i="3"/>
  <c r="K140" i="3"/>
  <c r="I140" i="3"/>
  <c r="X139" i="3"/>
  <c r="W139" i="3"/>
  <c r="U139" i="3"/>
  <c r="V139" i="3" s="1"/>
  <c r="P139" i="3"/>
  <c r="O139" i="3"/>
  <c r="Q139" i="3" s="1"/>
  <c r="L139" i="3"/>
  <c r="AB139" i="3" s="1"/>
  <c r="K139" i="3"/>
  <c r="I139" i="3"/>
  <c r="X138" i="3"/>
  <c r="U138" i="3"/>
  <c r="W138" i="3" s="1"/>
  <c r="L138" i="3"/>
  <c r="P138" i="3" s="1"/>
  <c r="R138" i="3" s="1"/>
  <c r="K138" i="3"/>
  <c r="O138" i="3" s="1"/>
  <c r="I138" i="3"/>
  <c r="X137" i="3"/>
  <c r="W137" i="3"/>
  <c r="U137" i="3"/>
  <c r="V137" i="3" s="1"/>
  <c r="P137" i="3"/>
  <c r="R137" i="3" s="1"/>
  <c r="O137" i="3"/>
  <c r="Q137" i="3" s="1"/>
  <c r="L137" i="3"/>
  <c r="AB137" i="3" s="1"/>
  <c r="K137" i="3"/>
  <c r="I137" i="3"/>
  <c r="X136" i="3"/>
  <c r="U136" i="3"/>
  <c r="W136" i="3" s="1"/>
  <c r="L136" i="3"/>
  <c r="AB136" i="3" s="1"/>
  <c r="K136" i="3"/>
  <c r="O136" i="3" s="1"/>
  <c r="Q136" i="3" s="1"/>
  <c r="I136" i="3"/>
  <c r="X135" i="3"/>
  <c r="W135" i="3"/>
  <c r="U135" i="3"/>
  <c r="V135" i="3" s="1"/>
  <c r="P135" i="3"/>
  <c r="R135" i="3" s="1"/>
  <c r="O135" i="3"/>
  <c r="Q135" i="3" s="1"/>
  <c r="L135" i="3"/>
  <c r="K135" i="3"/>
  <c r="I135" i="3"/>
  <c r="X134" i="3"/>
  <c r="U134" i="3"/>
  <c r="V134" i="3" s="1"/>
  <c r="L134" i="3"/>
  <c r="N134" i="3" s="1"/>
  <c r="K134" i="3"/>
  <c r="O134" i="3" s="1"/>
  <c r="Q134" i="3" s="1"/>
  <c r="I134" i="3"/>
  <c r="X133" i="3"/>
  <c r="W133" i="3"/>
  <c r="U133" i="3"/>
  <c r="V133" i="3" s="1"/>
  <c r="P133" i="3"/>
  <c r="R133" i="3" s="1"/>
  <c r="O133" i="3"/>
  <c r="Q133" i="3" s="1"/>
  <c r="L133" i="3"/>
  <c r="N133" i="3" s="1"/>
  <c r="K133" i="3"/>
  <c r="I133" i="3"/>
  <c r="X132" i="3"/>
  <c r="W132" i="3"/>
  <c r="U132" i="3"/>
  <c r="V132" i="3" s="1"/>
  <c r="P132" i="3"/>
  <c r="R132" i="3" s="1"/>
  <c r="O132" i="3"/>
  <c r="Q132" i="3" s="1"/>
  <c r="L132" i="3"/>
  <c r="AB132" i="3" s="1"/>
  <c r="K132" i="3"/>
  <c r="I132" i="3"/>
  <c r="X131" i="3"/>
  <c r="W131" i="3"/>
  <c r="U131" i="3"/>
  <c r="V131" i="3" s="1"/>
  <c r="P131" i="3"/>
  <c r="O131" i="3"/>
  <c r="Q131" i="3" s="1"/>
  <c r="L131" i="3"/>
  <c r="K131" i="3"/>
  <c r="I131" i="3"/>
  <c r="X130" i="3"/>
  <c r="W130" i="3"/>
  <c r="U130" i="3"/>
  <c r="V130" i="3" s="1"/>
  <c r="P130" i="3"/>
  <c r="Z130" i="3" s="1"/>
  <c r="O130" i="3"/>
  <c r="Q130" i="3" s="1"/>
  <c r="L130" i="3"/>
  <c r="K130" i="3"/>
  <c r="I130" i="3"/>
  <c r="X129" i="3"/>
  <c r="U129" i="3"/>
  <c r="V129" i="3" s="1"/>
  <c r="L129" i="3"/>
  <c r="K129" i="3"/>
  <c r="O129" i="3" s="1"/>
  <c r="Q129" i="3" s="1"/>
  <c r="I129" i="3"/>
  <c r="X128" i="3"/>
  <c r="W128" i="3"/>
  <c r="U128" i="3"/>
  <c r="V128" i="3" s="1"/>
  <c r="P128" i="3"/>
  <c r="R128" i="3" s="1"/>
  <c r="O128" i="3"/>
  <c r="Q128" i="3" s="1"/>
  <c r="L128" i="3"/>
  <c r="K128" i="3"/>
  <c r="I128" i="3"/>
  <c r="X127" i="3"/>
  <c r="W127" i="3"/>
  <c r="U127" i="3"/>
  <c r="V127" i="3" s="1"/>
  <c r="P127" i="3"/>
  <c r="O127" i="3"/>
  <c r="Q127" i="3" s="1"/>
  <c r="L127" i="3"/>
  <c r="K127" i="3"/>
  <c r="I127" i="3"/>
  <c r="X126" i="3"/>
  <c r="V126" i="3"/>
  <c r="U126" i="3"/>
  <c r="W126" i="3" s="1"/>
  <c r="N126" i="3"/>
  <c r="Y126" i="3" s="1"/>
  <c r="M126" i="3"/>
  <c r="L126" i="3"/>
  <c r="P126" i="3" s="1"/>
  <c r="R126" i="3" s="1"/>
  <c r="K126" i="3"/>
  <c r="O126" i="3" s="1"/>
  <c r="I126" i="3"/>
  <c r="X125" i="3"/>
  <c r="W125" i="3"/>
  <c r="U125" i="3"/>
  <c r="V125" i="3" s="1"/>
  <c r="P125" i="3"/>
  <c r="Z125" i="3" s="1"/>
  <c r="O125" i="3"/>
  <c r="Q125" i="3" s="1"/>
  <c r="L125" i="3"/>
  <c r="K125" i="3"/>
  <c r="I125" i="3"/>
  <c r="X124" i="3"/>
  <c r="W124" i="3"/>
  <c r="U124" i="3"/>
  <c r="V124" i="3" s="1"/>
  <c r="P124" i="3"/>
  <c r="Z124" i="3" s="1"/>
  <c r="O124" i="3"/>
  <c r="Q124" i="3" s="1"/>
  <c r="L124" i="3"/>
  <c r="K124" i="3"/>
  <c r="I124" i="3"/>
  <c r="X123" i="3"/>
  <c r="W123" i="3"/>
  <c r="U123" i="3"/>
  <c r="V123" i="3" s="1"/>
  <c r="P123" i="3"/>
  <c r="Z123" i="3" s="1"/>
  <c r="O123" i="3"/>
  <c r="Q123" i="3" s="1"/>
  <c r="L123" i="3"/>
  <c r="AB123" i="3" s="1"/>
  <c r="K123" i="3"/>
  <c r="I123" i="3"/>
  <c r="X122" i="3"/>
  <c r="W122" i="3"/>
  <c r="U122" i="3"/>
  <c r="V122" i="3" s="1"/>
  <c r="P122" i="3"/>
  <c r="Z122" i="3" s="1"/>
  <c r="O122" i="3"/>
  <c r="Q122" i="3" s="1"/>
  <c r="L122" i="3"/>
  <c r="K122" i="3"/>
  <c r="I122" i="3"/>
  <c r="X121" i="3"/>
  <c r="W121" i="3"/>
  <c r="U121" i="3"/>
  <c r="V121" i="3" s="1"/>
  <c r="P121" i="3"/>
  <c r="O121" i="3"/>
  <c r="Q121" i="3" s="1"/>
  <c r="L121" i="3"/>
  <c r="K121" i="3"/>
  <c r="I121" i="3"/>
  <c r="X120" i="3"/>
  <c r="W120" i="3"/>
  <c r="U120" i="3"/>
  <c r="V120" i="3" s="1"/>
  <c r="P120" i="3"/>
  <c r="Z120" i="3" s="1"/>
  <c r="O120" i="3"/>
  <c r="Q120" i="3" s="1"/>
  <c r="L120" i="3"/>
  <c r="K120" i="3"/>
  <c r="I120" i="3"/>
  <c r="X119" i="3"/>
  <c r="W119" i="3"/>
  <c r="U119" i="3"/>
  <c r="V119" i="3" s="1"/>
  <c r="P119" i="3"/>
  <c r="Z119" i="3" s="1"/>
  <c r="O119" i="3"/>
  <c r="Q119" i="3" s="1"/>
  <c r="L119" i="3"/>
  <c r="AB119" i="3" s="1"/>
  <c r="K119" i="3"/>
  <c r="I119" i="3"/>
  <c r="X118" i="3"/>
  <c r="U118" i="3"/>
  <c r="V118" i="3" s="1"/>
  <c r="L118" i="3"/>
  <c r="K118" i="3"/>
  <c r="O118" i="3" s="1"/>
  <c r="Q118" i="3" s="1"/>
  <c r="I118" i="3"/>
  <c r="X117" i="3"/>
  <c r="W117" i="3"/>
  <c r="U117" i="3"/>
  <c r="V117" i="3" s="1"/>
  <c r="P117" i="3"/>
  <c r="Z117" i="3" s="1"/>
  <c r="O117" i="3"/>
  <c r="Q117" i="3" s="1"/>
  <c r="L117" i="3"/>
  <c r="K117" i="3"/>
  <c r="I117" i="3"/>
  <c r="X116" i="3"/>
  <c r="W116" i="3"/>
  <c r="U116" i="3"/>
  <c r="V116" i="3" s="1"/>
  <c r="P116" i="3"/>
  <c r="R116" i="3" s="1"/>
  <c r="O116" i="3"/>
  <c r="Q116" i="3" s="1"/>
  <c r="L116" i="3"/>
  <c r="AB116" i="3" s="1"/>
  <c r="K116" i="3"/>
  <c r="I116" i="3"/>
  <c r="X115" i="3"/>
  <c r="U115" i="3"/>
  <c r="W115" i="3" s="1"/>
  <c r="L115" i="3"/>
  <c r="AB115" i="3" s="1"/>
  <c r="K115" i="3"/>
  <c r="O115" i="3" s="1"/>
  <c r="I115" i="3"/>
  <c r="X114" i="3"/>
  <c r="W114" i="3"/>
  <c r="U114" i="3"/>
  <c r="V114" i="3" s="1"/>
  <c r="P114" i="3"/>
  <c r="Z114" i="3" s="1"/>
  <c r="O114" i="3"/>
  <c r="Q114" i="3" s="1"/>
  <c r="L114" i="3"/>
  <c r="K114" i="3"/>
  <c r="I114" i="3"/>
  <c r="X113" i="3"/>
  <c r="U113" i="3"/>
  <c r="V113" i="3" s="1"/>
  <c r="O113" i="3"/>
  <c r="Q113" i="3" s="1"/>
  <c r="L113" i="3"/>
  <c r="K113" i="3"/>
  <c r="I113" i="3"/>
  <c r="X112" i="3"/>
  <c r="W112" i="3"/>
  <c r="U112" i="3"/>
  <c r="V112" i="3" s="1"/>
  <c r="P112" i="3"/>
  <c r="O112" i="3"/>
  <c r="Q112" i="3" s="1"/>
  <c r="L112" i="3"/>
  <c r="K112" i="3"/>
  <c r="I112" i="3"/>
  <c r="X111" i="3"/>
  <c r="W111" i="3"/>
  <c r="U111" i="3"/>
  <c r="V111" i="3" s="1"/>
  <c r="P111" i="3"/>
  <c r="Z111" i="3" s="1"/>
  <c r="O111" i="3"/>
  <c r="Q111" i="3" s="1"/>
  <c r="L111" i="3"/>
  <c r="AB111" i="3" s="1"/>
  <c r="K111" i="3"/>
  <c r="I111" i="3"/>
  <c r="X110" i="3"/>
  <c r="W110" i="3"/>
  <c r="U110" i="3"/>
  <c r="V110" i="3" s="1"/>
  <c r="P110" i="3"/>
  <c r="Z110" i="3" s="1"/>
  <c r="O110" i="3"/>
  <c r="Q110" i="3" s="1"/>
  <c r="L110" i="3"/>
  <c r="K110" i="3"/>
  <c r="I110" i="3"/>
  <c r="X109" i="3"/>
  <c r="W109" i="3"/>
  <c r="U109" i="3"/>
  <c r="V109" i="3" s="1"/>
  <c r="P109" i="3"/>
  <c r="O109" i="3"/>
  <c r="Q109" i="3" s="1"/>
  <c r="L109" i="3"/>
  <c r="K109" i="3"/>
  <c r="I109" i="3"/>
  <c r="X108" i="3"/>
  <c r="W108" i="3"/>
  <c r="U108" i="3"/>
  <c r="V108" i="3" s="1"/>
  <c r="P108" i="3"/>
  <c r="Z108" i="3" s="1"/>
  <c r="O108" i="3"/>
  <c r="Q108" i="3" s="1"/>
  <c r="L108" i="3"/>
  <c r="K108" i="3"/>
  <c r="I108" i="3"/>
  <c r="X107" i="3"/>
  <c r="W107" i="3"/>
  <c r="U107" i="3"/>
  <c r="V107" i="3" s="1"/>
  <c r="P107" i="3"/>
  <c r="R107" i="3" s="1"/>
  <c r="O107" i="3"/>
  <c r="Q107" i="3" s="1"/>
  <c r="L107" i="3"/>
  <c r="K107" i="3"/>
  <c r="I107" i="3"/>
  <c r="X106" i="3"/>
  <c r="W106" i="3"/>
  <c r="U106" i="3"/>
  <c r="V106" i="3" s="1"/>
  <c r="P106" i="3"/>
  <c r="Z106" i="3" s="1"/>
  <c r="O106" i="3"/>
  <c r="Q106" i="3" s="1"/>
  <c r="L106" i="3"/>
  <c r="AB106" i="3" s="1"/>
  <c r="K106" i="3"/>
  <c r="I106" i="3"/>
  <c r="X105" i="3"/>
  <c r="U105" i="3"/>
  <c r="V105" i="3" s="1"/>
  <c r="L105" i="3"/>
  <c r="P105" i="3" s="1"/>
  <c r="R105" i="3" s="1"/>
  <c r="K105" i="3"/>
  <c r="O105" i="3" s="1"/>
  <c r="Q105" i="3" s="1"/>
  <c r="I105" i="3"/>
  <c r="X104" i="3"/>
  <c r="W104" i="3"/>
  <c r="U104" i="3"/>
  <c r="V104" i="3" s="1"/>
  <c r="P104" i="3"/>
  <c r="O104" i="3"/>
  <c r="Q104" i="3" s="1"/>
  <c r="L104" i="3"/>
  <c r="AC104" i="3" s="1"/>
  <c r="K104" i="3"/>
  <c r="I104" i="3"/>
  <c r="X103" i="3"/>
  <c r="V103" i="3"/>
  <c r="U103" i="3"/>
  <c r="W103" i="3" s="1"/>
  <c r="N103" i="3"/>
  <c r="Y103" i="3" s="1"/>
  <c r="M103" i="3"/>
  <c r="L103" i="3"/>
  <c r="P103" i="3" s="1"/>
  <c r="K103" i="3"/>
  <c r="O103" i="3" s="1"/>
  <c r="Q103" i="3" s="1"/>
  <c r="I103" i="3"/>
  <c r="X102" i="3"/>
  <c r="W102" i="3"/>
  <c r="U102" i="3"/>
  <c r="V102" i="3" s="1"/>
  <c r="P102" i="3"/>
  <c r="Z102" i="3" s="1"/>
  <c r="O102" i="3"/>
  <c r="Q102" i="3" s="1"/>
  <c r="L102" i="3"/>
  <c r="K102" i="3"/>
  <c r="I102" i="3"/>
  <c r="X101" i="3"/>
  <c r="U101" i="3"/>
  <c r="V101" i="3" s="1"/>
  <c r="L101" i="3"/>
  <c r="P101" i="3" s="1"/>
  <c r="K101" i="3"/>
  <c r="O101" i="3" s="1"/>
  <c r="Q101" i="3" s="1"/>
  <c r="I101" i="3"/>
  <c r="X100" i="3"/>
  <c r="W100" i="3"/>
  <c r="U100" i="3"/>
  <c r="V100" i="3" s="1"/>
  <c r="P100" i="3"/>
  <c r="O100" i="3"/>
  <c r="Q100" i="3" s="1"/>
  <c r="L100" i="3"/>
  <c r="K100" i="3"/>
  <c r="I100" i="3"/>
  <c r="X99" i="3"/>
  <c r="U99" i="3"/>
  <c r="W99" i="3" s="1"/>
  <c r="L99" i="3"/>
  <c r="K99" i="3"/>
  <c r="O99" i="3" s="1"/>
  <c r="Q99" i="3" s="1"/>
  <c r="I99" i="3"/>
  <c r="X98" i="3"/>
  <c r="W98" i="3"/>
  <c r="U98" i="3"/>
  <c r="V98" i="3" s="1"/>
  <c r="P98" i="3"/>
  <c r="O98" i="3"/>
  <c r="Q98" i="3" s="1"/>
  <c r="L98" i="3"/>
  <c r="AB98" i="3" s="1"/>
  <c r="K98" i="3"/>
  <c r="I98" i="3"/>
  <c r="X97" i="3"/>
  <c r="W97" i="3"/>
  <c r="U97" i="3"/>
  <c r="V97" i="3" s="1"/>
  <c r="P97" i="3"/>
  <c r="R97" i="3" s="1"/>
  <c r="O97" i="3"/>
  <c r="Q97" i="3" s="1"/>
  <c r="L97" i="3"/>
  <c r="K97" i="3"/>
  <c r="I97" i="3"/>
  <c r="X96" i="3"/>
  <c r="W96" i="3"/>
  <c r="U96" i="3"/>
  <c r="V96" i="3" s="1"/>
  <c r="P96" i="3"/>
  <c r="O96" i="3"/>
  <c r="Q96" i="3" s="1"/>
  <c r="L96" i="3"/>
  <c r="K96" i="3"/>
  <c r="X95" i="3"/>
  <c r="W95" i="3"/>
  <c r="U95" i="3"/>
  <c r="V95" i="3" s="1"/>
  <c r="P95" i="3"/>
  <c r="O95" i="3"/>
  <c r="Q95" i="3" s="1"/>
  <c r="L95" i="3"/>
  <c r="AB95" i="3" s="1"/>
  <c r="K95" i="3"/>
  <c r="I95" i="3"/>
  <c r="X94" i="3"/>
  <c r="W94" i="3"/>
  <c r="U94" i="3"/>
  <c r="V94" i="3" s="1"/>
  <c r="P94" i="3"/>
  <c r="Z94" i="3" s="1"/>
  <c r="O94" i="3"/>
  <c r="Q94" i="3" s="1"/>
  <c r="L94" i="3"/>
  <c r="K94" i="3"/>
  <c r="I94" i="3"/>
  <c r="X93" i="3"/>
  <c r="W93" i="3"/>
  <c r="U93" i="3"/>
  <c r="V93" i="3" s="1"/>
  <c r="P93" i="3"/>
  <c r="R93" i="3" s="1"/>
  <c r="O93" i="3"/>
  <c r="Q93" i="3" s="1"/>
  <c r="L93" i="3"/>
  <c r="K93" i="3"/>
  <c r="I93" i="3"/>
  <c r="X92" i="3"/>
  <c r="U92" i="3"/>
  <c r="V92" i="3" s="1"/>
  <c r="L92" i="3"/>
  <c r="P92" i="3" s="1"/>
  <c r="K92" i="3"/>
  <c r="O92" i="3" s="1"/>
  <c r="Q92" i="3" s="1"/>
  <c r="I92" i="3"/>
  <c r="X91" i="3"/>
  <c r="W91" i="3"/>
  <c r="U91" i="3"/>
  <c r="V91" i="3" s="1"/>
  <c r="P91" i="3"/>
  <c r="O91" i="3"/>
  <c r="Q91" i="3" s="1"/>
  <c r="L91" i="3"/>
  <c r="AB91" i="3" s="1"/>
  <c r="K91" i="3"/>
  <c r="I91" i="3"/>
  <c r="X90" i="3"/>
  <c r="W90" i="3"/>
  <c r="U90" i="3"/>
  <c r="V90" i="3" s="1"/>
  <c r="P90" i="3"/>
  <c r="O90" i="3"/>
  <c r="Q90" i="3" s="1"/>
  <c r="L90" i="3"/>
  <c r="K90" i="3"/>
  <c r="I90" i="3"/>
  <c r="X89" i="3"/>
  <c r="W89" i="3"/>
  <c r="U89" i="3"/>
  <c r="V89" i="3" s="1"/>
  <c r="P89" i="3"/>
  <c r="Z89" i="3" s="1"/>
  <c r="O89" i="3"/>
  <c r="Q89" i="3" s="1"/>
  <c r="L89" i="3"/>
  <c r="K89" i="3"/>
  <c r="I89" i="3"/>
  <c r="X88" i="3"/>
  <c r="U88" i="3"/>
  <c r="W88" i="3" s="1"/>
  <c r="L88" i="3"/>
  <c r="P88" i="3" s="1"/>
  <c r="R88" i="3" s="1"/>
  <c r="K88" i="3"/>
  <c r="O88" i="3" s="1"/>
  <c r="I88" i="3"/>
  <c r="X87" i="3"/>
  <c r="U87" i="3"/>
  <c r="V87" i="3" s="1"/>
  <c r="L87" i="3"/>
  <c r="P87" i="3" s="1"/>
  <c r="K87" i="3"/>
  <c r="O87" i="3" s="1"/>
  <c r="Q87" i="3" s="1"/>
  <c r="I87" i="3"/>
  <c r="X86" i="3"/>
  <c r="W86" i="3"/>
  <c r="U86" i="3"/>
  <c r="V86" i="3" s="1"/>
  <c r="P86" i="3"/>
  <c r="R86" i="3" s="1"/>
  <c r="O86" i="3"/>
  <c r="Q86" i="3" s="1"/>
  <c r="L86" i="3"/>
  <c r="AB86" i="3" s="1"/>
  <c r="K86" i="3"/>
  <c r="I86" i="3"/>
  <c r="X85" i="3"/>
  <c r="W85" i="3"/>
  <c r="U85" i="3"/>
  <c r="V85" i="3" s="1"/>
  <c r="P85" i="3"/>
  <c r="R85" i="3" s="1"/>
  <c r="O85" i="3"/>
  <c r="Q85" i="3" s="1"/>
  <c r="L85" i="3"/>
  <c r="AB85" i="3" s="1"/>
  <c r="K85" i="3"/>
  <c r="I85" i="3"/>
  <c r="X84" i="3"/>
  <c r="W84" i="3"/>
  <c r="U84" i="3"/>
  <c r="V84" i="3" s="1"/>
  <c r="P84" i="3"/>
  <c r="R84" i="3" s="1"/>
  <c r="O84" i="3"/>
  <c r="Q84" i="3" s="1"/>
  <c r="L84" i="3"/>
  <c r="K84" i="3"/>
  <c r="I84" i="3"/>
  <c r="X83" i="3"/>
  <c r="W83" i="3"/>
  <c r="U83" i="3"/>
  <c r="V83" i="3" s="1"/>
  <c r="P83" i="3"/>
  <c r="R83" i="3" s="1"/>
  <c r="O83" i="3"/>
  <c r="Q83" i="3" s="1"/>
  <c r="L83" i="3"/>
  <c r="K83" i="3"/>
  <c r="I83" i="3"/>
  <c r="X82" i="3"/>
  <c r="W82" i="3"/>
  <c r="U82" i="3"/>
  <c r="V82" i="3" s="1"/>
  <c r="P82" i="3"/>
  <c r="R82" i="3" s="1"/>
  <c r="O82" i="3"/>
  <c r="Q82" i="3" s="1"/>
  <c r="L82" i="3"/>
  <c r="K82" i="3"/>
  <c r="I82" i="3"/>
  <c r="X81" i="3"/>
  <c r="W81" i="3"/>
  <c r="U81" i="3"/>
  <c r="V81" i="3" s="1"/>
  <c r="P81" i="3"/>
  <c r="R81" i="3" s="1"/>
  <c r="O81" i="3"/>
  <c r="Q81" i="3" s="1"/>
  <c r="L81" i="3"/>
  <c r="K81" i="3"/>
  <c r="I81" i="3"/>
  <c r="X80" i="3"/>
  <c r="U80" i="3"/>
  <c r="W80" i="3" s="1"/>
  <c r="L80" i="3"/>
  <c r="P80" i="3" s="1"/>
  <c r="K80" i="3"/>
  <c r="O80" i="3" s="1"/>
  <c r="Q80" i="3" s="1"/>
  <c r="I80" i="3"/>
  <c r="X79" i="3"/>
  <c r="W79" i="3"/>
  <c r="U79" i="3"/>
  <c r="V79" i="3" s="1"/>
  <c r="P79" i="3"/>
  <c r="R79" i="3" s="1"/>
  <c r="O79" i="3"/>
  <c r="Q79" i="3" s="1"/>
  <c r="L79" i="3"/>
  <c r="K79" i="3"/>
  <c r="I79" i="3"/>
  <c r="X78" i="3"/>
  <c r="W78" i="3"/>
  <c r="U78" i="3"/>
  <c r="V78" i="3" s="1"/>
  <c r="P78" i="3"/>
  <c r="R78" i="3" s="1"/>
  <c r="O78" i="3"/>
  <c r="Q78" i="3" s="1"/>
  <c r="L78" i="3"/>
  <c r="N78" i="3" s="1"/>
  <c r="K78" i="3"/>
  <c r="I78" i="3"/>
  <c r="X77" i="3"/>
  <c r="W77" i="3"/>
  <c r="U77" i="3"/>
  <c r="V77" i="3" s="1"/>
  <c r="P77" i="3"/>
  <c r="Z77" i="3" s="1"/>
  <c r="O77" i="3"/>
  <c r="Q77" i="3" s="1"/>
  <c r="L77" i="3"/>
  <c r="AB77" i="3" s="1"/>
  <c r="K77" i="3"/>
  <c r="I77" i="3"/>
  <c r="X76" i="3"/>
  <c r="W76" i="3"/>
  <c r="U76" i="3"/>
  <c r="V76" i="3" s="1"/>
  <c r="P76" i="3"/>
  <c r="Z76" i="3" s="1"/>
  <c r="O76" i="3"/>
  <c r="Q76" i="3" s="1"/>
  <c r="L76" i="3"/>
  <c r="N76" i="3" s="1"/>
  <c r="K76" i="3"/>
  <c r="I76" i="3"/>
  <c r="X75" i="3"/>
  <c r="W75" i="3"/>
  <c r="U75" i="3"/>
  <c r="V75" i="3" s="1"/>
  <c r="P75" i="3"/>
  <c r="Z75" i="3" s="1"/>
  <c r="O75" i="3"/>
  <c r="Q75" i="3" s="1"/>
  <c r="L75" i="3"/>
  <c r="N75" i="3" s="1"/>
  <c r="K75" i="3"/>
  <c r="I75" i="3"/>
  <c r="X74" i="3"/>
  <c r="W74" i="3"/>
  <c r="U74" i="3"/>
  <c r="V74" i="3" s="1"/>
  <c r="P74" i="3"/>
  <c r="R74" i="3" s="1"/>
  <c r="O74" i="3"/>
  <c r="Q74" i="3" s="1"/>
  <c r="L74" i="3"/>
  <c r="K74" i="3"/>
  <c r="I74" i="3"/>
  <c r="X73" i="3"/>
  <c r="W73" i="3"/>
  <c r="U73" i="3"/>
  <c r="V73" i="3" s="1"/>
  <c r="P73" i="3"/>
  <c r="Z73" i="3" s="1"/>
  <c r="O73" i="3"/>
  <c r="Q73" i="3" s="1"/>
  <c r="L73" i="3"/>
  <c r="K73" i="3"/>
  <c r="I73" i="3"/>
  <c r="X72" i="3"/>
  <c r="U72" i="3"/>
  <c r="V72" i="3" s="1"/>
  <c r="L72" i="3"/>
  <c r="P72" i="3" s="1"/>
  <c r="K72" i="3"/>
  <c r="O72" i="3" s="1"/>
  <c r="Q72" i="3" s="1"/>
  <c r="I72" i="3"/>
  <c r="X71" i="3"/>
  <c r="W71" i="3"/>
  <c r="U71" i="3"/>
  <c r="V71" i="3" s="1"/>
  <c r="P71" i="3"/>
  <c r="R71" i="3" s="1"/>
  <c r="O71" i="3"/>
  <c r="Q71" i="3" s="1"/>
  <c r="L71" i="3"/>
  <c r="AC71" i="3" s="1"/>
  <c r="K71" i="3"/>
  <c r="I71" i="3"/>
  <c r="X70" i="3"/>
  <c r="W70" i="3"/>
  <c r="U70" i="3"/>
  <c r="V70" i="3" s="1"/>
  <c r="P70" i="3"/>
  <c r="R70" i="3" s="1"/>
  <c r="O70" i="3"/>
  <c r="Q70" i="3" s="1"/>
  <c r="L70" i="3"/>
  <c r="N70" i="3" s="1"/>
  <c r="K70" i="3"/>
  <c r="I70" i="3"/>
  <c r="X69" i="3"/>
  <c r="U69" i="3"/>
  <c r="V69" i="3" s="1"/>
  <c r="L69" i="3"/>
  <c r="AB69" i="3" s="1"/>
  <c r="K69" i="3"/>
  <c r="O69" i="3" s="1"/>
  <c r="Q69" i="3" s="1"/>
  <c r="I69" i="3"/>
  <c r="X68" i="3"/>
  <c r="W68" i="3"/>
  <c r="U68" i="3"/>
  <c r="V68" i="3" s="1"/>
  <c r="P68" i="3"/>
  <c r="R68" i="3" s="1"/>
  <c r="O68" i="3"/>
  <c r="Q68" i="3" s="1"/>
  <c r="L68" i="3"/>
  <c r="N68" i="3" s="1"/>
  <c r="K68" i="3"/>
  <c r="I68" i="3"/>
  <c r="X67" i="3"/>
  <c r="W67" i="3"/>
  <c r="U67" i="3"/>
  <c r="V67" i="3" s="1"/>
  <c r="P67" i="3"/>
  <c r="Z67" i="3" s="1"/>
  <c r="O67" i="3"/>
  <c r="Q67" i="3" s="1"/>
  <c r="L67" i="3"/>
  <c r="K67" i="3"/>
  <c r="I67" i="3"/>
  <c r="X66" i="3"/>
  <c r="U66" i="3"/>
  <c r="W66" i="3" s="1"/>
  <c r="L66" i="3"/>
  <c r="K66" i="3"/>
  <c r="O66" i="3" s="1"/>
  <c r="I66" i="3"/>
  <c r="X65" i="3"/>
  <c r="W65" i="3"/>
  <c r="U65" i="3"/>
  <c r="V65" i="3" s="1"/>
  <c r="P65" i="3"/>
  <c r="Z65" i="3" s="1"/>
  <c r="O65" i="3"/>
  <c r="Q65" i="3" s="1"/>
  <c r="L65" i="3"/>
  <c r="K65" i="3"/>
  <c r="I65" i="3"/>
  <c r="X64" i="3"/>
  <c r="U64" i="3"/>
  <c r="W64" i="3" s="1"/>
  <c r="L64" i="3"/>
  <c r="AB64" i="3" s="1"/>
  <c r="K64" i="3"/>
  <c r="O64" i="3" s="1"/>
  <c r="I64" i="3"/>
  <c r="X63" i="3"/>
  <c r="W63" i="3"/>
  <c r="U63" i="3"/>
  <c r="V63" i="3" s="1"/>
  <c r="P63" i="3"/>
  <c r="Z63" i="3" s="1"/>
  <c r="O63" i="3"/>
  <c r="Q63" i="3" s="1"/>
  <c r="L63" i="3"/>
  <c r="K63" i="3"/>
  <c r="I63" i="3"/>
  <c r="X62" i="3"/>
  <c r="W62" i="3"/>
  <c r="U62" i="3"/>
  <c r="V62" i="3" s="1"/>
  <c r="P62" i="3"/>
  <c r="R62" i="3" s="1"/>
  <c r="O62" i="3"/>
  <c r="Q62" i="3" s="1"/>
  <c r="L62" i="3"/>
  <c r="K62" i="3"/>
  <c r="I62" i="3"/>
  <c r="X61" i="3"/>
  <c r="W61" i="3"/>
  <c r="U61" i="3"/>
  <c r="V61" i="3" s="1"/>
  <c r="P61" i="3"/>
  <c r="R61" i="3" s="1"/>
  <c r="O61" i="3"/>
  <c r="Q61" i="3" s="1"/>
  <c r="K61" i="3"/>
  <c r="I61" i="3"/>
  <c r="X60" i="3"/>
  <c r="U60" i="3"/>
  <c r="V60" i="3" s="1"/>
  <c r="L60" i="3"/>
  <c r="P60" i="3" s="1"/>
  <c r="K60" i="3"/>
  <c r="O60" i="3" s="1"/>
  <c r="Q60" i="3" s="1"/>
  <c r="I60" i="3"/>
  <c r="X59" i="3"/>
  <c r="W59" i="3"/>
  <c r="U59" i="3"/>
  <c r="V59" i="3" s="1"/>
  <c r="P59" i="3"/>
  <c r="R59" i="3" s="1"/>
  <c r="O59" i="3"/>
  <c r="Q59" i="3" s="1"/>
  <c r="L59" i="3"/>
  <c r="AB59" i="3" s="1"/>
  <c r="K59" i="3"/>
  <c r="I59" i="3"/>
  <c r="X58" i="3"/>
  <c r="U58" i="3"/>
  <c r="V58" i="3" s="1"/>
  <c r="L58" i="3"/>
  <c r="P58" i="3" s="1"/>
  <c r="K58" i="3"/>
  <c r="O58" i="3" s="1"/>
  <c r="Q58" i="3" s="1"/>
  <c r="I58" i="3"/>
  <c r="X57" i="3"/>
  <c r="W57" i="3"/>
  <c r="U57" i="3"/>
  <c r="V57" i="3" s="1"/>
  <c r="P57" i="3"/>
  <c r="Z57" i="3" s="1"/>
  <c r="O57" i="3"/>
  <c r="Q57" i="3" s="1"/>
  <c r="L57" i="3"/>
  <c r="AB57" i="3" s="1"/>
  <c r="K57" i="3"/>
  <c r="I57" i="3"/>
  <c r="X56" i="3"/>
  <c r="U56" i="3"/>
  <c r="W56" i="3" s="1"/>
  <c r="L56" i="3"/>
  <c r="K56" i="3"/>
  <c r="O56" i="3" s="1"/>
  <c r="I56" i="3"/>
  <c r="X55" i="3"/>
  <c r="W55" i="3"/>
  <c r="U55" i="3"/>
  <c r="V55" i="3" s="1"/>
  <c r="P55" i="3"/>
  <c r="Z55" i="3" s="1"/>
  <c r="O55" i="3"/>
  <c r="Q55" i="3" s="1"/>
  <c r="L55" i="3"/>
  <c r="K55" i="3"/>
  <c r="I55" i="3"/>
  <c r="X54" i="3"/>
  <c r="W54" i="3"/>
  <c r="U54" i="3"/>
  <c r="V54" i="3" s="1"/>
  <c r="P54" i="3"/>
  <c r="Z54" i="3" s="1"/>
  <c r="O54" i="3"/>
  <c r="Q54" i="3" s="1"/>
  <c r="L54" i="3"/>
  <c r="AC54" i="3" s="1"/>
  <c r="K54" i="3"/>
  <c r="I54" i="3"/>
  <c r="X53" i="3"/>
  <c r="U53" i="3"/>
  <c r="V53" i="3" s="1"/>
  <c r="L53" i="3"/>
  <c r="K53" i="3"/>
  <c r="O53" i="3" s="1"/>
  <c r="Q53" i="3" s="1"/>
  <c r="I53" i="3"/>
  <c r="X52" i="3"/>
  <c r="W52" i="3"/>
  <c r="U52" i="3"/>
  <c r="V52" i="3" s="1"/>
  <c r="P52" i="3"/>
  <c r="O52" i="3"/>
  <c r="Q52" i="3" s="1"/>
  <c r="L52" i="3"/>
  <c r="AB52" i="3" s="1"/>
  <c r="K52" i="3"/>
  <c r="I52" i="3"/>
  <c r="X51" i="3"/>
  <c r="U51" i="3"/>
  <c r="V51" i="3" s="1"/>
  <c r="L51" i="3"/>
  <c r="P51" i="3" s="1"/>
  <c r="K51" i="3"/>
  <c r="O51" i="3" s="1"/>
  <c r="Q51" i="3" s="1"/>
  <c r="I51" i="3"/>
  <c r="X50" i="3"/>
  <c r="V50" i="3"/>
  <c r="U50" i="3"/>
  <c r="W50" i="3" s="1"/>
  <c r="N50" i="3"/>
  <c r="Y50" i="3" s="1"/>
  <c r="M50" i="3"/>
  <c r="L50" i="3"/>
  <c r="P50" i="3" s="1"/>
  <c r="K50" i="3"/>
  <c r="O50" i="3" s="1"/>
  <c r="Q50" i="3" s="1"/>
  <c r="I50" i="3"/>
  <c r="X49" i="3"/>
  <c r="W49" i="3"/>
  <c r="U49" i="3"/>
  <c r="V49" i="3" s="1"/>
  <c r="P49" i="3"/>
  <c r="Z49" i="3" s="1"/>
  <c r="O49" i="3"/>
  <c r="Q49" i="3" s="1"/>
  <c r="L49" i="3"/>
  <c r="N49" i="3" s="1"/>
  <c r="K49" i="3"/>
  <c r="I49" i="3"/>
  <c r="X48" i="3"/>
  <c r="U48" i="3"/>
  <c r="V48" i="3" s="1"/>
  <c r="L48" i="3"/>
  <c r="K48" i="3"/>
  <c r="O48" i="3" s="1"/>
  <c r="Q48" i="3" s="1"/>
  <c r="I48" i="3"/>
  <c r="X47" i="3"/>
  <c r="U47" i="3"/>
  <c r="V47" i="3" s="1"/>
  <c r="L47" i="3"/>
  <c r="P47" i="3" s="1"/>
  <c r="R47" i="3" s="1"/>
  <c r="K47" i="3"/>
  <c r="O47" i="3" s="1"/>
  <c r="Q47" i="3" s="1"/>
  <c r="I47" i="3"/>
  <c r="X46" i="3"/>
  <c r="W46" i="3"/>
  <c r="U46" i="3"/>
  <c r="V46" i="3" s="1"/>
  <c r="P46" i="3"/>
  <c r="R46" i="3" s="1"/>
  <c r="O46" i="3"/>
  <c r="Q46" i="3" s="1"/>
  <c r="L46" i="3"/>
  <c r="AC46" i="3" s="1"/>
  <c r="K46" i="3"/>
  <c r="I46" i="3"/>
  <c r="X45" i="3"/>
  <c r="W45" i="3"/>
  <c r="U45" i="3"/>
  <c r="V45" i="3" s="1"/>
  <c r="P45" i="3"/>
  <c r="O45" i="3"/>
  <c r="Q45" i="3" s="1"/>
  <c r="L45" i="3"/>
  <c r="AB45" i="3" s="1"/>
  <c r="K45" i="3"/>
  <c r="I45" i="3"/>
  <c r="X44" i="3"/>
  <c r="W44" i="3"/>
  <c r="U44" i="3"/>
  <c r="V44" i="3" s="1"/>
  <c r="P44" i="3"/>
  <c r="R44" i="3" s="1"/>
  <c r="O44" i="3"/>
  <c r="Q44" i="3" s="1"/>
  <c r="L44" i="3"/>
  <c r="K44" i="3"/>
  <c r="I44" i="3"/>
  <c r="X43" i="3"/>
  <c r="W43" i="3"/>
  <c r="U43" i="3"/>
  <c r="V43" i="3" s="1"/>
  <c r="P43" i="3"/>
  <c r="R43" i="3" s="1"/>
  <c r="O43" i="3"/>
  <c r="Q43" i="3" s="1"/>
  <c r="L43" i="3"/>
  <c r="K43" i="3"/>
  <c r="I43" i="3"/>
  <c r="X42" i="3"/>
  <c r="U42" i="3"/>
  <c r="V42" i="3" s="1"/>
  <c r="L42" i="3"/>
  <c r="P42" i="3" s="1"/>
  <c r="K42" i="3"/>
  <c r="O42" i="3" s="1"/>
  <c r="Q42" i="3" s="1"/>
  <c r="I42" i="3"/>
  <c r="X41" i="3"/>
  <c r="W41" i="3"/>
  <c r="U41" i="3"/>
  <c r="V41" i="3" s="1"/>
  <c r="P41" i="3"/>
  <c r="R41" i="3" s="1"/>
  <c r="O41" i="3"/>
  <c r="Q41" i="3" s="1"/>
  <c r="L41" i="3"/>
  <c r="K41" i="3"/>
  <c r="I41" i="3"/>
  <c r="X40" i="3"/>
  <c r="W40" i="3"/>
  <c r="U40" i="3"/>
  <c r="V40" i="3" s="1"/>
  <c r="P40" i="3"/>
  <c r="O40" i="3"/>
  <c r="Q40" i="3" s="1"/>
  <c r="L40" i="3"/>
  <c r="AC40" i="3" s="1"/>
  <c r="K40" i="3"/>
  <c r="I40" i="3"/>
  <c r="X39" i="3"/>
  <c r="W39" i="3"/>
  <c r="U39" i="3"/>
  <c r="V39" i="3" s="1"/>
  <c r="P39" i="3"/>
  <c r="R39" i="3" s="1"/>
  <c r="O39" i="3"/>
  <c r="Q39" i="3" s="1"/>
  <c r="L39" i="3"/>
  <c r="AB39" i="3" s="1"/>
  <c r="K39" i="3"/>
  <c r="I39" i="3"/>
  <c r="X38" i="3"/>
  <c r="U38" i="3"/>
  <c r="W38" i="3" s="1"/>
  <c r="L38" i="3"/>
  <c r="AC38" i="3" s="1"/>
  <c r="K38" i="3"/>
  <c r="O38" i="3" s="1"/>
  <c r="I38" i="3"/>
  <c r="X37" i="3"/>
  <c r="W37" i="3"/>
  <c r="U37" i="3"/>
  <c r="V37" i="3" s="1"/>
  <c r="P37" i="3"/>
  <c r="Z37" i="3" s="1"/>
  <c r="O37" i="3"/>
  <c r="Q37" i="3" s="1"/>
  <c r="L37" i="3"/>
  <c r="K37" i="3"/>
  <c r="I37" i="3"/>
  <c r="X36" i="3"/>
  <c r="U36" i="3"/>
  <c r="V36" i="3" s="1"/>
  <c r="L36" i="3"/>
  <c r="P36" i="3" s="1"/>
  <c r="K36" i="3"/>
  <c r="O36" i="3" s="1"/>
  <c r="Q36" i="3" s="1"/>
  <c r="I36" i="3"/>
  <c r="X35" i="3"/>
  <c r="W35" i="3"/>
  <c r="U35" i="3"/>
  <c r="V35" i="3" s="1"/>
  <c r="P35" i="3"/>
  <c r="O35" i="3"/>
  <c r="Q35" i="3" s="1"/>
  <c r="L35" i="3"/>
  <c r="K35" i="3"/>
  <c r="I35" i="3"/>
  <c r="X34" i="3"/>
  <c r="U34" i="3"/>
  <c r="W34" i="3" s="1"/>
  <c r="V34" i="3"/>
  <c r="N34" i="3"/>
  <c r="Y34" i="3" s="1"/>
  <c r="L34" i="3"/>
  <c r="K34" i="3"/>
  <c r="O34" i="3" s="1"/>
  <c r="I34" i="3"/>
  <c r="X33" i="3"/>
  <c r="W33" i="3"/>
  <c r="U33" i="3"/>
  <c r="V33" i="3" s="1"/>
  <c r="P33" i="3"/>
  <c r="R33" i="3" s="1"/>
  <c r="O33" i="3"/>
  <c r="Q33" i="3" s="1"/>
  <c r="L33" i="3"/>
  <c r="K33" i="3"/>
  <c r="I33" i="3"/>
  <c r="X32" i="3"/>
  <c r="W32" i="3"/>
  <c r="U32" i="3"/>
  <c r="V32" i="3" s="1"/>
  <c r="P32" i="3"/>
  <c r="R32" i="3" s="1"/>
  <c r="O32" i="3"/>
  <c r="Q32" i="3" s="1"/>
  <c r="L32" i="3"/>
  <c r="K32" i="3"/>
  <c r="I32" i="3"/>
  <c r="X31" i="3"/>
  <c r="W31" i="3"/>
  <c r="U31" i="3"/>
  <c r="V31" i="3" s="1"/>
  <c r="P31" i="3"/>
  <c r="O31" i="3"/>
  <c r="Q31" i="3" s="1"/>
  <c r="L31" i="3"/>
  <c r="AB31" i="3" s="1"/>
  <c r="K31" i="3"/>
  <c r="I31" i="3"/>
  <c r="X30" i="3"/>
  <c r="U30" i="3"/>
  <c r="V30" i="3" s="1"/>
  <c r="O30" i="3"/>
  <c r="Q30" i="3" s="1"/>
  <c r="L30" i="3"/>
  <c r="P30" i="3" s="1"/>
  <c r="Z30" i="3" s="1"/>
  <c r="K30" i="3"/>
  <c r="I30" i="3"/>
  <c r="X29" i="3"/>
  <c r="W29" i="3"/>
  <c r="U29" i="3"/>
  <c r="V29" i="3" s="1"/>
  <c r="P29" i="3"/>
  <c r="O29" i="3"/>
  <c r="Q29" i="3" s="1"/>
  <c r="L29" i="3"/>
  <c r="K29" i="3"/>
  <c r="I29" i="3"/>
  <c r="X28" i="3"/>
  <c r="W28" i="3"/>
  <c r="U28" i="3"/>
  <c r="V28" i="3" s="1"/>
  <c r="P28" i="3"/>
  <c r="Z28" i="3" s="1"/>
  <c r="O28" i="3"/>
  <c r="Q28" i="3" s="1"/>
  <c r="L28" i="3"/>
  <c r="K28" i="3"/>
  <c r="I28" i="3"/>
  <c r="X27" i="3"/>
  <c r="W27" i="3"/>
  <c r="U27" i="3"/>
  <c r="V27" i="3" s="1"/>
  <c r="P27" i="3"/>
  <c r="R27" i="3" s="1"/>
  <c r="O27" i="3"/>
  <c r="Q27" i="3" s="1"/>
  <c r="L27" i="3"/>
  <c r="K27" i="3"/>
  <c r="I27" i="3"/>
  <c r="X26" i="3"/>
  <c r="U26" i="3"/>
  <c r="V26" i="3" s="1"/>
  <c r="L26" i="3"/>
  <c r="P26" i="3" s="1"/>
  <c r="R26" i="3" s="1"/>
  <c r="K26" i="3"/>
  <c r="O26" i="3" s="1"/>
  <c r="Q26" i="3" s="1"/>
  <c r="I26" i="3"/>
  <c r="X25" i="3"/>
  <c r="U25" i="3"/>
  <c r="V25" i="3" s="1"/>
  <c r="L25" i="3"/>
  <c r="P25" i="3" s="1"/>
  <c r="R25" i="3" s="1"/>
  <c r="K25" i="3"/>
  <c r="O25" i="3" s="1"/>
  <c r="Q25" i="3" s="1"/>
  <c r="I25" i="3"/>
  <c r="X24" i="3"/>
  <c r="W24" i="3"/>
  <c r="U24" i="3"/>
  <c r="V24" i="3" s="1"/>
  <c r="P24" i="3"/>
  <c r="Z24" i="3" s="1"/>
  <c r="O24" i="3"/>
  <c r="Q24" i="3" s="1"/>
  <c r="L24" i="3"/>
  <c r="K24" i="3"/>
  <c r="I24" i="3"/>
  <c r="X23" i="3"/>
  <c r="U23" i="3"/>
  <c r="W23" i="3" s="1"/>
  <c r="L23" i="3"/>
  <c r="AB23" i="3" s="1"/>
  <c r="K23" i="3"/>
  <c r="O23" i="3" s="1"/>
  <c r="I23" i="3"/>
  <c r="X22" i="3"/>
  <c r="W22" i="3"/>
  <c r="U22" i="3"/>
  <c r="V22" i="3" s="1"/>
  <c r="P22" i="3"/>
  <c r="Z22" i="3" s="1"/>
  <c r="O22" i="3"/>
  <c r="Q22" i="3" s="1"/>
  <c r="L22" i="3"/>
  <c r="AC22" i="3" s="1"/>
  <c r="K22" i="3"/>
  <c r="I22" i="3"/>
  <c r="X21" i="3"/>
  <c r="U21" i="3"/>
  <c r="V21" i="3" s="1"/>
  <c r="L21" i="3"/>
  <c r="P21" i="3" s="1"/>
  <c r="R21" i="3" s="1"/>
  <c r="K21" i="3"/>
  <c r="O21" i="3" s="1"/>
  <c r="Q21" i="3" s="1"/>
  <c r="I21" i="3"/>
  <c r="X20" i="3"/>
  <c r="W20" i="3"/>
  <c r="U20" i="3"/>
  <c r="V20" i="3" s="1"/>
  <c r="P20" i="3"/>
  <c r="Z20" i="3" s="1"/>
  <c r="O20" i="3"/>
  <c r="Q20" i="3" s="1"/>
  <c r="L20" i="3"/>
  <c r="K20" i="3"/>
  <c r="I20" i="3"/>
  <c r="X19" i="3"/>
  <c r="W19" i="3"/>
  <c r="U19" i="3"/>
  <c r="V19" i="3" s="1"/>
  <c r="P19" i="3"/>
  <c r="Z19" i="3" s="1"/>
  <c r="O19" i="3"/>
  <c r="Q19" i="3" s="1"/>
  <c r="L19" i="3"/>
  <c r="K19" i="3"/>
  <c r="I19" i="3"/>
  <c r="X18" i="3"/>
  <c r="U18" i="3"/>
  <c r="W18" i="3" s="1"/>
  <c r="L18" i="3"/>
  <c r="AB18" i="3" s="1"/>
  <c r="K18" i="3"/>
  <c r="O18" i="3" s="1"/>
  <c r="Q18" i="3" s="1"/>
  <c r="I18" i="3"/>
  <c r="X17" i="3"/>
  <c r="W17" i="3"/>
  <c r="U17" i="3"/>
  <c r="V17" i="3" s="1"/>
  <c r="P17" i="3"/>
  <c r="R17" i="3" s="1"/>
  <c r="O17" i="3"/>
  <c r="Q17" i="3" s="1"/>
  <c r="L17" i="3"/>
  <c r="K17" i="3"/>
  <c r="I17" i="3"/>
  <c r="X16" i="3"/>
  <c r="W16" i="3"/>
  <c r="U16" i="3"/>
  <c r="V16" i="3" s="1"/>
  <c r="P16" i="3"/>
  <c r="O16" i="3"/>
  <c r="Q16" i="3" s="1"/>
  <c r="L16" i="3"/>
  <c r="AF16" i="3" s="1"/>
  <c r="K16" i="3"/>
  <c r="I16" i="3"/>
  <c r="X15" i="3"/>
  <c r="W15" i="3"/>
  <c r="U15" i="3"/>
  <c r="V15" i="3" s="1"/>
  <c r="P15" i="3"/>
  <c r="O15" i="3"/>
  <c r="Q15" i="3" s="1"/>
  <c r="L15" i="3"/>
  <c r="K15" i="3"/>
  <c r="I15" i="3"/>
  <c r="X14" i="3"/>
  <c r="W14" i="3"/>
  <c r="U14" i="3"/>
  <c r="V14" i="3" s="1"/>
  <c r="P14" i="3"/>
  <c r="O14" i="3"/>
  <c r="Q14" i="3" s="1"/>
  <c r="L14" i="3"/>
  <c r="N14" i="3" s="1"/>
  <c r="K14" i="3"/>
  <c r="I14" i="3"/>
  <c r="X13" i="3"/>
  <c r="W13" i="3"/>
  <c r="U13" i="3"/>
  <c r="V13" i="3" s="1"/>
  <c r="P13" i="3"/>
  <c r="R13" i="3" s="1"/>
  <c r="O13" i="3"/>
  <c r="Q13" i="3" s="1"/>
  <c r="K13" i="3"/>
  <c r="I13" i="3"/>
  <c r="P136" i="3"/>
  <c r="R136" i="3" s="1"/>
  <c r="N101" i="3"/>
  <c r="U7" i="2"/>
  <c r="U40" i="2"/>
  <c r="U73" i="2"/>
  <c r="U106" i="2"/>
  <c r="U139" i="2"/>
  <c r="U634" i="2"/>
  <c r="U601" i="2"/>
  <c r="U568" i="2"/>
  <c r="U535" i="2"/>
  <c r="U502" i="2"/>
  <c r="U469" i="2"/>
  <c r="U436" i="2"/>
  <c r="U403" i="2"/>
  <c r="U370" i="2"/>
  <c r="U337" i="2"/>
  <c r="U304" i="2"/>
  <c r="U271" i="2"/>
  <c r="U238" i="2"/>
  <c r="U205" i="2"/>
  <c r="U172" i="2"/>
  <c r="AC184" i="2"/>
  <c r="G49" i="6" s="1"/>
  <c r="D112" i="6" s="1"/>
  <c r="I194" i="3"/>
  <c r="K194" i="3"/>
  <c r="L194" i="3"/>
  <c r="O194" i="3"/>
  <c r="Q194" i="3" s="1"/>
  <c r="P194" i="3"/>
  <c r="Z194" i="3" s="1"/>
  <c r="U194" i="3"/>
  <c r="V194" i="3" s="1"/>
  <c r="W194" i="3"/>
  <c r="X194" i="3"/>
  <c r="I195" i="3"/>
  <c r="K195" i="3"/>
  <c r="L195" i="3"/>
  <c r="AC195" i="3" s="1"/>
  <c r="O195" i="3"/>
  <c r="Q195" i="3" s="1"/>
  <c r="P195" i="3"/>
  <c r="R195" i="3" s="1"/>
  <c r="U195" i="3"/>
  <c r="V195" i="3" s="1"/>
  <c r="W195" i="3"/>
  <c r="X195" i="3"/>
  <c r="I196" i="3"/>
  <c r="K196" i="3"/>
  <c r="L196" i="3"/>
  <c r="O196" i="3"/>
  <c r="Q196" i="3" s="1"/>
  <c r="P196" i="3"/>
  <c r="R196" i="3" s="1"/>
  <c r="U196" i="3"/>
  <c r="V196" i="3" s="1"/>
  <c r="W196" i="3"/>
  <c r="X196" i="3"/>
  <c r="M645" i="2"/>
  <c r="M637" i="2"/>
  <c r="M612" i="2"/>
  <c r="M604" i="2"/>
  <c r="M579" i="2"/>
  <c r="M571" i="2"/>
  <c r="F653" i="2"/>
  <c r="F645" i="2"/>
  <c r="F620" i="2"/>
  <c r="F612" i="2"/>
  <c r="F587" i="2"/>
  <c r="F579" i="2"/>
  <c r="F554" i="2"/>
  <c r="F546" i="2"/>
  <c r="M546" i="2"/>
  <c r="M538" i="2"/>
  <c r="M513" i="2"/>
  <c r="M505" i="2"/>
  <c r="F521" i="2"/>
  <c r="F513" i="2"/>
  <c r="F488" i="2"/>
  <c r="F480" i="2"/>
  <c r="M480" i="2"/>
  <c r="M472" i="2"/>
  <c r="M447" i="2"/>
  <c r="M439" i="2"/>
  <c r="F455" i="2"/>
  <c r="F447" i="2"/>
  <c r="F422" i="2"/>
  <c r="F414" i="2"/>
  <c r="M414" i="2"/>
  <c r="M406" i="2"/>
  <c r="M381" i="2"/>
  <c r="M373" i="2"/>
  <c r="F389" i="2"/>
  <c r="F381" i="2"/>
  <c r="F356" i="2"/>
  <c r="F348" i="2"/>
  <c r="M348" i="2"/>
  <c r="M340" i="2"/>
  <c r="M315" i="2"/>
  <c r="M307" i="2"/>
  <c r="F323" i="2"/>
  <c r="F315" i="2"/>
  <c r="F290" i="2"/>
  <c r="M282" i="2"/>
  <c r="M274" i="2"/>
  <c r="M249" i="2"/>
  <c r="M241" i="2"/>
  <c r="F257" i="2"/>
  <c r="F249" i="2"/>
  <c r="F224" i="2"/>
  <c r="F216" i="2"/>
  <c r="M216" i="2"/>
  <c r="M208" i="2"/>
  <c r="M183" i="2"/>
  <c r="M175" i="2"/>
  <c r="F191" i="2"/>
  <c r="F183" i="2"/>
  <c r="M150" i="2"/>
  <c r="M142" i="2"/>
  <c r="F158" i="2"/>
  <c r="F150" i="2"/>
  <c r="M117" i="2"/>
  <c r="M109" i="2"/>
  <c r="F125" i="2"/>
  <c r="F117" i="2"/>
  <c r="F92" i="2"/>
  <c r="F84" i="2"/>
  <c r="M84" i="2"/>
  <c r="M76" i="2"/>
  <c r="M51" i="2"/>
  <c r="M43" i="2"/>
  <c r="F59" i="2"/>
  <c r="F51" i="2"/>
  <c r="F18" i="2"/>
  <c r="F26" i="2"/>
  <c r="AC4" i="2"/>
  <c r="B34" i="6" s="1"/>
  <c r="N87" i="6" s="1"/>
  <c r="N107" i="6" s="1"/>
  <c r="N127" i="6" s="1"/>
  <c r="AC235" i="2"/>
  <c r="I34" i="6" s="1"/>
  <c r="N94" i="6" s="1"/>
  <c r="N114" i="6" s="1"/>
  <c r="N134" i="6" s="1"/>
  <c r="I28" i="2"/>
  <c r="I30" i="2"/>
  <c r="H9" i="2"/>
  <c r="R30" i="2" s="1"/>
  <c r="K29" i="2"/>
  <c r="K31" i="2"/>
  <c r="I261" i="2"/>
  <c r="K239" i="2"/>
  <c r="K239" i="7" s="1"/>
  <c r="H240" i="2"/>
  <c r="S240" i="2"/>
  <c r="U240" i="2"/>
  <c r="S241" i="2"/>
  <c r="U241" i="2"/>
  <c r="S243" i="2"/>
  <c r="U243" i="2"/>
  <c r="S244" i="2"/>
  <c r="U244" i="2"/>
  <c r="S245" i="2"/>
  <c r="U245" i="2"/>
  <c r="S246" i="2"/>
  <c r="U246" i="2"/>
  <c r="S247" i="2"/>
  <c r="U247" i="2"/>
  <c r="S248" i="2"/>
  <c r="U248" i="2"/>
  <c r="S249" i="2"/>
  <c r="U249" i="2"/>
  <c r="S250" i="2"/>
  <c r="U250" i="2"/>
  <c r="S251" i="2"/>
  <c r="U251" i="2"/>
  <c r="S252" i="2"/>
  <c r="U252" i="2"/>
  <c r="S253" i="2"/>
  <c r="U253" i="2"/>
  <c r="I260" i="2"/>
  <c r="I262" i="2"/>
  <c r="AC415" i="2"/>
  <c r="N49" i="6" s="1"/>
  <c r="D147" i="6" s="1"/>
  <c r="B82" i="6"/>
  <c r="B81" i="6"/>
  <c r="B80" i="6"/>
  <c r="AC202" i="2"/>
  <c r="H34" i="6" s="1"/>
  <c r="N93" i="6" s="1"/>
  <c r="N113" i="6" s="1"/>
  <c r="N133" i="6" s="1"/>
  <c r="AC37" i="2"/>
  <c r="B9" i="6" s="1"/>
  <c r="E9" i="6" s="1"/>
  <c r="H9" i="6" s="1"/>
  <c r="K9" i="6" s="1"/>
  <c r="AC169" i="2"/>
  <c r="B13" i="6" s="1"/>
  <c r="E13" i="6" s="1"/>
  <c r="H13" i="6" s="1"/>
  <c r="K13" i="6" s="1"/>
  <c r="K27" i="2"/>
  <c r="K28" i="2"/>
  <c r="K30" i="2"/>
  <c r="B9" i="2"/>
  <c r="AI8" i="2" s="1"/>
  <c r="AH27" i="2"/>
  <c r="AH26" i="2"/>
  <c r="AH25" i="2"/>
  <c r="AH24" i="2"/>
  <c r="AH23" i="2"/>
  <c r="AH22" i="2"/>
  <c r="AH21" i="2"/>
  <c r="AH20" i="2"/>
  <c r="AH19" i="2"/>
  <c r="AH18" i="2"/>
  <c r="AH17" i="2"/>
  <c r="AH16" i="2"/>
  <c r="AH15" i="2"/>
  <c r="AH14" i="2"/>
  <c r="AH13" i="2"/>
  <c r="AH12" i="2"/>
  <c r="AH11" i="2"/>
  <c r="AH10" i="2"/>
  <c r="AH9" i="2"/>
  <c r="AH8" i="2"/>
  <c r="AC646" i="2"/>
  <c r="U49" i="6" s="1"/>
  <c r="D182" i="6" s="1"/>
  <c r="AC650" i="2"/>
  <c r="U53" i="6" s="1"/>
  <c r="D186" i="6" s="1"/>
  <c r="AC649" i="2"/>
  <c r="U52" i="6" s="1"/>
  <c r="D185" i="6" s="1"/>
  <c r="AC648" i="2"/>
  <c r="U51" i="6" s="1"/>
  <c r="D184" i="6" s="1"/>
  <c r="AC647" i="2"/>
  <c r="U50" i="6" s="1"/>
  <c r="D183" i="6" s="1"/>
  <c r="AC617" i="2"/>
  <c r="T53" i="6" s="1"/>
  <c r="D181" i="6" s="1"/>
  <c r="AC616" i="2"/>
  <c r="T52" i="6" s="1"/>
  <c r="D180" i="6" s="1"/>
  <c r="AC615" i="2"/>
  <c r="T51" i="6" s="1"/>
  <c r="D179" i="6" s="1"/>
  <c r="AC614" i="2"/>
  <c r="T50" i="6" s="1"/>
  <c r="D178" i="6" s="1"/>
  <c r="AC613" i="2"/>
  <c r="T49" i="6" s="1"/>
  <c r="D177" i="6" s="1"/>
  <c r="AC584" i="2"/>
  <c r="S53" i="6" s="1"/>
  <c r="D176" i="6" s="1"/>
  <c r="AC583" i="2"/>
  <c r="S52" i="6" s="1"/>
  <c r="D175" i="6" s="1"/>
  <c r="AC582" i="2"/>
  <c r="S51" i="6" s="1"/>
  <c r="D174" i="6" s="1"/>
  <c r="AC581" i="2"/>
  <c r="S50" i="6" s="1"/>
  <c r="D173" i="6" s="1"/>
  <c r="AC580" i="2"/>
  <c r="S49" i="6" s="1"/>
  <c r="D172" i="6" s="1"/>
  <c r="AC551" i="2"/>
  <c r="R53" i="6" s="1"/>
  <c r="D171" i="6" s="1"/>
  <c r="AC550" i="2"/>
  <c r="R52" i="6" s="1"/>
  <c r="D170" i="6" s="1"/>
  <c r="AC549" i="2"/>
  <c r="R51" i="6" s="1"/>
  <c r="D169" i="6" s="1"/>
  <c r="AC548" i="2"/>
  <c r="R50" i="6" s="1"/>
  <c r="D168" i="6" s="1"/>
  <c r="AC547" i="2"/>
  <c r="R49" i="6" s="1"/>
  <c r="D167" i="6" s="1"/>
  <c r="AC518" i="2"/>
  <c r="Q53" i="6" s="1"/>
  <c r="D166" i="6" s="1"/>
  <c r="AC517" i="2"/>
  <c r="Q52" i="6" s="1"/>
  <c r="D165" i="6" s="1"/>
  <c r="AC516" i="2"/>
  <c r="Q51" i="6" s="1"/>
  <c r="D164" i="6" s="1"/>
  <c r="AC515" i="2"/>
  <c r="Q50" i="6" s="1"/>
  <c r="D163" i="6" s="1"/>
  <c r="AC514" i="2"/>
  <c r="Q49" i="6" s="1"/>
  <c r="D162" i="6" s="1"/>
  <c r="AC485" i="2"/>
  <c r="P53" i="6" s="1"/>
  <c r="D161" i="6" s="1"/>
  <c r="AC484" i="2"/>
  <c r="P52" i="6" s="1"/>
  <c r="D160" i="6" s="1"/>
  <c r="AC483" i="2"/>
  <c r="P51" i="6" s="1"/>
  <c r="D159" i="6" s="1"/>
  <c r="AC482" i="2"/>
  <c r="P50" i="6" s="1"/>
  <c r="D158" i="6" s="1"/>
  <c r="AC481" i="2"/>
  <c r="P49" i="6" s="1"/>
  <c r="D157" i="6" s="1"/>
  <c r="AC452" i="2"/>
  <c r="O53" i="6" s="1"/>
  <c r="D156" i="6" s="1"/>
  <c r="AC451" i="2"/>
  <c r="O52" i="6" s="1"/>
  <c r="D155" i="6" s="1"/>
  <c r="AC450" i="2"/>
  <c r="O51" i="6" s="1"/>
  <c r="D154" i="6" s="1"/>
  <c r="AC449" i="2"/>
  <c r="O50" i="6" s="1"/>
  <c r="D153" i="6" s="1"/>
  <c r="AC448" i="2"/>
  <c r="O49" i="6" s="1"/>
  <c r="D152" i="6" s="1"/>
  <c r="AC419" i="2"/>
  <c r="N53" i="6" s="1"/>
  <c r="D151" i="6" s="1"/>
  <c r="AC418" i="2"/>
  <c r="N52" i="6" s="1"/>
  <c r="D150" i="6" s="1"/>
  <c r="AC417" i="2"/>
  <c r="N51" i="6" s="1"/>
  <c r="D149" i="6" s="1"/>
  <c r="AC416" i="2"/>
  <c r="N50" i="6" s="1"/>
  <c r="D148" i="6" s="1"/>
  <c r="AC386" i="2"/>
  <c r="M53" i="6" s="1"/>
  <c r="D146" i="6" s="1"/>
  <c r="AC385" i="2"/>
  <c r="M52" i="6" s="1"/>
  <c r="D145" i="6" s="1"/>
  <c r="AC384" i="2"/>
  <c r="M51" i="6" s="1"/>
  <c r="D144" i="6" s="1"/>
  <c r="AC383" i="2"/>
  <c r="M50" i="6" s="1"/>
  <c r="D143" i="6" s="1"/>
  <c r="AC382" i="2"/>
  <c r="M49" i="6" s="1"/>
  <c r="D142" i="6" s="1"/>
  <c r="AC353" i="2"/>
  <c r="L53" i="6" s="1"/>
  <c r="D141" i="6" s="1"/>
  <c r="AC352" i="2"/>
  <c r="L52" i="6" s="1"/>
  <c r="D140" i="6" s="1"/>
  <c r="AC351" i="2"/>
  <c r="L51" i="6" s="1"/>
  <c r="D139" i="6" s="1"/>
  <c r="AC350" i="2"/>
  <c r="L50" i="6" s="1"/>
  <c r="D138" i="6" s="1"/>
  <c r="AC349" i="2"/>
  <c r="L49" i="6" s="1"/>
  <c r="D137" i="6" s="1"/>
  <c r="AC320" i="2"/>
  <c r="K53" i="6" s="1"/>
  <c r="D136" i="6" s="1"/>
  <c r="AC319" i="2"/>
  <c r="K52" i="6" s="1"/>
  <c r="D135" i="6" s="1"/>
  <c r="AC318" i="2"/>
  <c r="K51" i="6" s="1"/>
  <c r="D134" i="6" s="1"/>
  <c r="AC317" i="2"/>
  <c r="K50" i="6" s="1"/>
  <c r="D133" i="6" s="1"/>
  <c r="AC316" i="2"/>
  <c r="K49" i="6" s="1"/>
  <c r="D132" i="6" s="1"/>
  <c r="AC287" i="2"/>
  <c r="J53" i="6" s="1"/>
  <c r="D131" i="6" s="1"/>
  <c r="AC286" i="2"/>
  <c r="J52" i="6" s="1"/>
  <c r="D130" i="6" s="1"/>
  <c r="AC285" i="2"/>
  <c r="J51" i="6" s="1"/>
  <c r="D129" i="6" s="1"/>
  <c r="AC284" i="2"/>
  <c r="J50" i="6" s="1"/>
  <c r="D128" i="6" s="1"/>
  <c r="AC283" i="2"/>
  <c r="J49" i="6" s="1"/>
  <c r="D127" i="6" s="1"/>
  <c r="AC254" i="2"/>
  <c r="I53" i="6" s="1"/>
  <c r="D126" i="6" s="1"/>
  <c r="AC253" i="2"/>
  <c r="I52" i="6" s="1"/>
  <c r="D125" i="6" s="1"/>
  <c r="AC252" i="2"/>
  <c r="I51" i="6" s="1"/>
  <c r="D124" i="6" s="1"/>
  <c r="AC251" i="2"/>
  <c r="I50" i="6" s="1"/>
  <c r="D123" i="6" s="1"/>
  <c r="AC250" i="2"/>
  <c r="I49" i="6" s="1"/>
  <c r="D122" i="6" s="1"/>
  <c r="AC221" i="2"/>
  <c r="H53" i="6" s="1"/>
  <c r="D121" i="6" s="1"/>
  <c r="AC220" i="2"/>
  <c r="H52" i="6" s="1"/>
  <c r="D120" i="6" s="1"/>
  <c r="AC219" i="2"/>
  <c r="H51" i="6" s="1"/>
  <c r="D119" i="6" s="1"/>
  <c r="AC218" i="2"/>
  <c r="H50" i="6" s="1"/>
  <c r="D118" i="6" s="1"/>
  <c r="AC217" i="2"/>
  <c r="H49" i="6" s="1"/>
  <c r="D117" i="6" s="1"/>
  <c r="AC188" i="2"/>
  <c r="G53" i="6" s="1"/>
  <c r="D116" i="6" s="1"/>
  <c r="AC187" i="2"/>
  <c r="G52" i="6" s="1"/>
  <c r="D115" i="6" s="1"/>
  <c r="AC186" i="2"/>
  <c r="G51" i="6" s="1"/>
  <c r="D114" i="6" s="1"/>
  <c r="AC185" i="2"/>
  <c r="G50" i="6" s="1"/>
  <c r="D113" i="6" s="1"/>
  <c r="AC155" i="2"/>
  <c r="F53" i="6" s="1"/>
  <c r="D111" i="6" s="1"/>
  <c r="AC154" i="2"/>
  <c r="F52" i="6" s="1"/>
  <c r="D110" i="6" s="1"/>
  <c r="AC153" i="2"/>
  <c r="F51" i="6" s="1"/>
  <c r="D109" i="6" s="1"/>
  <c r="AC152" i="2"/>
  <c r="F50" i="6" s="1"/>
  <c r="D108" i="6" s="1"/>
  <c r="AC151" i="2"/>
  <c r="F49" i="6" s="1"/>
  <c r="D107" i="6" s="1"/>
  <c r="AC122" i="2"/>
  <c r="E53" i="6" s="1"/>
  <c r="D106" i="6" s="1"/>
  <c r="AC121" i="2"/>
  <c r="E52" i="6" s="1"/>
  <c r="D105" i="6" s="1"/>
  <c r="AC120" i="2"/>
  <c r="E51" i="6" s="1"/>
  <c r="D104" i="6" s="1"/>
  <c r="AC119" i="2"/>
  <c r="E50" i="6" s="1"/>
  <c r="D103" i="6" s="1"/>
  <c r="AC118" i="2"/>
  <c r="E49" i="6" s="1"/>
  <c r="D102" i="6" s="1"/>
  <c r="AC89" i="2"/>
  <c r="D53" i="6" s="1"/>
  <c r="D101" i="6" s="1"/>
  <c r="AC88" i="2"/>
  <c r="D52" i="6" s="1"/>
  <c r="D100" i="6" s="1"/>
  <c r="AC87" i="2"/>
  <c r="D51" i="6" s="1"/>
  <c r="D99" i="6" s="1"/>
  <c r="AC86" i="2"/>
  <c r="D50" i="6" s="1"/>
  <c r="D98" i="6" s="1"/>
  <c r="AC85" i="2"/>
  <c r="D49" i="6" s="1"/>
  <c r="D97" i="6" s="1"/>
  <c r="AC56" i="2"/>
  <c r="C53" i="6" s="1"/>
  <c r="D96" i="6" s="1"/>
  <c r="AC55" i="2"/>
  <c r="C52" i="6" s="1"/>
  <c r="D95" i="6" s="1"/>
  <c r="AC54" i="2"/>
  <c r="C51" i="6" s="1"/>
  <c r="D94" i="6" s="1"/>
  <c r="AC53" i="2"/>
  <c r="C50" i="6" s="1"/>
  <c r="D93" i="6" s="1"/>
  <c r="AC52" i="2"/>
  <c r="C49" i="6" s="1"/>
  <c r="D92" i="6" s="1"/>
  <c r="AC23" i="2"/>
  <c r="B53" i="6" s="1"/>
  <c r="D91" i="6" s="1"/>
  <c r="AC22" i="2"/>
  <c r="B52" i="6" s="1"/>
  <c r="D90" i="6" s="1"/>
  <c r="AC21" i="2"/>
  <c r="B51" i="6" s="1"/>
  <c r="D89" i="6" s="1"/>
  <c r="B50" i="6"/>
  <c r="D88" i="6" s="1"/>
  <c r="D87" i="6"/>
  <c r="B32" i="6"/>
  <c r="C32" i="6" s="1"/>
  <c r="D32" i="6" s="1"/>
  <c r="E32" i="6" s="1"/>
  <c r="F32" i="6" s="1"/>
  <c r="G32" i="6" s="1"/>
  <c r="H32" i="6" s="1"/>
  <c r="I32" i="6" s="1"/>
  <c r="J32" i="6" s="1"/>
  <c r="K32" i="6" s="1"/>
  <c r="L32" i="6" s="1"/>
  <c r="M32" i="6" s="1"/>
  <c r="N32" i="6" s="1"/>
  <c r="O32" i="6" s="1"/>
  <c r="P32" i="6" s="1"/>
  <c r="Q32" i="6" s="1"/>
  <c r="R32" i="6" s="1"/>
  <c r="S32" i="6" s="1"/>
  <c r="T32" i="6" s="1"/>
  <c r="U32" i="6" s="1"/>
  <c r="B33" i="6"/>
  <c r="C33" i="6" s="1"/>
  <c r="D33" i="6" s="1"/>
  <c r="E33" i="6" s="1"/>
  <c r="F33" i="6" s="1"/>
  <c r="G33" i="6" s="1"/>
  <c r="H33" i="6" s="1"/>
  <c r="I33" i="6" s="1"/>
  <c r="J33" i="6" s="1"/>
  <c r="K33" i="6" s="1"/>
  <c r="L33" i="6" s="1"/>
  <c r="M33" i="6" s="1"/>
  <c r="N33" i="6" s="1"/>
  <c r="O33" i="6" s="1"/>
  <c r="P33" i="6" s="1"/>
  <c r="Q33" i="6" s="1"/>
  <c r="R33" i="6" s="1"/>
  <c r="S33" i="6" s="1"/>
  <c r="T33" i="6" s="1"/>
  <c r="U33" i="6" s="1"/>
  <c r="H339" i="2"/>
  <c r="H140" i="2"/>
  <c r="H140" i="7" s="1"/>
  <c r="H107" i="2"/>
  <c r="H107" i="7" s="1"/>
  <c r="H74" i="2"/>
  <c r="H74" i="7" s="1"/>
  <c r="H41" i="2"/>
  <c r="H41" i="7" s="1"/>
  <c r="H8" i="2"/>
  <c r="H8" i="7" s="1"/>
  <c r="C40" i="6"/>
  <c r="D40" i="6"/>
  <c r="E40" i="6"/>
  <c r="F40" i="6"/>
  <c r="G40" i="6"/>
  <c r="H40" i="6"/>
  <c r="I40" i="6"/>
  <c r="J40" i="6"/>
  <c r="K40" i="6"/>
  <c r="L40" i="6"/>
  <c r="M40" i="6"/>
  <c r="N40" i="6"/>
  <c r="O40" i="6"/>
  <c r="P40" i="6"/>
  <c r="Q40" i="6"/>
  <c r="R40" i="6"/>
  <c r="S40" i="6"/>
  <c r="T40" i="6"/>
  <c r="U40" i="6"/>
  <c r="B40" i="6"/>
  <c r="V649" i="2"/>
  <c r="U649" i="2"/>
  <c r="T649" i="2"/>
  <c r="S649" i="2"/>
  <c r="R649" i="2"/>
  <c r="V648" i="2"/>
  <c r="U648" i="2"/>
  <c r="T648" i="2"/>
  <c r="S648" i="2"/>
  <c r="R648" i="2"/>
  <c r="V647" i="2"/>
  <c r="U647" i="2"/>
  <c r="T647" i="2"/>
  <c r="S647" i="2"/>
  <c r="R647" i="2"/>
  <c r="V646" i="2"/>
  <c r="U646" i="2"/>
  <c r="T646" i="2"/>
  <c r="S646" i="2"/>
  <c r="R646" i="2"/>
  <c r="V645" i="2"/>
  <c r="U645" i="2"/>
  <c r="T645" i="2"/>
  <c r="S645" i="2"/>
  <c r="R645" i="2"/>
  <c r="V644" i="2"/>
  <c r="U644" i="2"/>
  <c r="T644" i="2"/>
  <c r="S644" i="2"/>
  <c r="R644" i="2"/>
  <c r="V643" i="2"/>
  <c r="U643" i="2"/>
  <c r="T643" i="2"/>
  <c r="S643" i="2"/>
  <c r="R643" i="2"/>
  <c r="V642" i="2"/>
  <c r="U642" i="2"/>
  <c r="T642" i="2"/>
  <c r="S642" i="2"/>
  <c r="R642" i="2"/>
  <c r="V641" i="2"/>
  <c r="U641" i="2"/>
  <c r="T641" i="2"/>
  <c r="S641" i="2"/>
  <c r="R641" i="2"/>
  <c r="V640" i="2"/>
  <c r="U640" i="2"/>
  <c r="T640" i="2"/>
  <c r="S640" i="2"/>
  <c r="R640" i="2"/>
  <c r="V639" i="2"/>
  <c r="U639" i="2"/>
  <c r="T639" i="2"/>
  <c r="S639" i="2"/>
  <c r="R639" i="2"/>
  <c r="V637" i="2"/>
  <c r="U637" i="2"/>
  <c r="T637" i="2"/>
  <c r="S637" i="2"/>
  <c r="R637" i="2"/>
  <c r="V636" i="2"/>
  <c r="U636" i="2"/>
  <c r="T636" i="2"/>
  <c r="S636" i="2"/>
  <c r="R636" i="2"/>
  <c r="Q634" i="2"/>
  <c r="AC631" i="2"/>
  <c r="B27" i="6" s="1"/>
  <c r="E27" i="6" s="1"/>
  <c r="H27" i="6" s="1"/>
  <c r="K27" i="6" s="1"/>
  <c r="I632" i="2"/>
  <c r="V616" i="2"/>
  <c r="U616" i="2"/>
  <c r="T616" i="2"/>
  <c r="S616" i="2"/>
  <c r="R616" i="2"/>
  <c r="V615" i="2"/>
  <c r="U615" i="2"/>
  <c r="T615" i="2"/>
  <c r="S615" i="2"/>
  <c r="R615" i="2"/>
  <c r="V614" i="2"/>
  <c r="U614" i="2"/>
  <c r="T614" i="2"/>
  <c r="S614" i="2"/>
  <c r="R614" i="2"/>
  <c r="V613" i="2"/>
  <c r="U613" i="2"/>
  <c r="T613" i="2"/>
  <c r="S613" i="2"/>
  <c r="R613" i="2"/>
  <c r="V612" i="2"/>
  <c r="U612" i="2"/>
  <c r="T612" i="2"/>
  <c r="S612" i="2"/>
  <c r="R612" i="2"/>
  <c r="V611" i="2"/>
  <c r="U611" i="2"/>
  <c r="T611" i="2"/>
  <c r="S611" i="2"/>
  <c r="R611" i="2"/>
  <c r="V610" i="2"/>
  <c r="U610" i="2"/>
  <c r="T610" i="2"/>
  <c r="S610" i="2"/>
  <c r="R610" i="2"/>
  <c r="V609" i="2"/>
  <c r="U609" i="2"/>
  <c r="T609" i="2"/>
  <c r="S609" i="2"/>
  <c r="R609" i="2"/>
  <c r="V608" i="2"/>
  <c r="U608" i="2"/>
  <c r="T608" i="2"/>
  <c r="S608" i="2"/>
  <c r="R608" i="2"/>
  <c r="V607" i="2"/>
  <c r="U607" i="2"/>
  <c r="T607" i="2"/>
  <c r="S607" i="2"/>
  <c r="R607" i="2"/>
  <c r="V606" i="2"/>
  <c r="U606" i="2"/>
  <c r="T606" i="2"/>
  <c r="S606" i="2"/>
  <c r="R606" i="2"/>
  <c r="V604" i="2"/>
  <c r="U604" i="2"/>
  <c r="T604" i="2"/>
  <c r="S604" i="2"/>
  <c r="R604" i="2"/>
  <c r="V603" i="2"/>
  <c r="U603" i="2"/>
  <c r="T603" i="2"/>
  <c r="S603" i="2"/>
  <c r="R603" i="2"/>
  <c r="Q601" i="2"/>
  <c r="AC598" i="2"/>
  <c r="I599" i="2"/>
  <c r="I599" i="7" s="1"/>
  <c r="V583" i="2"/>
  <c r="U583" i="2"/>
  <c r="T583" i="2"/>
  <c r="S583" i="2"/>
  <c r="R583" i="2"/>
  <c r="V582" i="2"/>
  <c r="U582" i="2"/>
  <c r="T582" i="2"/>
  <c r="S582" i="2"/>
  <c r="R582" i="2"/>
  <c r="V581" i="2"/>
  <c r="U581" i="2"/>
  <c r="T581" i="2"/>
  <c r="S581" i="2"/>
  <c r="R581" i="2"/>
  <c r="V580" i="2"/>
  <c r="U580" i="2"/>
  <c r="T580" i="2"/>
  <c r="S580" i="2"/>
  <c r="R580" i="2"/>
  <c r="V579" i="2"/>
  <c r="U579" i="2"/>
  <c r="T579" i="2"/>
  <c r="S579" i="2"/>
  <c r="R579" i="2"/>
  <c r="V578" i="2"/>
  <c r="U578" i="2"/>
  <c r="T578" i="2"/>
  <c r="S578" i="2"/>
  <c r="R578" i="2"/>
  <c r="V577" i="2"/>
  <c r="U577" i="2"/>
  <c r="T577" i="2"/>
  <c r="S577" i="2"/>
  <c r="R577" i="2"/>
  <c r="V576" i="2"/>
  <c r="U576" i="2"/>
  <c r="T576" i="2"/>
  <c r="S576" i="2"/>
  <c r="R576" i="2"/>
  <c r="V575" i="2"/>
  <c r="U575" i="2"/>
  <c r="T575" i="2"/>
  <c r="S575" i="2"/>
  <c r="R575" i="2"/>
  <c r="V574" i="2"/>
  <c r="U574" i="2"/>
  <c r="T574" i="2"/>
  <c r="S574" i="2"/>
  <c r="R574" i="2"/>
  <c r="V573" i="2"/>
  <c r="U573" i="2"/>
  <c r="T573" i="2"/>
  <c r="S573" i="2"/>
  <c r="R573" i="2"/>
  <c r="V571" i="2"/>
  <c r="U571" i="2"/>
  <c r="T571" i="2"/>
  <c r="S571" i="2"/>
  <c r="R571" i="2"/>
  <c r="V570" i="2"/>
  <c r="U570" i="2"/>
  <c r="T570" i="2"/>
  <c r="S570" i="2"/>
  <c r="R570" i="2"/>
  <c r="Q568" i="2"/>
  <c r="AC565" i="2"/>
  <c r="B25" i="6" s="1"/>
  <c r="E25" i="6" s="1"/>
  <c r="H25" i="6" s="1"/>
  <c r="K25" i="6" s="1"/>
  <c r="Q25" i="6" s="1"/>
  <c r="T25" i="6" s="1"/>
  <c r="W25" i="6" s="1"/>
  <c r="I566" i="2"/>
  <c r="V550" i="2"/>
  <c r="U550" i="2"/>
  <c r="T550" i="2"/>
  <c r="S550" i="2"/>
  <c r="R550" i="2"/>
  <c r="V549" i="2"/>
  <c r="U549" i="2"/>
  <c r="T549" i="2"/>
  <c r="S549" i="2"/>
  <c r="R549" i="2"/>
  <c r="V548" i="2"/>
  <c r="U548" i="2"/>
  <c r="T548" i="2"/>
  <c r="S548" i="2"/>
  <c r="R548" i="2"/>
  <c r="V547" i="2"/>
  <c r="U547" i="2"/>
  <c r="T547" i="2"/>
  <c r="S547" i="2"/>
  <c r="R547" i="2"/>
  <c r="V546" i="2"/>
  <c r="U546" i="2"/>
  <c r="T546" i="2"/>
  <c r="S546" i="2"/>
  <c r="R546" i="2"/>
  <c r="V545" i="2"/>
  <c r="U545" i="2"/>
  <c r="T545" i="2"/>
  <c r="S545" i="2"/>
  <c r="R545" i="2"/>
  <c r="V544" i="2"/>
  <c r="U544" i="2"/>
  <c r="T544" i="2"/>
  <c r="S544" i="2"/>
  <c r="R544" i="2"/>
  <c r="V543" i="2"/>
  <c r="U543" i="2"/>
  <c r="T543" i="2"/>
  <c r="S543" i="2"/>
  <c r="R543" i="2"/>
  <c r="V542" i="2"/>
  <c r="U542" i="2"/>
  <c r="T542" i="2"/>
  <c r="S542" i="2"/>
  <c r="R542" i="2"/>
  <c r="V541" i="2"/>
  <c r="U541" i="2"/>
  <c r="T541" i="2"/>
  <c r="S541" i="2"/>
  <c r="R541" i="2"/>
  <c r="V540" i="2"/>
  <c r="U540" i="2"/>
  <c r="T540" i="2"/>
  <c r="S540" i="2"/>
  <c r="R540" i="2"/>
  <c r="V538" i="2"/>
  <c r="U538" i="2"/>
  <c r="T538" i="2"/>
  <c r="S538" i="2"/>
  <c r="R538" i="2"/>
  <c r="V537" i="2"/>
  <c r="U537" i="2"/>
  <c r="T537" i="2"/>
  <c r="S537" i="2"/>
  <c r="R537" i="2"/>
  <c r="Q535" i="2"/>
  <c r="AC532" i="2"/>
  <c r="B24" i="6" s="1"/>
  <c r="E24" i="6" s="1"/>
  <c r="H24" i="6" s="1"/>
  <c r="K24" i="6" s="1"/>
  <c r="I533" i="2"/>
  <c r="I533" i="7" s="1"/>
  <c r="V517" i="2"/>
  <c r="U517" i="2"/>
  <c r="T517" i="2"/>
  <c r="S517" i="2"/>
  <c r="R517" i="2"/>
  <c r="V516" i="2"/>
  <c r="U516" i="2"/>
  <c r="T516" i="2"/>
  <c r="S516" i="2"/>
  <c r="R516" i="2"/>
  <c r="V515" i="2"/>
  <c r="U515" i="2"/>
  <c r="T515" i="2"/>
  <c r="S515" i="2"/>
  <c r="R515" i="2"/>
  <c r="V514" i="2"/>
  <c r="U514" i="2"/>
  <c r="T514" i="2"/>
  <c r="S514" i="2"/>
  <c r="R514" i="2"/>
  <c r="V513" i="2"/>
  <c r="U513" i="2"/>
  <c r="T513" i="2"/>
  <c r="S513" i="2"/>
  <c r="R513" i="2"/>
  <c r="V512" i="2"/>
  <c r="U512" i="2"/>
  <c r="T512" i="2"/>
  <c r="S512" i="2"/>
  <c r="R512" i="2"/>
  <c r="V511" i="2"/>
  <c r="U511" i="2"/>
  <c r="T511" i="2"/>
  <c r="S511" i="2"/>
  <c r="R511" i="2"/>
  <c r="V510" i="2"/>
  <c r="U510" i="2"/>
  <c r="T510" i="2"/>
  <c r="S510" i="2"/>
  <c r="R510" i="2"/>
  <c r="V509" i="2"/>
  <c r="U509" i="2"/>
  <c r="T509" i="2"/>
  <c r="S509" i="2"/>
  <c r="R509" i="2"/>
  <c r="V508" i="2"/>
  <c r="U508" i="2"/>
  <c r="T508" i="2"/>
  <c r="S508" i="2"/>
  <c r="R508" i="2"/>
  <c r="V507" i="2"/>
  <c r="U507" i="2"/>
  <c r="T507" i="2"/>
  <c r="S507" i="2"/>
  <c r="R507" i="2"/>
  <c r="V505" i="2"/>
  <c r="U505" i="2"/>
  <c r="T505" i="2"/>
  <c r="S505" i="2"/>
  <c r="R505" i="2"/>
  <c r="V504" i="2"/>
  <c r="U504" i="2"/>
  <c r="T504" i="2"/>
  <c r="S504" i="2"/>
  <c r="R504" i="2"/>
  <c r="Q502" i="2"/>
  <c r="AC499" i="2"/>
  <c r="B23" i="6" s="1"/>
  <c r="E23" i="6" s="1"/>
  <c r="H23" i="6" s="1"/>
  <c r="K23" i="6" s="1"/>
  <c r="I500" i="2"/>
  <c r="I500" i="7" s="1"/>
  <c r="V484" i="2"/>
  <c r="U484" i="2"/>
  <c r="T484" i="2"/>
  <c r="S484" i="2"/>
  <c r="R484" i="2"/>
  <c r="V483" i="2"/>
  <c r="U483" i="2"/>
  <c r="T483" i="2"/>
  <c r="S483" i="2"/>
  <c r="R483" i="2"/>
  <c r="V482" i="2"/>
  <c r="U482" i="2"/>
  <c r="T482" i="2"/>
  <c r="S482" i="2"/>
  <c r="R482" i="2"/>
  <c r="V481" i="2"/>
  <c r="U481" i="2"/>
  <c r="T481" i="2"/>
  <c r="S481" i="2"/>
  <c r="R481" i="2"/>
  <c r="V480" i="2"/>
  <c r="U480" i="2"/>
  <c r="T480" i="2"/>
  <c r="S480" i="2"/>
  <c r="R480" i="2"/>
  <c r="V479" i="2"/>
  <c r="U479" i="2"/>
  <c r="T479" i="2"/>
  <c r="S479" i="2"/>
  <c r="R479" i="2"/>
  <c r="V478" i="2"/>
  <c r="U478" i="2"/>
  <c r="T478" i="2"/>
  <c r="S478" i="2"/>
  <c r="R478" i="2"/>
  <c r="V477" i="2"/>
  <c r="U477" i="2"/>
  <c r="T477" i="2"/>
  <c r="S477" i="2"/>
  <c r="R477" i="2"/>
  <c r="V476" i="2"/>
  <c r="U476" i="2"/>
  <c r="T476" i="2"/>
  <c r="S476" i="2"/>
  <c r="R476" i="2"/>
  <c r="V475" i="2"/>
  <c r="U475" i="2"/>
  <c r="T475" i="2"/>
  <c r="S475" i="2"/>
  <c r="R475" i="2"/>
  <c r="V474" i="2"/>
  <c r="U474" i="2"/>
  <c r="T474" i="2"/>
  <c r="S474" i="2"/>
  <c r="R474" i="2"/>
  <c r="V472" i="2"/>
  <c r="U472" i="2"/>
  <c r="T472" i="2"/>
  <c r="S472" i="2"/>
  <c r="R472" i="2"/>
  <c r="V471" i="2"/>
  <c r="U471" i="2"/>
  <c r="T471" i="2"/>
  <c r="S471" i="2"/>
  <c r="R471" i="2"/>
  <c r="Q469" i="2"/>
  <c r="AC466" i="2"/>
  <c r="I467" i="2"/>
  <c r="V451" i="2"/>
  <c r="U451" i="2"/>
  <c r="T451" i="2"/>
  <c r="S451" i="2"/>
  <c r="R451" i="2"/>
  <c r="V450" i="2"/>
  <c r="U450" i="2"/>
  <c r="T450" i="2"/>
  <c r="S450" i="2"/>
  <c r="R450" i="2"/>
  <c r="V449" i="2"/>
  <c r="U449" i="2"/>
  <c r="T449" i="2"/>
  <c r="S449" i="2"/>
  <c r="R449" i="2"/>
  <c r="V448" i="2"/>
  <c r="U448" i="2"/>
  <c r="T448" i="2"/>
  <c r="S448" i="2"/>
  <c r="R448" i="2"/>
  <c r="V447" i="2"/>
  <c r="U447" i="2"/>
  <c r="T447" i="2"/>
  <c r="S447" i="2"/>
  <c r="R447" i="2"/>
  <c r="V446" i="2"/>
  <c r="U446" i="2"/>
  <c r="T446" i="2"/>
  <c r="S446" i="2"/>
  <c r="R446" i="2"/>
  <c r="V445" i="2"/>
  <c r="U445" i="2"/>
  <c r="T445" i="2"/>
  <c r="S445" i="2"/>
  <c r="R445" i="2"/>
  <c r="V444" i="2"/>
  <c r="U444" i="2"/>
  <c r="T444" i="2"/>
  <c r="S444" i="2"/>
  <c r="R444" i="2"/>
  <c r="V443" i="2"/>
  <c r="U443" i="2"/>
  <c r="T443" i="2"/>
  <c r="S443" i="2"/>
  <c r="R443" i="2"/>
  <c r="V442" i="2"/>
  <c r="U442" i="2"/>
  <c r="T442" i="2"/>
  <c r="S442" i="2"/>
  <c r="R442" i="2"/>
  <c r="V441" i="2"/>
  <c r="U441" i="2"/>
  <c r="T441" i="2"/>
  <c r="S441" i="2"/>
  <c r="R441" i="2"/>
  <c r="V439" i="2"/>
  <c r="U439" i="2"/>
  <c r="T439" i="2"/>
  <c r="S439" i="2"/>
  <c r="R439" i="2"/>
  <c r="V438" i="2"/>
  <c r="U438" i="2"/>
  <c r="T438" i="2"/>
  <c r="S438" i="2"/>
  <c r="R438" i="2"/>
  <c r="Q436" i="2"/>
  <c r="AC433" i="2"/>
  <c r="B21" i="6" s="1"/>
  <c r="E21" i="6" s="1"/>
  <c r="H21" i="6" s="1"/>
  <c r="K21" i="6" s="1"/>
  <c r="I434" i="2"/>
  <c r="V418" i="2"/>
  <c r="U418" i="2"/>
  <c r="T418" i="2"/>
  <c r="S418" i="2"/>
  <c r="R418" i="2"/>
  <c r="V417" i="2"/>
  <c r="U417" i="2"/>
  <c r="T417" i="2"/>
  <c r="S417" i="2"/>
  <c r="R417" i="2"/>
  <c r="V416" i="2"/>
  <c r="U416" i="2"/>
  <c r="T416" i="2"/>
  <c r="S416" i="2"/>
  <c r="R416" i="2"/>
  <c r="V415" i="2"/>
  <c r="U415" i="2"/>
  <c r="T415" i="2"/>
  <c r="S415" i="2"/>
  <c r="R415" i="2"/>
  <c r="V414" i="2"/>
  <c r="U414" i="2"/>
  <c r="T414" i="2"/>
  <c r="S414" i="2"/>
  <c r="R414" i="2"/>
  <c r="V413" i="2"/>
  <c r="U413" i="2"/>
  <c r="T413" i="2"/>
  <c r="S413" i="2"/>
  <c r="R413" i="2"/>
  <c r="V412" i="2"/>
  <c r="U412" i="2"/>
  <c r="T412" i="2"/>
  <c r="S412" i="2"/>
  <c r="R412" i="2"/>
  <c r="V411" i="2"/>
  <c r="U411" i="2"/>
  <c r="T411" i="2"/>
  <c r="S411" i="2"/>
  <c r="R411" i="2"/>
  <c r="V410" i="2"/>
  <c r="U410" i="2"/>
  <c r="T410" i="2"/>
  <c r="S410" i="2"/>
  <c r="R410" i="2"/>
  <c r="V409" i="2"/>
  <c r="U409" i="2"/>
  <c r="T409" i="2"/>
  <c r="S409" i="2"/>
  <c r="R409" i="2"/>
  <c r="V408" i="2"/>
  <c r="U408" i="2"/>
  <c r="T408" i="2"/>
  <c r="S408" i="2"/>
  <c r="R408" i="2"/>
  <c r="V406" i="2"/>
  <c r="U406" i="2"/>
  <c r="T406" i="2"/>
  <c r="S406" i="2"/>
  <c r="R406" i="2"/>
  <c r="V405" i="2"/>
  <c r="U405" i="2"/>
  <c r="T405" i="2"/>
  <c r="S405" i="2"/>
  <c r="R405" i="2"/>
  <c r="Q403" i="2"/>
  <c r="AC400" i="2"/>
  <c r="N34" i="6" s="1"/>
  <c r="N99" i="6" s="1"/>
  <c r="N119" i="6" s="1"/>
  <c r="N139" i="6" s="1"/>
  <c r="I401" i="2"/>
  <c r="I401" i="7" s="1"/>
  <c r="V385" i="2"/>
  <c r="U385" i="2"/>
  <c r="T385" i="2"/>
  <c r="S385" i="2"/>
  <c r="R385" i="2"/>
  <c r="V384" i="2"/>
  <c r="U384" i="2"/>
  <c r="T384" i="2"/>
  <c r="S384" i="2"/>
  <c r="R384" i="2"/>
  <c r="V383" i="2"/>
  <c r="U383" i="2"/>
  <c r="T383" i="2"/>
  <c r="S383" i="2"/>
  <c r="R383" i="2"/>
  <c r="V382" i="2"/>
  <c r="U382" i="2"/>
  <c r="T382" i="2"/>
  <c r="S382" i="2"/>
  <c r="R382" i="2"/>
  <c r="V381" i="2"/>
  <c r="U381" i="2"/>
  <c r="T381" i="2"/>
  <c r="S381" i="2"/>
  <c r="R381" i="2"/>
  <c r="V380" i="2"/>
  <c r="U380" i="2"/>
  <c r="T380" i="2"/>
  <c r="S380" i="2"/>
  <c r="R380" i="2"/>
  <c r="V379" i="2"/>
  <c r="U379" i="2"/>
  <c r="T379" i="2"/>
  <c r="S379" i="2"/>
  <c r="R379" i="2"/>
  <c r="V378" i="2"/>
  <c r="U378" i="2"/>
  <c r="T378" i="2"/>
  <c r="S378" i="2"/>
  <c r="R378" i="2"/>
  <c r="V377" i="2"/>
  <c r="U377" i="2"/>
  <c r="T377" i="2"/>
  <c r="S377" i="2"/>
  <c r="R377" i="2"/>
  <c r="V376" i="2"/>
  <c r="U376" i="2"/>
  <c r="T376" i="2"/>
  <c r="S376" i="2"/>
  <c r="R376" i="2"/>
  <c r="V375" i="2"/>
  <c r="U375" i="2"/>
  <c r="T375" i="2"/>
  <c r="S375" i="2"/>
  <c r="R375" i="2"/>
  <c r="V373" i="2"/>
  <c r="U373" i="2"/>
  <c r="T373" i="2"/>
  <c r="S373" i="2"/>
  <c r="R373" i="2"/>
  <c r="V372" i="2"/>
  <c r="U372" i="2"/>
  <c r="T372" i="2"/>
  <c r="S372" i="2"/>
  <c r="R372" i="2"/>
  <c r="Q370" i="2"/>
  <c r="AC367" i="2"/>
  <c r="M34" i="6" s="1"/>
  <c r="N98" i="6" s="1"/>
  <c r="N118" i="6" s="1"/>
  <c r="N138" i="6" s="1"/>
  <c r="I368" i="2"/>
  <c r="I368" i="7" s="1"/>
  <c r="V352" i="2"/>
  <c r="U352" i="2"/>
  <c r="T352" i="2"/>
  <c r="S352" i="2"/>
  <c r="R352" i="2"/>
  <c r="V351" i="2"/>
  <c r="U351" i="2"/>
  <c r="T351" i="2"/>
  <c r="S351" i="2"/>
  <c r="R351" i="2"/>
  <c r="V350" i="2"/>
  <c r="U350" i="2"/>
  <c r="T350" i="2"/>
  <c r="S350" i="2"/>
  <c r="R350" i="2"/>
  <c r="V349" i="2"/>
  <c r="U349" i="2"/>
  <c r="T349" i="2"/>
  <c r="S349" i="2"/>
  <c r="R349" i="2"/>
  <c r="V348" i="2"/>
  <c r="U348" i="2"/>
  <c r="T348" i="2"/>
  <c r="S348" i="2"/>
  <c r="R348" i="2"/>
  <c r="V347" i="2"/>
  <c r="U347" i="2"/>
  <c r="T347" i="2"/>
  <c r="S347" i="2"/>
  <c r="R347" i="2"/>
  <c r="V346" i="2"/>
  <c r="U346" i="2"/>
  <c r="T346" i="2"/>
  <c r="S346" i="2"/>
  <c r="R346" i="2"/>
  <c r="V345" i="2"/>
  <c r="U345" i="2"/>
  <c r="T345" i="2"/>
  <c r="S345" i="2"/>
  <c r="R345" i="2"/>
  <c r="V344" i="2"/>
  <c r="U344" i="2"/>
  <c r="T344" i="2"/>
  <c r="S344" i="2"/>
  <c r="R344" i="2"/>
  <c r="V343" i="2"/>
  <c r="U343" i="2"/>
  <c r="T343" i="2"/>
  <c r="S343" i="2"/>
  <c r="R343" i="2"/>
  <c r="V342" i="2"/>
  <c r="U342" i="2"/>
  <c r="T342" i="2"/>
  <c r="S342" i="2"/>
  <c r="R342" i="2"/>
  <c r="V340" i="2"/>
  <c r="U340" i="2"/>
  <c r="T340" i="2"/>
  <c r="S340" i="2"/>
  <c r="R340" i="2"/>
  <c r="V339" i="2"/>
  <c r="U339" i="2"/>
  <c r="T339" i="2"/>
  <c r="S339" i="2"/>
  <c r="R339" i="2"/>
  <c r="Q337" i="2"/>
  <c r="AC334" i="2"/>
  <c r="I335" i="2"/>
  <c r="I335" i="7" s="1"/>
  <c r="V319" i="2"/>
  <c r="U319" i="2"/>
  <c r="T319" i="2"/>
  <c r="S319" i="2"/>
  <c r="R319" i="2"/>
  <c r="V318" i="2"/>
  <c r="U318" i="2"/>
  <c r="T318" i="2"/>
  <c r="S318" i="2"/>
  <c r="R318" i="2"/>
  <c r="V317" i="2"/>
  <c r="U317" i="2"/>
  <c r="T317" i="2"/>
  <c r="S317" i="2"/>
  <c r="R317" i="2"/>
  <c r="V316" i="2"/>
  <c r="U316" i="2"/>
  <c r="T316" i="2"/>
  <c r="S316" i="2"/>
  <c r="R316" i="2"/>
  <c r="V315" i="2"/>
  <c r="U315" i="2"/>
  <c r="T315" i="2"/>
  <c r="S315" i="2"/>
  <c r="R315" i="2"/>
  <c r="V314" i="2"/>
  <c r="U314" i="2"/>
  <c r="T314" i="2"/>
  <c r="S314" i="2"/>
  <c r="R314" i="2"/>
  <c r="V313" i="2"/>
  <c r="U313" i="2"/>
  <c r="T313" i="2"/>
  <c r="S313" i="2"/>
  <c r="R313" i="2"/>
  <c r="V312" i="2"/>
  <c r="U312" i="2"/>
  <c r="T312" i="2"/>
  <c r="S312" i="2"/>
  <c r="R312" i="2"/>
  <c r="V311" i="2"/>
  <c r="U311" i="2"/>
  <c r="T311" i="2"/>
  <c r="S311" i="2"/>
  <c r="R311" i="2"/>
  <c r="V310" i="2"/>
  <c r="U310" i="2"/>
  <c r="T310" i="2"/>
  <c r="S310" i="2"/>
  <c r="R310" i="2"/>
  <c r="V309" i="2"/>
  <c r="U309" i="2"/>
  <c r="T309" i="2"/>
  <c r="S309" i="2"/>
  <c r="R309" i="2"/>
  <c r="V307" i="2"/>
  <c r="U307" i="2"/>
  <c r="T307" i="2"/>
  <c r="S307" i="2"/>
  <c r="R307" i="2"/>
  <c r="V306" i="2"/>
  <c r="U306" i="2"/>
  <c r="T306" i="2"/>
  <c r="S306" i="2"/>
  <c r="R306" i="2"/>
  <c r="Q304" i="2"/>
  <c r="AC301" i="2"/>
  <c r="K34" i="6" s="1"/>
  <c r="I302" i="2"/>
  <c r="V286" i="2"/>
  <c r="U286" i="2"/>
  <c r="T286" i="2"/>
  <c r="S286" i="2"/>
  <c r="R286" i="2"/>
  <c r="V285" i="2"/>
  <c r="U285" i="2"/>
  <c r="T285" i="2"/>
  <c r="S285" i="2"/>
  <c r="R285" i="2"/>
  <c r="V284" i="2"/>
  <c r="U284" i="2"/>
  <c r="T284" i="2"/>
  <c r="S284" i="2"/>
  <c r="R284" i="2"/>
  <c r="V283" i="2"/>
  <c r="U283" i="2"/>
  <c r="T283" i="2"/>
  <c r="S283" i="2"/>
  <c r="R283" i="2"/>
  <c r="V282" i="2"/>
  <c r="U282" i="2"/>
  <c r="T282" i="2"/>
  <c r="S282" i="2"/>
  <c r="R282" i="2"/>
  <c r="V281" i="2"/>
  <c r="U281" i="2"/>
  <c r="T281" i="2"/>
  <c r="S281" i="2"/>
  <c r="R281" i="2"/>
  <c r="V280" i="2"/>
  <c r="U280" i="2"/>
  <c r="T280" i="2"/>
  <c r="S280" i="2"/>
  <c r="R280" i="2"/>
  <c r="V279" i="2"/>
  <c r="U279" i="2"/>
  <c r="T279" i="2"/>
  <c r="S279" i="2"/>
  <c r="R279" i="2"/>
  <c r="V278" i="2"/>
  <c r="U278" i="2"/>
  <c r="T278" i="2"/>
  <c r="S278" i="2"/>
  <c r="R278" i="2"/>
  <c r="V277" i="2"/>
  <c r="U277" i="2"/>
  <c r="T277" i="2"/>
  <c r="S277" i="2"/>
  <c r="R277" i="2"/>
  <c r="V276" i="2"/>
  <c r="U276" i="2"/>
  <c r="T276" i="2"/>
  <c r="S276" i="2"/>
  <c r="R276" i="2"/>
  <c r="V275" i="2"/>
  <c r="U275" i="2"/>
  <c r="T275" i="2"/>
  <c r="V274" i="2"/>
  <c r="U274" i="2"/>
  <c r="T274" i="2"/>
  <c r="S274" i="2"/>
  <c r="V273" i="2"/>
  <c r="U273" i="2"/>
  <c r="T273" i="2"/>
  <c r="S273" i="2"/>
  <c r="R273" i="2"/>
  <c r="Q271" i="2"/>
  <c r="AC268" i="2"/>
  <c r="B16" i="6" s="1"/>
  <c r="E16" i="6" s="1"/>
  <c r="H16" i="6" s="1"/>
  <c r="K16" i="6" s="1"/>
  <c r="I269" i="2"/>
  <c r="I269" i="7" s="1"/>
  <c r="V253" i="2"/>
  <c r="T253" i="2"/>
  <c r="R253" i="2"/>
  <c r="V252" i="2"/>
  <c r="T252" i="2"/>
  <c r="R252" i="2"/>
  <c r="V251" i="2"/>
  <c r="T251" i="2"/>
  <c r="R251" i="2"/>
  <c r="V250" i="2"/>
  <c r="T250" i="2"/>
  <c r="R250" i="2"/>
  <c r="V249" i="2"/>
  <c r="T249" i="2"/>
  <c r="R249" i="2"/>
  <c r="V248" i="2"/>
  <c r="T248" i="2"/>
  <c r="R248" i="2"/>
  <c r="V247" i="2"/>
  <c r="T247" i="2"/>
  <c r="R247" i="2"/>
  <c r="V246" i="2"/>
  <c r="T246" i="2"/>
  <c r="R246" i="2"/>
  <c r="V245" i="2"/>
  <c r="T245" i="2"/>
  <c r="R245" i="2"/>
  <c r="V244" i="2"/>
  <c r="T244" i="2"/>
  <c r="R244" i="2"/>
  <c r="V243" i="2"/>
  <c r="T243" i="2"/>
  <c r="R243" i="2"/>
  <c r="V241" i="2"/>
  <c r="T241" i="2"/>
  <c r="R241" i="2"/>
  <c r="V240" i="2"/>
  <c r="T240" i="2"/>
  <c r="R240" i="2"/>
  <c r="Q238" i="2"/>
  <c r="I236" i="2"/>
  <c r="V220" i="2"/>
  <c r="U220" i="2"/>
  <c r="T220" i="2"/>
  <c r="S220" i="2"/>
  <c r="R220" i="2"/>
  <c r="V219" i="2"/>
  <c r="U219" i="2"/>
  <c r="T219" i="2"/>
  <c r="S219" i="2"/>
  <c r="R219" i="2"/>
  <c r="V218" i="2"/>
  <c r="U218" i="2"/>
  <c r="T218" i="2"/>
  <c r="S218" i="2"/>
  <c r="R218" i="2"/>
  <c r="V217" i="2"/>
  <c r="U217" i="2"/>
  <c r="T217" i="2"/>
  <c r="S217" i="2"/>
  <c r="R217" i="2"/>
  <c r="V216" i="2"/>
  <c r="U216" i="2"/>
  <c r="T216" i="2"/>
  <c r="S216" i="2"/>
  <c r="R216" i="2"/>
  <c r="V215" i="2"/>
  <c r="U215" i="2"/>
  <c r="T215" i="2"/>
  <c r="S215" i="2"/>
  <c r="R215" i="2"/>
  <c r="V214" i="2"/>
  <c r="U214" i="2"/>
  <c r="T214" i="2"/>
  <c r="S214" i="2"/>
  <c r="R214" i="2"/>
  <c r="V213" i="2"/>
  <c r="U213" i="2"/>
  <c r="T213" i="2"/>
  <c r="S213" i="2"/>
  <c r="R213" i="2"/>
  <c r="V212" i="2"/>
  <c r="U212" i="2"/>
  <c r="T212" i="2"/>
  <c r="S212" i="2"/>
  <c r="R212" i="2"/>
  <c r="V211" i="2"/>
  <c r="U211" i="2"/>
  <c r="T211" i="2"/>
  <c r="S211" i="2"/>
  <c r="R211" i="2"/>
  <c r="V210" i="2"/>
  <c r="U210" i="2"/>
  <c r="T210" i="2"/>
  <c r="S210" i="2"/>
  <c r="R210" i="2"/>
  <c r="V208" i="2"/>
  <c r="U208" i="2"/>
  <c r="T208" i="2"/>
  <c r="S208" i="2"/>
  <c r="R208" i="2"/>
  <c r="V207" i="2"/>
  <c r="U207" i="2"/>
  <c r="T207" i="2"/>
  <c r="S207" i="2"/>
  <c r="R207" i="2"/>
  <c r="Q205" i="2"/>
  <c r="I203" i="2"/>
  <c r="I203" i="7" s="1"/>
  <c r="V187" i="2"/>
  <c r="U187" i="2"/>
  <c r="T187" i="2"/>
  <c r="S187" i="2"/>
  <c r="R187" i="2"/>
  <c r="V186" i="2"/>
  <c r="U186" i="2"/>
  <c r="T186" i="2"/>
  <c r="S186" i="2"/>
  <c r="R186" i="2"/>
  <c r="V185" i="2"/>
  <c r="U185" i="2"/>
  <c r="T185" i="2"/>
  <c r="S185" i="2"/>
  <c r="R185" i="2"/>
  <c r="V184" i="2"/>
  <c r="U184" i="2"/>
  <c r="T184" i="2"/>
  <c r="S184" i="2"/>
  <c r="R184" i="2"/>
  <c r="V183" i="2"/>
  <c r="U183" i="2"/>
  <c r="T183" i="2"/>
  <c r="S183" i="2"/>
  <c r="R183" i="2"/>
  <c r="V182" i="2"/>
  <c r="U182" i="2"/>
  <c r="T182" i="2"/>
  <c r="S182" i="2"/>
  <c r="R182" i="2"/>
  <c r="V181" i="2"/>
  <c r="U181" i="2"/>
  <c r="T181" i="2"/>
  <c r="S181" i="2"/>
  <c r="R181" i="2"/>
  <c r="V180" i="2"/>
  <c r="U180" i="2"/>
  <c r="T180" i="2"/>
  <c r="S180" i="2"/>
  <c r="R180" i="2"/>
  <c r="V179" i="2"/>
  <c r="U179" i="2"/>
  <c r="T179" i="2"/>
  <c r="S179" i="2"/>
  <c r="R179" i="2"/>
  <c r="V178" i="2"/>
  <c r="U178" i="2"/>
  <c r="T178" i="2"/>
  <c r="S178" i="2"/>
  <c r="R178" i="2"/>
  <c r="V177" i="2"/>
  <c r="U177" i="2"/>
  <c r="T177" i="2"/>
  <c r="S177" i="2"/>
  <c r="R177" i="2"/>
  <c r="V175" i="2"/>
  <c r="U175" i="2"/>
  <c r="T175" i="2"/>
  <c r="S175" i="2"/>
  <c r="R175" i="2"/>
  <c r="V174" i="2"/>
  <c r="U174" i="2"/>
  <c r="T174" i="2"/>
  <c r="S174" i="2"/>
  <c r="R174" i="2"/>
  <c r="Q172" i="2"/>
  <c r="I170" i="2"/>
  <c r="I170" i="7" s="1"/>
  <c r="V154" i="2"/>
  <c r="U154" i="2"/>
  <c r="T154" i="2"/>
  <c r="S154" i="2"/>
  <c r="R154" i="2"/>
  <c r="V153" i="2"/>
  <c r="U153" i="2"/>
  <c r="T153" i="2"/>
  <c r="S153" i="2"/>
  <c r="R153" i="2"/>
  <c r="V152" i="2"/>
  <c r="U152" i="2"/>
  <c r="T152" i="2"/>
  <c r="S152" i="2"/>
  <c r="R152" i="2"/>
  <c r="V151" i="2"/>
  <c r="U151" i="2"/>
  <c r="T151" i="2"/>
  <c r="S151" i="2"/>
  <c r="R151" i="2"/>
  <c r="V150" i="2"/>
  <c r="U150" i="2"/>
  <c r="T150" i="2"/>
  <c r="S150" i="2"/>
  <c r="R150" i="2"/>
  <c r="V149" i="2"/>
  <c r="U149" i="2"/>
  <c r="T149" i="2"/>
  <c r="S149" i="2"/>
  <c r="R149" i="2"/>
  <c r="V148" i="2"/>
  <c r="U148" i="2"/>
  <c r="T148" i="2"/>
  <c r="S148" i="2"/>
  <c r="R148" i="2"/>
  <c r="V147" i="2"/>
  <c r="U147" i="2"/>
  <c r="T147" i="2"/>
  <c r="S147" i="2"/>
  <c r="R147" i="2"/>
  <c r="V146" i="2"/>
  <c r="U146" i="2"/>
  <c r="T146" i="2"/>
  <c r="S146" i="2"/>
  <c r="R146" i="2"/>
  <c r="V145" i="2"/>
  <c r="U145" i="2"/>
  <c r="T145" i="2"/>
  <c r="S145" i="2"/>
  <c r="R145" i="2"/>
  <c r="V144" i="2"/>
  <c r="U144" i="2"/>
  <c r="T144" i="2"/>
  <c r="S144" i="2"/>
  <c r="R144" i="2"/>
  <c r="V142" i="2"/>
  <c r="U142" i="2"/>
  <c r="T142" i="2"/>
  <c r="S142" i="2"/>
  <c r="R142" i="2"/>
  <c r="V141" i="2"/>
  <c r="U141" i="2"/>
  <c r="T141" i="2"/>
  <c r="S141" i="2"/>
  <c r="R141" i="2"/>
  <c r="Q139" i="2"/>
  <c r="AC136" i="2"/>
  <c r="B12" i="6" s="1"/>
  <c r="E12" i="6" s="1"/>
  <c r="H12" i="6" s="1"/>
  <c r="K12" i="6" s="1"/>
  <c r="I137" i="2"/>
  <c r="I137" i="7" s="1"/>
  <c r="V121" i="2"/>
  <c r="U121" i="2"/>
  <c r="T121" i="2"/>
  <c r="S121" i="2"/>
  <c r="R121" i="2"/>
  <c r="V120" i="2"/>
  <c r="U120" i="2"/>
  <c r="T120" i="2"/>
  <c r="S120" i="2"/>
  <c r="R120" i="2"/>
  <c r="V119" i="2"/>
  <c r="U119" i="2"/>
  <c r="T119" i="2"/>
  <c r="S119" i="2"/>
  <c r="R119" i="2"/>
  <c r="V118" i="2"/>
  <c r="U118" i="2"/>
  <c r="T118" i="2"/>
  <c r="S118" i="2"/>
  <c r="R118" i="2"/>
  <c r="V117" i="2"/>
  <c r="U117" i="2"/>
  <c r="T117" i="2"/>
  <c r="S117" i="2"/>
  <c r="R117" i="2"/>
  <c r="V116" i="2"/>
  <c r="U116" i="2"/>
  <c r="T116" i="2"/>
  <c r="S116" i="2"/>
  <c r="R116" i="2"/>
  <c r="V115" i="2"/>
  <c r="U115" i="2"/>
  <c r="T115" i="2"/>
  <c r="S115" i="2"/>
  <c r="R115" i="2"/>
  <c r="V114" i="2"/>
  <c r="U114" i="2"/>
  <c r="T114" i="2"/>
  <c r="S114" i="2"/>
  <c r="R114" i="2"/>
  <c r="V113" i="2"/>
  <c r="U113" i="2"/>
  <c r="T113" i="2"/>
  <c r="S113" i="2"/>
  <c r="R113" i="2"/>
  <c r="V112" i="2"/>
  <c r="U112" i="2"/>
  <c r="T112" i="2"/>
  <c r="S112" i="2"/>
  <c r="R112" i="2"/>
  <c r="V111" i="2"/>
  <c r="U111" i="2"/>
  <c r="T111" i="2"/>
  <c r="S111" i="2"/>
  <c r="R111" i="2"/>
  <c r="V110" i="2"/>
  <c r="U110" i="2"/>
  <c r="T110" i="2"/>
  <c r="S110" i="2"/>
  <c r="R110" i="2"/>
  <c r="V109" i="2"/>
  <c r="U109" i="2"/>
  <c r="T109" i="2"/>
  <c r="S109" i="2"/>
  <c r="R109" i="2"/>
  <c r="V108" i="2"/>
  <c r="U108" i="2"/>
  <c r="T108" i="2"/>
  <c r="S108" i="2"/>
  <c r="R108" i="2"/>
  <c r="Q106" i="2"/>
  <c r="AC103" i="2"/>
  <c r="B11" i="6" s="1"/>
  <c r="E11" i="6" s="1"/>
  <c r="H11" i="6" s="1"/>
  <c r="K11" i="6" s="1"/>
  <c r="I104" i="2"/>
  <c r="I104" i="7" s="1"/>
  <c r="V88" i="2"/>
  <c r="U88" i="2"/>
  <c r="T88" i="2"/>
  <c r="S88" i="2"/>
  <c r="R88" i="2"/>
  <c r="V87" i="2"/>
  <c r="U87" i="2"/>
  <c r="T87" i="2"/>
  <c r="S87" i="2"/>
  <c r="R87" i="2"/>
  <c r="V86" i="2"/>
  <c r="U86" i="2"/>
  <c r="T86" i="2"/>
  <c r="S86" i="2"/>
  <c r="R86" i="2"/>
  <c r="V85" i="2"/>
  <c r="U85" i="2"/>
  <c r="T85" i="2"/>
  <c r="S85" i="2"/>
  <c r="R85" i="2"/>
  <c r="V84" i="2"/>
  <c r="U84" i="2"/>
  <c r="T84" i="2"/>
  <c r="S84" i="2"/>
  <c r="R84" i="2"/>
  <c r="V83" i="2"/>
  <c r="U83" i="2"/>
  <c r="T83" i="2"/>
  <c r="S83" i="2"/>
  <c r="R83" i="2"/>
  <c r="V82" i="2"/>
  <c r="U82" i="2"/>
  <c r="T82" i="2"/>
  <c r="S82" i="2"/>
  <c r="R82" i="2"/>
  <c r="V81" i="2"/>
  <c r="U81" i="2"/>
  <c r="T81" i="2"/>
  <c r="S81" i="2"/>
  <c r="R81" i="2"/>
  <c r="V80" i="2"/>
  <c r="U80" i="2"/>
  <c r="T80" i="2"/>
  <c r="S80" i="2"/>
  <c r="R80" i="2"/>
  <c r="V79" i="2"/>
  <c r="U79" i="2"/>
  <c r="T79" i="2"/>
  <c r="S79" i="2"/>
  <c r="R79" i="2"/>
  <c r="V78" i="2"/>
  <c r="U78" i="2"/>
  <c r="T78" i="2"/>
  <c r="S78" i="2"/>
  <c r="R78" i="2"/>
  <c r="V77" i="2"/>
  <c r="U77" i="2"/>
  <c r="T77" i="2"/>
  <c r="S77" i="2"/>
  <c r="R77" i="2"/>
  <c r="V76" i="2"/>
  <c r="U76" i="2"/>
  <c r="T76" i="2"/>
  <c r="S76" i="2"/>
  <c r="R76" i="2"/>
  <c r="V75" i="2"/>
  <c r="U75" i="2"/>
  <c r="T75" i="2"/>
  <c r="S75" i="2"/>
  <c r="R75" i="2"/>
  <c r="Q73" i="2"/>
  <c r="AC70" i="2"/>
  <c r="B10" i="6" s="1"/>
  <c r="E10" i="6" s="1"/>
  <c r="H10" i="6" s="1"/>
  <c r="K10" i="6" s="1"/>
  <c r="I71" i="2"/>
  <c r="I71" i="7" s="1"/>
  <c r="V55" i="2"/>
  <c r="U55" i="2"/>
  <c r="T55" i="2"/>
  <c r="S55" i="2"/>
  <c r="R55" i="2"/>
  <c r="V54" i="2"/>
  <c r="U54" i="2"/>
  <c r="T54" i="2"/>
  <c r="S54" i="2"/>
  <c r="R54" i="2"/>
  <c r="V53" i="2"/>
  <c r="U53" i="2"/>
  <c r="T53" i="2"/>
  <c r="S53" i="2"/>
  <c r="R53" i="2"/>
  <c r="V52" i="2"/>
  <c r="U52" i="2"/>
  <c r="T52" i="2"/>
  <c r="S52" i="2"/>
  <c r="R52" i="2"/>
  <c r="V51" i="2"/>
  <c r="U51" i="2"/>
  <c r="T51" i="2"/>
  <c r="S51" i="2"/>
  <c r="R51" i="2"/>
  <c r="V50" i="2"/>
  <c r="U50" i="2"/>
  <c r="T50" i="2"/>
  <c r="S50" i="2"/>
  <c r="R50" i="2"/>
  <c r="V49" i="2"/>
  <c r="U49" i="2"/>
  <c r="T49" i="2"/>
  <c r="S49" i="2"/>
  <c r="R49" i="2"/>
  <c r="V48" i="2"/>
  <c r="U48" i="2"/>
  <c r="T48" i="2"/>
  <c r="S48" i="2"/>
  <c r="R48" i="2"/>
  <c r="V47" i="2"/>
  <c r="U47" i="2"/>
  <c r="T47" i="2"/>
  <c r="S47" i="2"/>
  <c r="R47" i="2"/>
  <c r="V46" i="2"/>
  <c r="U46" i="2"/>
  <c r="T46" i="2"/>
  <c r="S46" i="2"/>
  <c r="R46" i="2"/>
  <c r="V45" i="2"/>
  <c r="U45" i="2"/>
  <c r="T45" i="2"/>
  <c r="S45" i="2"/>
  <c r="R45" i="2"/>
  <c r="V44" i="2"/>
  <c r="U44" i="2"/>
  <c r="T44" i="2"/>
  <c r="S44" i="2"/>
  <c r="R44" i="2"/>
  <c r="V43" i="2"/>
  <c r="U43" i="2"/>
  <c r="T43" i="2"/>
  <c r="S43" i="2"/>
  <c r="R43" i="2"/>
  <c r="V42" i="2"/>
  <c r="U42" i="2"/>
  <c r="T42" i="2"/>
  <c r="S42" i="2"/>
  <c r="R42" i="2"/>
  <c r="Q40" i="2"/>
  <c r="I38" i="2"/>
  <c r="I38" i="7" s="1"/>
  <c r="I5" i="2"/>
  <c r="I5" i="7" s="1"/>
  <c r="Q7" i="2"/>
  <c r="A186" i="6"/>
  <c r="A182" i="6"/>
  <c r="A183" i="6"/>
  <c r="A184" i="6"/>
  <c r="A185" i="6"/>
  <c r="C87" i="6"/>
  <c r="C92" i="6" s="1"/>
  <c r="C97" i="6" s="1"/>
  <c r="C102" i="6" s="1"/>
  <c r="C107" i="6" s="1"/>
  <c r="C112" i="6" s="1"/>
  <c r="C117" i="6" s="1"/>
  <c r="C122" i="6" s="1"/>
  <c r="C127" i="6" s="1"/>
  <c r="C132" i="6" s="1"/>
  <c r="C137" i="6" s="1"/>
  <c r="C142" i="6" s="1"/>
  <c r="C147" i="6" s="1"/>
  <c r="C152" i="6" s="1"/>
  <c r="C157" i="6" s="1"/>
  <c r="C162" i="6" s="1"/>
  <c r="C167" i="6" s="1"/>
  <c r="C172" i="6" s="1"/>
  <c r="C177" i="6" s="1"/>
  <c r="C182" i="6" s="1"/>
  <c r="A87" i="6"/>
  <c r="R9" i="2"/>
  <c r="L660" i="2"/>
  <c r="K660" i="2"/>
  <c r="J660" i="2"/>
  <c r="I660" i="2"/>
  <c r="L659" i="2"/>
  <c r="K659" i="2"/>
  <c r="J659" i="2"/>
  <c r="I659" i="2"/>
  <c r="L658" i="2"/>
  <c r="K658" i="2"/>
  <c r="J658" i="2"/>
  <c r="I658" i="2"/>
  <c r="L657" i="2"/>
  <c r="K657" i="2"/>
  <c r="J657" i="2"/>
  <c r="I657" i="2"/>
  <c r="L656" i="2"/>
  <c r="K656" i="2"/>
  <c r="J656" i="2"/>
  <c r="I656" i="2"/>
  <c r="L655" i="2"/>
  <c r="K655" i="2"/>
  <c r="J655" i="2"/>
  <c r="I655" i="2"/>
  <c r="L654" i="2"/>
  <c r="K654" i="2"/>
  <c r="J654" i="2"/>
  <c r="I654" i="2"/>
  <c r="J653" i="2"/>
  <c r="C653" i="2"/>
  <c r="J645" i="2"/>
  <c r="C645" i="2"/>
  <c r="J637" i="2"/>
  <c r="H636" i="2"/>
  <c r="B636" i="2"/>
  <c r="B636" i="7" s="1"/>
  <c r="S27" i="7" s="1"/>
  <c r="K635" i="2"/>
  <c r="D632" i="2"/>
  <c r="D632" i="7" s="1"/>
  <c r="I631" i="2"/>
  <c r="I631" i="7" s="1"/>
  <c r="E631" i="2"/>
  <c r="E631" i="7" s="1"/>
  <c r="B631" i="2"/>
  <c r="B631" i="7" s="1"/>
  <c r="L627" i="2"/>
  <c r="K627" i="2"/>
  <c r="J627" i="2"/>
  <c r="I627" i="2"/>
  <c r="L626" i="2"/>
  <c r="K626" i="2"/>
  <c r="J626" i="2"/>
  <c r="I626" i="2"/>
  <c r="L625" i="2"/>
  <c r="K625" i="2"/>
  <c r="J625" i="2"/>
  <c r="I625" i="2"/>
  <c r="L624" i="2"/>
  <c r="K624" i="2"/>
  <c r="J624" i="2"/>
  <c r="I624" i="2"/>
  <c r="L623" i="2"/>
  <c r="K623" i="2"/>
  <c r="J623" i="2"/>
  <c r="I623" i="2"/>
  <c r="L622" i="2"/>
  <c r="K622" i="2"/>
  <c r="J622" i="2"/>
  <c r="I622" i="2"/>
  <c r="L621" i="2"/>
  <c r="K621" i="2"/>
  <c r="J621" i="2"/>
  <c r="I621" i="2"/>
  <c r="J620" i="2"/>
  <c r="C620" i="2"/>
  <c r="J612" i="2"/>
  <c r="C612" i="2"/>
  <c r="J604" i="2"/>
  <c r="H603" i="2"/>
  <c r="B603" i="2"/>
  <c r="B603" i="7" s="1"/>
  <c r="S26" i="7" s="1"/>
  <c r="K602" i="2"/>
  <c r="K602" i="7" s="1"/>
  <c r="D599" i="2"/>
  <c r="D599" i="7" s="1"/>
  <c r="I598" i="2"/>
  <c r="I598" i="7" s="1"/>
  <c r="E598" i="2"/>
  <c r="E598" i="7" s="1"/>
  <c r="B598" i="2"/>
  <c r="B598" i="7" s="1"/>
  <c r="L594" i="2"/>
  <c r="K594" i="2"/>
  <c r="J594" i="2"/>
  <c r="I594" i="2"/>
  <c r="L593" i="2"/>
  <c r="K593" i="2"/>
  <c r="J593" i="2"/>
  <c r="I593" i="2"/>
  <c r="L592" i="2"/>
  <c r="K592" i="2"/>
  <c r="J592" i="2"/>
  <c r="I592" i="2"/>
  <c r="L591" i="2"/>
  <c r="K591" i="2"/>
  <c r="J591" i="2"/>
  <c r="I591" i="2"/>
  <c r="L590" i="2"/>
  <c r="K590" i="2"/>
  <c r="J590" i="2"/>
  <c r="I590" i="2"/>
  <c r="L589" i="2"/>
  <c r="K589" i="2"/>
  <c r="J589" i="2"/>
  <c r="I589" i="2"/>
  <c r="L588" i="2"/>
  <c r="K588" i="2"/>
  <c r="J588" i="2"/>
  <c r="I588" i="2"/>
  <c r="J587" i="2"/>
  <c r="C587" i="2"/>
  <c r="J579" i="2"/>
  <c r="C579" i="2"/>
  <c r="J571" i="2"/>
  <c r="H570" i="2"/>
  <c r="B570" i="2"/>
  <c r="K569" i="2"/>
  <c r="K569" i="7" s="1"/>
  <c r="D566" i="2"/>
  <c r="D566" i="7" s="1"/>
  <c r="I565" i="2"/>
  <c r="I565" i="7" s="1"/>
  <c r="E565" i="2"/>
  <c r="E565" i="7" s="1"/>
  <c r="B565" i="2"/>
  <c r="B565" i="7" s="1"/>
  <c r="L561" i="2"/>
  <c r="K561" i="2"/>
  <c r="J561" i="2"/>
  <c r="I561" i="2"/>
  <c r="L560" i="2"/>
  <c r="K560" i="2"/>
  <c r="J560" i="2"/>
  <c r="I560" i="2"/>
  <c r="L559" i="2"/>
  <c r="K559" i="2"/>
  <c r="J559" i="2"/>
  <c r="I559" i="2"/>
  <c r="L558" i="2"/>
  <c r="K558" i="2"/>
  <c r="J558" i="2"/>
  <c r="I558" i="2"/>
  <c r="L557" i="2"/>
  <c r="K557" i="2"/>
  <c r="J557" i="2"/>
  <c r="I557" i="2"/>
  <c r="L556" i="2"/>
  <c r="K556" i="2"/>
  <c r="J556" i="2"/>
  <c r="I556" i="2"/>
  <c r="L555" i="2"/>
  <c r="K555" i="2"/>
  <c r="J555" i="2"/>
  <c r="I555" i="2"/>
  <c r="J554" i="2"/>
  <c r="C554" i="2"/>
  <c r="J546" i="2"/>
  <c r="C546" i="2"/>
  <c r="J538" i="2"/>
  <c r="H537" i="2"/>
  <c r="B537" i="2"/>
  <c r="K536" i="2"/>
  <c r="D533" i="2"/>
  <c r="D533" i="7" s="1"/>
  <c r="I532" i="2"/>
  <c r="I532" i="7" s="1"/>
  <c r="E532" i="2"/>
  <c r="E532" i="7" s="1"/>
  <c r="B532" i="2"/>
  <c r="B532" i="7" s="1"/>
  <c r="L528" i="2"/>
  <c r="K528" i="2"/>
  <c r="J528" i="2"/>
  <c r="I528" i="2"/>
  <c r="L527" i="2"/>
  <c r="K527" i="2"/>
  <c r="J527" i="2"/>
  <c r="I527" i="2"/>
  <c r="L526" i="2"/>
  <c r="K526" i="2"/>
  <c r="J526" i="2"/>
  <c r="I526" i="2"/>
  <c r="L525" i="2"/>
  <c r="K525" i="2"/>
  <c r="J525" i="2"/>
  <c r="I525" i="2"/>
  <c r="L524" i="2"/>
  <c r="K524" i="2"/>
  <c r="J524" i="2"/>
  <c r="I524" i="2"/>
  <c r="L523" i="2"/>
  <c r="K523" i="2"/>
  <c r="J523" i="2"/>
  <c r="I523" i="2"/>
  <c r="L522" i="2"/>
  <c r="K522" i="2"/>
  <c r="J522" i="2"/>
  <c r="I522" i="2"/>
  <c r="J521" i="2"/>
  <c r="C521" i="2"/>
  <c r="J513" i="2"/>
  <c r="C513" i="2"/>
  <c r="J505" i="2"/>
  <c r="H504" i="2"/>
  <c r="B504" i="2"/>
  <c r="K503" i="2"/>
  <c r="K503" i="7" s="1"/>
  <c r="D500" i="2"/>
  <c r="D500" i="7" s="1"/>
  <c r="I499" i="2"/>
  <c r="I499" i="7" s="1"/>
  <c r="E499" i="2"/>
  <c r="E499" i="7" s="1"/>
  <c r="B499" i="2"/>
  <c r="B499" i="7" s="1"/>
  <c r="L495" i="2"/>
  <c r="K495" i="2"/>
  <c r="J495" i="2"/>
  <c r="I495" i="2"/>
  <c r="L494" i="2"/>
  <c r="K494" i="2"/>
  <c r="J494" i="2"/>
  <c r="I494" i="2"/>
  <c r="L493" i="2"/>
  <c r="K493" i="2"/>
  <c r="J493" i="2"/>
  <c r="I493" i="2"/>
  <c r="L492" i="2"/>
  <c r="K492" i="2"/>
  <c r="J492" i="2"/>
  <c r="I492" i="2"/>
  <c r="L491" i="2"/>
  <c r="K491" i="2"/>
  <c r="J491" i="2"/>
  <c r="I491" i="2"/>
  <c r="L490" i="2"/>
  <c r="K490" i="2"/>
  <c r="J490" i="2"/>
  <c r="I490" i="2"/>
  <c r="L489" i="2"/>
  <c r="K489" i="2"/>
  <c r="J489" i="2"/>
  <c r="I489" i="2"/>
  <c r="J488" i="2"/>
  <c r="C488" i="2"/>
  <c r="J480" i="2"/>
  <c r="C480" i="2"/>
  <c r="J472" i="2"/>
  <c r="H471" i="2"/>
  <c r="B471" i="2"/>
  <c r="B471" i="7" s="1"/>
  <c r="S22" i="7" s="1"/>
  <c r="K470" i="2"/>
  <c r="D467" i="2"/>
  <c r="D467" i="7" s="1"/>
  <c r="I466" i="2"/>
  <c r="I466" i="7" s="1"/>
  <c r="E466" i="2"/>
  <c r="E466" i="7" s="1"/>
  <c r="B466" i="2"/>
  <c r="B466" i="7" s="1"/>
  <c r="L462" i="2"/>
  <c r="K462" i="2"/>
  <c r="J462" i="2"/>
  <c r="I462" i="2"/>
  <c r="L461" i="2"/>
  <c r="K461" i="2"/>
  <c r="J461" i="2"/>
  <c r="I461" i="2"/>
  <c r="L460" i="2"/>
  <c r="K460" i="2"/>
  <c r="J460" i="2"/>
  <c r="I460" i="2"/>
  <c r="L459" i="2"/>
  <c r="K459" i="2"/>
  <c r="J459" i="2"/>
  <c r="I459" i="2"/>
  <c r="L458" i="2"/>
  <c r="K458" i="2"/>
  <c r="J458" i="2"/>
  <c r="I458" i="2"/>
  <c r="L457" i="2"/>
  <c r="K457" i="2"/>
  <c r="J457" i="2"/>
  <c r="I457" i="2"/>
  <c r="L456" i="2"/>
  <c r="K456" i="2"/>
  <c r="J456" i="2"/>
  <c r="I456" i="2"/>
  <c r="J455" i="2"/>
  <c r="C455" i="2"/>
  <c r="J447" i="2"/>
  <c r="C447" i="2"/>
  <c r="J439" i="2"/>
  <c r="H438" i="2"/>
  <c r="B438" i="2"/>
  <c r="B438" i="7" s="1"/>
  <c r="S21" i="7" s="1"/>
  <c r="K437" i="2"/>
  <c r="D434" i="2"/>
  <c r="D434" i="7" s="1"/>
  <c r="I433" i="2"/>
  <c r="I433" i="7" s="1"/>
  <c r="E433" i="2"/>
  <c r="E433" i="7" s="1"/>
  <c r="B433" i="2"/>
  <c r="B433" i="7" s="1"/>
  <c r="L429" i="2"/>
  <c r="K429" i="2"/>
  <c r="J429" i="2"/>
  <c r="I429" i="2"/>
  <c r="L428" i="2"/>
  <c r="K428" i="2"/>
  <c r="J428" i="2"/>
  <c r="I428" i="2"/>
  <c r="L427" i="2"/>
  <c r="K427" i="2"/>
  <c r="J427" i="2"/>
  <c r="I427" i="2"/>
  <c r="L426" i="2"/>
  <c r="K426" i="2"/>
  <c r="J426" i="2"/>
  <c r="I426" i="2"/>
  <c r="L425" i="2"/>
  <c r="K425" i="2"/>
  <c r="J425" i="2"/>
  <c r="I425" i="2"/>
  <c r="L424" i="2"/>
  <c r="K424" i="2"/>
  <c r="J424" i="2"/>
  <c r="I424" i="2"/>
  <c r="L423" i="2"/>
  <c r="K423" i="2"/>
  <c r="J423" i="2"/>
  <c r="I423" i="2"/>
  <c r="J422" i="2"/>
  <c r="C422" i="2"/>
  <c r="J414" i="2"/>
  <c r="C414" i="2"/>
  <c r="J406" i="2"/>
  <c r="H405" i="2"/>
  <c r="H405" i="7" s="1"/>
  <c r="B405" i="2"/>
  <c r="B405" i="7" s="1"/>
  <c r="S20" i="7" s="1"/>
  <c r="K404" i="2"/>
  <c r="K404" i="7" s="1"/>
  <c r="D401" i="2"/>
  <c r="D401" i="7" s="1"/>
  <c r="I400" i="2"/>
  <c r="I400" i="7" s="1"/>
  <c r="E400" i="2"/>
  <c r="E400" i="7" s="1"/>
  <c r="B400" i="2"/>
  <c r="B400" i="7" s="1"/>
  <c r="L396" i="2"/>
  <c r="K396" i="2"/>
  <c r="J396" i="2"/>
  <c r="I396" i="2"/>
  <c r="L395" i="2"/>
  <c r="K395" i="2"/>
  <c r="J395" i="2"/>
  <c r="I395" i="2"/>
  <c r="L394" i="2"/>
  <c r="K394" i="2"/>
  <c r="J394" i="2"/>
  <c r="I394" i="2"/>
  <c r="L393" i="2"/>
  <c r="K393" i="2"/>
  <c r="J393" i="2"/>
  <c r="I393" i="2"/>
  <c r="L392" i="2"/>
  <c r="K392" i="2"/>
  <c r="J392" i="2"/>
  <c r="I392" i="2"/>
  <c r="L391" i="2"/>
  <c r="K391" i="2"/>
  <c r="J391" i="2"/>
  <c r="I391" i="2"/>
  <c r="L390" i="2"/>
  <c r="K390" i="2"/>
  <c r="J390" i="2"/>
  <c r="I390" i="2"/>
  <c r="J389" i="2"/>
  <c r="C389" i="2"/>
  <c r="J381" i="2"/>
  <c r="C381" i="2"/>
  <c r="J373" i="2"/>
  <c r="H372" i="2"/>
  <c r="B372" i="2"/>
  <c r="K371" i="2"/>
  <c r="D368" i="2"/>
  <c r="D368" i="7" s="1"/>
  <c r="I367" i="2"/>
  <c r="I367" i="7" s="1"/>
  <c r="E367" i="2"/>
  <c r="E367" i="7" s="1"/>
  <c r="B367" i="2"/>
  <c r="B367" i="7" s="1"/>
  <c r="L363" i="2"/>
  <c r="K363" i="2"/>
  <c r="J363" i="2"/>
  <c r="I363" i="2"/>
  <c r="L362" i="2"/>
  <c r="K362" i="2"/>
  <c r="J362" i="2"/>
  <c r="I362" i="2"/>
  <c r="L361" i="2"/>
  <c r="K361" i="2"/>
  <c r="J361" i="2"/>
  <c r="I361" i="2"/>
  <c r="L360" i="2"/>
  <c r="K360" i="2"/>
  <c r="J360" i="2"/>
  <c r="I360" i="2"/>
  <c r="L359" i="2"/>
  <c r="K359" i="2"/>
  <c r="J359" i="2"/>
  <c r="I359" i="2"/>
  <c r="L358" i="2"/>
  <c r="K358" i="2"/>
  <c r="J358" i="2"/>
  <c r="I358" i="2"/>
  <c r="L357" i="2"/>
  <c r="K357" i="2"/>
  <c r="J357" i="2"/>
  <c r="I357" i="2"/>
  <c r="J356" i="2"/>
  <c r="C356" i="2"/>
  <c r="J348" i="2"/>
  <c r="C348" i="2"/>
  <c r="J340" i="2"/>
  <c r="B339" i="2"/>
  <c r="K338" i="2"/>
  <c r="K338" i="7" s="1"/>
  <c r="D335" i="2"/>
  <c r="D335" i="7" s="1"/>
  <c r="I334" i="2"/>
  <c r="I334" i="7" s="1"/>
  <c r="E334" i="2"/>
  <c r="E334" i="7" s="1"/>
  <c r="B334" i="2"/>
  <c r="B334" i="7" s="1"/>
  <c r="L330" i="2"/>
  <c r="K330" i="2"/>
  <c r="J330" i="2"/>
  <c r="I330" i="2"/>
  <c r="L329" i="2"/>
  <c r="K329" i="2"/>
  <c r="J329" i="2"/>
  <c r="I329" i="2"/>
  <c r="L328" i="2"/>
  <c r="K328" i="2"/>
  <c r="J328" i="2"/>
  <c r="I328" i="2"/>
  <c r="L327" i="2"/>
  <c r="K327" i="2"/>
  <c r="J327" i="2"/>
  <c r="I327" i="2"/>
  <c r="L326" i="2"/>
  <c r="K326" i="2"/>
  <c r="J326" i="2"/>
  <c r="I326" i="2"/>
  <c r="L325" i="2"/>
  <c r="K325" i="2"/>
  <c r="J325" i="2"/>
  <c r="I325" i="2"/>
  <c r="L324" i="2"/>
  <c r="K324" i="2"/>
  <c r="J324" i="2"/>
  <c r="I324" i="2"/>
  <c r="J323" i="2"/>
  <c r="C323" i="2"/>
  <c r="J315" i="2"/>
  <c r="C315" i="2"/>
  <c r="J307" i="2"/>
  <c r="H306" i="2"/>
  <c r="B306" i="2"/>
  <c r="K305" i="2"/>
  <c r="K305" i="7" s="1"/>
  <c r="D302" i="2"/>
  <c r="D302" i="7" s="1"/>
  <c r="I301" i="2"/>
  <c r="I301" i="7" s="1"/>
  <c r="E301" i="2"/>
  <c r="E301" i="7" s="1"/>
  <c r="B301" i="2"/>
  <c r="B301" i="7" s="1"/>
  <c r="L297" i="2"/>
  <c r="K297" i="2"/>
  <c r="J297" i="2"/>
  <c r="I297" i="2"/>
  <c r="L296" i="2"/>
  <c r="K296" i="2"/>
  <c r="J296" i="2"/>
  <c r="I296" i="2"/>
  <c r="L295" i="2"/>
  <c r="K295" i="2"/>
  <c r="J295" i="2"/>
  <c r="I295" i="2"/>
  <c r="L294" i="2"/>
  <c r="K294" i="2"/>
  <c r="J294" i="2"/>
  <c r="I294" i="2"/>
  <c r="L293" i="2"/>
  <c r="K293" i="2"/>
  <c r="J293" i="2"/>
  <c r="I293" i="2"/>
  <c r="L292" i="2"/>
  <c r="K292" i="2"/>
  <c r="J292" i="2"/>
  <c r="I292" i="2"/>
  <c r="L291" i="2"/>
  <c r="K291" i="2"/>
  <c r="J291" i="2"/>
  <c r="I291" i="2"/>
  <c r="J290" i="2"/>
  <c r="C290" i="2"/>
  <c r="J282" i="2"/>
  <c r="C282" i="2"/>
  <c r="J274" i="2"/>
  <c r="H273" i="2"/>
  <c r="B273" i="2"/>
  <c r="K272" i="2"/>
  <c r="K272" i="7" s="1"/>
  <c r="D269" i="2"/>
  <c r="D269" i="7" s="1"/>
  <c r="I268" i="2"/>
  <c r="I268" i="7" s="1"/>
  <c r="E268" i="2"/>
  <c r="E268" i="7" s="1"/>
  <c r="B268" i="2"/>
  <c r="B268" i="7" s="1"/>
  <c r="L264" i="2"/>
  <c r="K264" i="2"/>
  <c r="J264" i="2"/>
  <c r="I264" i="2"/>
  <c r="L263" i="2"/>
  <c r="K263" i="2"/>
  <c r="J263" i="2"/>
  <c r="I263" i="2"/>
  <c r="L262" i="2"/>
  <c r="K262" i="2"/>
  <c r="J262" i="2"/>
  <c r="L261" i="2"/>
  <c r="K261" i="2"/>
  <c r="J261" i="2"/>
  <c r="L260" i="2"/>
  <c r="K260" i="2"/>
  <c r="J260" i="2"/>
  <c r="L259" i="2"/>
  <c r="K259" i="2"/>
  <c r="J259" i="2"/>
  <c r="I259" i="2"/>
  <c r="L258" i="2"/>
  <c r="K258" i="2"/>
  <c r="J258" i="2"/>
  <c r="I258" i="2"/>
  <c r="J257" i="2"/>
  <c r="C257" i="2"/>
  <c r="J249" i="2"/>
  <c r="C249" i="2"/>
  <c r="J241" i="2"/>
  <c r="B240" i="2"/>
  <c r="D236" i="2"/>
  <c r="D236" i="7" s="1"/>
  <c r="I235" i="2"/>
  <c r="I235" i="7" s="1"/>
  <c r="E235" i="2"/>
  <c r="E235" i="7" s="1"/>
  <c r="B235" i="2"/>
  <c r="B235" i="7" s="1"/>
  <c r="L231" i="2"/>
  <c r="K231" i="2"/>
  <c r="J231" i="2"/>
  <c r="I231" i="2"/>
  <c r="L230" i="2"/>
  <c r="K230" i="2"/>
  <c r="J230" i="2"/>
  <c r="I230" i="2"/>
  <c r="L229" i="2"/>
  <c r="K229" i="2"/>
  <c r="J229" i="2"/>
  <c r="I229" i="2"/>
  <c r="L228" i="2"/>
  <c r="K228" i="2"/>
  <c r="J228" i="2"/>
  <c r="I228" i="2"/>
  <c r="L227" i="2"/>
  <c r="K227" i="2"/>
  <c r="J227" i="2"/>
  <c r="I227" i="2"/>
  <c r="L226" i="2"/>
  <c r="K226" i="2"/>
  <c r="J226" i="2"/>
  <c r="I226" i="2"/>
  <c r="L225" i="2"/>
  <c r="K225" i="2"/>
  <c r="J225" i="2"/>
  <c r="I225" i="2"/>
  <c r="J224" i="2"/>
  <c r="C224" i="2"/>
  <c r="J216" i="2"/>
  <c r="C216" i="2"/>
  <c r="J208" i="2"/>
  <c r="H207" i="2"/>
  <c r="B207" i="2"/>
  <c r="B207" i="7" s="1"/>
  <c r="S14" i="7" s="1"/>
  <c r="K206" i="2"/>
  <c r="D203" i="2"/>
  <c r="D203" i="7" s="1"/>
  <c r="I202" i="2"/>
  <c r="I202" i="7" s="1"/>
  <c r="E202" i="2"/>
  <c r="E202" i="7" s="1"/>
  <c r="B202" i="2"/>
  <c r="B202" i="7" s="1"/>
  <c r="L198" i="2"/>
  <c r="K198" i="2"/>
  <c r="J198" i="2"/>
  <c r="I198" i="2"/>
  <c r="L197" i="2"/>
  <c r="K197" i="2"/>
  <c r="J197" i="2"/>
  <c r="I197" i="2"/>
  <c r="L196" i="2"/>
  <c r="K196" i="2"/>
  <c r="J196" i="2"/>
  <c r="I196" i="2"/>
  <c r="L195" i="2"/>
  <c r="K195" i="2"/>
  <c r="J195" i="2"/>
  <c r="I195" i="2"/>
  <c r="L194" i="2"/>
  <c r="K194" i="2"/>
  <c r="J194" i="2"/>
  <c r="I194" i="2"/>
  <c r="L193" i="2"/>
  <c r="K193" i="2"/>
  <c r="J193" i="2"/>
  <c r="I193" i="2"/>
  <c r="L192" i="2"/>
  <c r="K192" i="2"/>
  <c r="J192" i="2"/>
  <c r="I192" i="2"/>
  <c r="J191" i="2"/>
  <c r="C191" i="2"/>
  <c r="J183" i="2"/>
  <c r="C183" i="2"/>
  <c r="J175" i="2"/>
  <c r="H174" i="2"/>
  <c r="B174" i="2"/>
  <c r="K173" i="2"/>
  <c r="K173" i="7" s="1"/>
  <c r="D170" i="2"/>
  <c r="D170" i="7" s="1"/>
  <c r="I169" i="2"/>
  <c r="I169" i="7" s="1"/>
  <c r="E169" i="2"/>
  <c r="E169" i="7" s="1"/>
  <c r="B169" i="2"/>
  <c r="B169" i="7" s="1"/>
  <c r="L165" i="2"/>
  <c r="K165" i="2"/>
  <c r="J165" i="2"/>
  <c r="I165" i="2"/>
  <c r="L164" i="2"/>
  <c r="K164" i="2"/>
  <c r="J164" i="2"/>
  <c r="I164" i="2"/>
  <c r="L163" i="2"/>
  <c r="K163" i="2"/>
  <c r="J163" i="2"/>
  <c r="I163" i="2"/>
  <c r="L162" i="2"/>
  <c r="K162" i="2"/>
  <c r="J162" i="2"/>
  <c r="I162" i="2"/>
  <c r="L161" i="2"/>
  <c r="K161" i="2"/>
  <c r="J161" i="2"/>
  <c r="I161" i="2"/>
  <c r="L160" i="2"/>
  <c r="K160" i="2"/>
  <c r="J160" i="2"/>
  <c r="I160" i="2"/>
  <c r="L159" i="2"/>
  <c r="K159" i="2"/>
  <c r="J159" i="2"/>
  <c r="I159" i="2"/>
  <c r="J158" i="2"/>
  <c r="C158" i="2"/>
  <c r="J150" i="2"/>
  <c r="C150" i="2"/>
  <c r="J142" i="2"/>
  <c r="H141" i="2"/>
  <c r="B141" i="2"/>
  <c r="K140" i="2"/>
  <c r="D137" i="2"/>
  <c r="D137" i="7" s="1"/>
  <c r="I136" i="2"/>
  <c r="I136" i="7" s="1"/>
  <c r="E136" i="2"/>
  <c r="E136" i="7" s="1"/>
  <c r="B136" i="2"/>
  <c r="B136" i="7" s="1"/>
  <c r="L132" i="2"/>
  <c r="K132" i="2"/>
  <c r="J132" i="2"/>
  <c r="I132" i="2"/>
  <c r="L131" i="2"/>
  <c r="K131" i="2"/>
  <c r="J131" i="2"/>
  <c r="I131" i="2"/>
  <c r="L130" i="2"/>
  <c r="K130" i="2"/>
  <c r="J130" i="2"/>
  <c r="I130" i="2"/>
  <c r="L129" i="2"/>
  <c r="K129" i="2"/>
  <c r="J129" i="2"/>
  <c r="I129" i="2"/>
  <c r="L128" i="2"/>
  <c r="K128" i="2"/>
  <c r="J128" i="2"/>
  <c r="I128" i="2"/>
  <c r="L127" i="2"/>
  <c r="K127" i="2"/>
  <c r="J127" i="2"/>
  <c r="I127" i="2"/>
  <c r="L126" i="2"/>
  <c r="K126" i="2"/>
  <c r="J126" i="2"/>
  <c r="I126" i="2"/>
  <c r="J125" i="2"/>
  <c r="C125" i="2"/>
  <c r="J117" i="2"/>
  <c r="C117" i="2"/>
  <c r="J109" i="2"/>
  <c r="H108" i="2"/>
  <c r="B108" i="2"/>
  <c r="K107" i="2"/>
  <c r="K107" i="7" s="1"/>
  <c r="D104" i="2"/>
  <c r="D104" i="7" s="1"/>
  <c r="I103" i="2"/>
  <c r="I103" i="7" s="1"/>
  <c r="E103" i="2"/>
  <c r="E103" i="7" s="1"/>
  <c r="B103" i="2"/>
  <c r="B103" i="7" s="1"/>
  <c r="L99" i="2"/>
  <c r="K99" i="2"/>
  <c r="J99" i="2"/>
  <c r="I99" i="2"/>
  <c r="L98" i="2"/>
  <c r="K98" i="2"/>
  <c r="J98" i="2"/>
  <c r="I98" i="2"/>
  <c r="L97" i="2"/>
  <c r="K97" i="2"/>
  <c r="J97" i="2"/>
  <c r="I97" i="2"/>
  <c r="L96" i="2"/>
  <c r="K96" i="2"/>
  <c r="J96" i="2"/>
  <c r="I96" i="2"/>
  <c r="L95" i="2"/>
  <c r="K95" i="2"/>
  <c r="J95" i="2"/>
  <c r="I95" i="2"/>
  <c r="L94" i="2"/>
  <c r="K94" i="2"/>
  <c r="J94" i="2"/>
  <c r="I94" i="2"/>
  <c r="L93" i="2"/>
  <c r="K93" i="2"/>
  <c r="J93" i="2"/>
  <c r="I93" i="2"/>
  <c r="J92" i="2"/>
  <c r="C92" i="2"/>
  <c r="J84" i="2"/>
  <c r="C84" i="2"/>
  <c r="J76" i="2"/>
  <c r="H75" i="2"/>
  <c r="B75" i="2"/>
  <c r="B75" i="7" s="1"/>
  <c r="S10" i="7" s="1"/>
  <c r="K74" i="2"/>
  <c r="D71" i="2"/>
  <c r="D71" i="7" s="1"/>
  <c r="I70" i="2"/>
  <c r="I70" i="7" s="1"/>
  <c r="E70" i="2"/>
  <c r="E70" i="7" s="1"/>
  <c r="B70" i="2"/>
  <c r="B70" i="7" s="1"/>
  <c r="L66" i="2"/>
  <c r="K66" i="2"/>
  <c r="J66" i="2"/>
  <c r="I66" i="2"/>
  <c r="L65" i="2"/>
  <c r="K65" i="2"/>
  <c r="J65" i="2"/>
  <c r="I65" i="2"/>
  <c r="L64" i="2"/>
  <c r="K64" i="2"/>
  <c r="J64" i="2"/>
  <c r="I64" i="2"/>
  <c r="L63" i="2"/>
  <c r="K63" i="2"/>
  <c r="J63" i="2"/>
  <c r="I63" i="2"/>
  <c r="L62" i="2"/>
  <c r="K62" i="2"/>
  <c r="J62" i="2"/>
  <c r="I62" i="2"/>
  <c r="L61" i="2"/>
  <c r="K61" i="2"/>
  <c r="J61" i="2"/>
  <c r="I61" i="2"/>
  <c r="L60" i="2"/>
  <c r="K60" i="2"/>
  <c r="J60" i="2"/>
  <c r="I60" i="2"/>
  <c r="J59" i="2"/>
  <c r="C59" i="2"/>
  <c r="J51" i="2"/>
  <c r="C51" i="2"/>
  <c r="J43" i="2"/>
  <c r="H42" i="2"/>
  <c r="B42" i="2"/>
  <c r="K41" i="2"/>
  <c r="K41" i="7" s="1"/>
  <c r="D38" i="2"/>
  <c r="D38" i="7" s="1"/>
  <c r="I37" i="2"/>
  <c r="I37" i="7" s="1"/>
  <c r="E37" i="2"/>
  <c r="E37" i="7" s="1"/>
  <c r="B37" i="2"/>
  <c r="B37" i="7" s="1"/>
  <c r="A59" i="2"/>
  <c r="C91" i="6"/>
  <c r="C96" i="6" s="1"/>
  <c r="C101" i="6" s="1"/>
  <c r="C106" i="6" s="1"/>
  <c r="C111" i="6" s="1"/>
  <c r="C116" i="6" s="1"/>
  <c r="C121" i="6" s="1"/>
  <c r="C126" i="6" s="1"/>
  <c r="C131" i="6" s="1"/>
  <c r="C136" i="6" s="1"/>
  <c r="C141" i="6" s="1"/>
  <c r="C146" i="6" s="1"/>
  <c r="C151" i="6" s="1"/>
  <c r="C156" i="6" s="1"/>
  <c r="C161" i="6" s="1"/>
  <c r="C166" i="6" s="1"/>
  <c r="C171" i="6" s="1"/>
  <c r="C176" i="6" s="1"/>
  <c r="C181" i="6" s="1"/>
  <c r="C186" i="6" s="1"/>
  <c r="C95" i="6"/>
  <c r="C100" i="6" s="1"/>
  <c r="C105" i="6" s="1"/>
  <c r="C110" i="6" s="1"/>
  <c r="C115" i="6" s="1"/>
  <c r="C120" i="6" s="1"/>
  <c r="C125" i="6" s="1"/>
  <c r="C130" i="6" s="1"/>
  <c r="C135" i="6" s="1"/>
  <c r="C140" i="6" s="1"/>
  <c r="C145" i="6" s="1"/>
  <c r="C150" i="6" s="1"/>
  <c r="C155" i="6" s="1"/>
  <c r="C160" i="6" s="1"/>
  <c r="C165" i="6" s="1"/>
  <c r="C170" i="6" s="1"/>
  <c r="C175" i="6" s="1"/>
  <c r="C180" i="6" s="1"/>
  <c r="C185" i="6" s="1"/>
  <c r="C89" i="6"/>
  <c r="C94" i="6" s="1"/>
  <c r="C99" i="6" s="1"/>
  <c r="C104" i="6" s="1"/>
  <c r="C109" i="6" s="1"/>
  <c r="C114" i="6" s="1"/>
  <c r="C119" i="6" s="1"/>
  <c r="C124" i="6" s="1"/>
  <c r="C129" i="6" s="1"/>
  <c r="C134" i="6" s="1"/>
  <c r="C139" i="6" s="1"/>
  <c r="C144" i="6" s="1"/>
  <c r="C149" i="6" s="1"/>
  <c r="C154" i="6" s="1"/>
  <c r="C159" i="6" s="1"/>
  <c r="C164" i="6" s="1"/>
  <c r="C169" i="6" s="1"/>
  <c r="C174" i="6" s="1"/>
  <c r="C179" i="6" s="1"/>
  <c r="C184" i="6" s="1"/>
  <c r="C88" i="6"/>
  <c r="C93" i="6" s="1"/>
  <c r="C98" i="6" s="1"/>
  <c r="C103" i="6" s="1"/>
  <c r="C108" i="6" s="1"/>
  <c r="C113" i="6" s="1"/>
  <c r="C118" i="6" s="1"/>
  <c r="C123" i="6" s="1"/>
  <c r="C128" i="6" s="1"/>
  <c r="C133" i="6" s="1"/>
  <c r="C138" i="6" s="1"/>
  <c r="C143" i="6" s="1"/>
  <c r="C148" i="6" s="1"/>
  <c r="C153" i="6" s="1"/>
  <c r="C158" i="6" s="1"/>
  <c r="C163" i="6" s="1"/>
  <c r="C168" i="6" s="1"/>
  <c r="C173" i="6" s="1"/>
  <c r="C178" i="6" s="1"/>
  <c r="C183" i="6" s="1"/>
  <c r="H51" i="2"/>
  <c r="H10" i="2"/>
  <c r="A43" i="2"/>
  <c r="K8" i="2"/>
  <c r="B4" i="2"/>
  <c r="B4" i="7" s="1"/>
  <c r="A89" i="6"/>
  <c r="A90" i="6"/>
  <c r="A91" i="6"/>
  <c r="A92" i="6"/>
  <c r="A93" i="6"/>
  <c r="A94" i="6"/>
  <c r="A95" i="6"/>
  <c r="A96" i="6"/>
  <c r="A97" i="6"/>
  <c r="A98" i="6"/>
  <c r="A99" i="6"/>
  <c r="A100" i="6"/>
  <c r="A101" i="6"/>
  <c r="A102" i="6"/>
  <c r="A103" i="6"/>
  <c r="A104" i="6"/>
  <c r="A105" i="6"/>
  <c r="A106" i="6"/>
  <c r="A107" i="6"/>
  <c r="A108" i="6"/>
  <c r="A109" i="6"/>
  <c r="A110" i="6"/>
  <c r="A111" i="6"/>
  <c r="A112" i="6"/>
  <c r="A113" i="6"/>
  <c r="A114" i="6"/>
  <c r="A115" i="6"/>
  <c r="A116" i="6"/>
  <c r="A117" i="6"/>
  <c r="A118" i="6"/>
  <c r="A119" i="6"/>
  <c r="A120" i="6"/>
  <c r="A121" i="6"/>
  <c r="A122" i="6"/>
  <c r="A123" i="6"/>
  <c r="A124" i="6"/>
  <c r="A125" i="6"/>
  <c r="A126" i="6"/>
  <c r="A127" i="6"/>
  <c r="A128" i="6"/>
  <c r="A129" i="6"/>
  <c r="A130" i="6"/>
  <c r="A131" i="6"/>
  <c r="A132" i="6"/>
  <c r="A133" i="6"/>
  <c r="A134" i="6"/>
  <c r="A135" i="6"/>
  <c r="A136" i="6"/>
  <c r="A137" i="6"/>
  <c r="A138" i="6"/>
  <c r="A139" i="6"/>
  <c r="A140" i="6"/>
  <c r="A141" i="6"/>
  <c r="A142" i="6"/>
  <c r="A143" i="6"/>
  <c r="A144" i="6"/>
  <c r="A145" i="6"/>
  <c r="A146" i="6"/>
  <c r="A147" i="6"/>
  <c r="A148" i="6"/>
  <c r="A149" i="6"/>
  <c r="A150" i="6"/>
  <c r="A151" i="6"/>
  <c r="A152" i="6"/>
  <c r="A153" i="6"/>
  <c r="A154" i="6"/>
  <c r="A155" i="6"/>
  <c r="A156" i="6"/>
  <c r="A157" i="6"/>
  <c r="A158" i="6"/>
  <c r="A159" i="6"/>
  <c r="A160" i="6"/>
  <c r="A161" i="6"/>
  <c r="A162" i="6"/>
  <c r="A163" i="6"/>
  <c r="A164" i="6"/>
  <c r="A165" i="6"/>
  <c r="A166" i="6"/>
  <c r="A167" i="6"/>
  <c r="A168" i="6"/>
  <c r="A169" i="6"/>
  <c r="A170" i="6"/>
  <c r="A171" i="6"/>
  <c r="A172" i="6"/>
  <c r="A173" i="6"/>
  <c r="A174" i="6"/>
  <c r="A175" i="6"/>
  <c r="A176" i="6"/>
  <c r="A177" i="6"/>
  <c r="A178" i="6"/>
  <c r="A179" i="6"/>
  <c r="A180" i="6"/>
  <c r="A181" i="6"/>
  <c r="J10" i="2"/>
  <c r="I4" i="2"/>
  <c r="I4" i="7" s="1"/>
  <c r="D5" i="2"/>
  <c r="D5" i="7" s="1"/>
  <c r="E4" i="2"/>
  <c r="E4" i="7" s="1"/>
  <c r="L33" i="2"/>
  <c r="L32" i="2"/>
  <c r="L31" i="2"/>
  <c r="L30" i="2"/>
  <c r="L29" i="2"/>
  <c r="L28" i="2"/>
  <c r="L27" i="2"/>
  <c r="K33" i="2"/>
  <c r="K32" i="2"/>
  <c r="J33" i="2"/>
  <c r="J32" i="2"/>
  <c r="J31" i="2"/>
  <c r="J30" i="2"/>
  <c r="J29" i="2"/>
  <c r="J28" i="2"/>
  <c r="J27" i="2"/>
  <c r="V22" i="2"/>
  <c r="V21" i="2"/>
  <c r="V20" i="2"/>
  <c r="V19" i="2"/>
  <c r="V18" i="2"/>
  <c r="V17" i="2"/>
  <c r="V16" i="2"/>
  <c r="V15" i="2"/>
  <c r="V14" i="2"/>
  <c r="V13" i="2"/>
  <c r="V12" i="2"/>
  <c r="V11" i="2"/>
  <c r="V10" i="2"/>
  <c r="V9" i="2"/>
  <c r="U22" i="2"/>
  <c r="U21" i="2"/>
  <c r="U20" i="2"/>
  <c r="U19" i="2"/>
  <c r="U18" i="2"/>
  <c r="U17" i="2"/>
  <c r="U16" i="2"/>
  <c r="U15" i="2"/>
  <c r="U14" i="2"/>
  <c r="U13" i="2"/>
  <c r="U12" i="2"/>
  <c r="U11" i="2"/>
  <c r="U10" i="2"/>
  <c r="U9" i="2"/>
  <c r="T22" i="2"/>
  <c r="T21" i="2"/>
  <c r="T20" i="2"/>
  <c r="T19" i="2"/>
  <c r="T18" i="2"/>
  <c r="T17" i="2"/>
  <c r="T16" i="2"/>
  <c r="T15" i="2"/>
  <c r="T14" i="2"/>
  <c r="T13" i="2"/>
  <c r="T12" i="2"/>
  <c r="T11" i="2"/>
  <c r="T10" i="2"/>
  <c r="T9" i="2"/>
  <c r="S22" i="2"/>
  <c r="S21" i="2"/>
  <c r="S20" i="2"/>
  <c r="S19" i="2"/>
  <c r="S18" i="2"/>
  <c r="S17" i="2"/>
  <c r="S16" i="2"/>
  <c r="S15" i="2"/>
  <c r="S14" i="2"/>
  <c r="S13" i="2"/>
  <c r="S12" i="2"/>
  <c r="J26" i="2"/>
  <c r="C26" i="2"/>
  <c r="M18" i="2"/>
  <c r="J18" i="2"/>
  <c r="C18" i="2"/>
  <c r="M10" i="2"/>
  <c r="S11" i="2"/>
  <c r="S10" i="2"/>
  <c r="S9" i="2"/>
  <c r="R21" i="2"/>
  <c r="R20" i="2"/>
  <c r="R19" i="2"/>
  <c r="R18" i="2"/>
  <c r="R17" i="2"/>
  <c r="R16" i="2"/>
  <c r="R15" i="2"/>
  <c r="R14" i="2"/>
  <c r="R13" i="2"/>
  <c r="R12" i="2"/>
  <c r="R11" i="2"/>
  <c r="R10" i="2"/>
  <c r="I33" i="2"/>
  <c r="I29" i="2"/>
  <c r="I31" i="2"/>
  <c r="I32" i="2"/>
  <c r="I27" i="2"/>
  <c r="M34" i="3"/>
  <c r="V25" i="2"/>
  <c r="V26" i="2" s="1"/>
  <c r="R58" i="2"/>
  <c r="R59" i="2" s="1"/>
  <c r="U91" i="2"/>
  <c r="U92" i="2" s="1"/>
  <c r="U124" i="2"/>
  <c r="U125" i="2" s="1"/>
  <c r="O34" i="6"/>
  <c r="S58" i="2"/>
  <c r="S59" i="2" s="1"/>
  <c r="S124" i="2"/>
  <c r="S125" i="2" s="1"/>
  <c r="U58" i="2"/>
  <c r="U59" i="2" s="1"/>
  <c r="V58" i="2"/>
  <c r="V59" i="2" s="1"/>
  <c r="U25" i="2"/>
  <c r="U26" i="2" s="1"/>
  <c r="R157" i="2"/>
  <c r="R158" i="2" s="1"/>
  <c r="S91" i="2"/>
  <c r="S92" i="2" s="1"/>
  <c r="V91" i="2"/>
  <c r="V92" i="2" s="1"/>
  <c r="T25" i="2"/>
  <c r="T26" i="2" s="1"/>
  <c r="R25" i="2"/>
  <c r="R26" i="2" s="1"/>
  <c r="W24" i="2"/>
  <c r="V124" i="2"/>
  <c r="V125" i="2" s="1"/>
  <c r="T157" i="2"/>
  <c r="T158" i="2" s="1"/>
  <c r="S25" i="2"/>
  <c r="V157" i="2"/>
  <c r="V158" i="2" s="1"/>
  <c r="W156" i="2"/>
  <c r="S157" i="2"/>
  <c r="U157" i="2"/>
  <c r="U158" i="2" s="1"/>
  <c r="W90" i="2"/>
  <c r="W57" i="2"/>
  <c r="T58" i="2"/>
  <c r="T59" i="2" s="1"/>
  <c r="R124" i="2"/>
  <c r="R125" i="2" s="1"/>
  <c r="W123" i="2"/>
  <c r="R91" i="2"/>
  <c r="R92" i="2" s="1"/>
  <c r="T124" i="2"/>
  <c r="T125" i="2" s="1"/>
  <c r="T91" i="2"/>
  <c r="T92" i="2" s="1"/>
  <c r="E82" i="6"/>
  <c r="P69" i="3" l="1"/>
  <c r="W69" i="3"/>
  <c r="W25" i="3"/>
  <c r="W149" i="3"/>
  <c r="M115" i="3"/>
  <c r="V115" i="3"/>
  <c r="W142" i="3"/>
  <c r="P234" i="3"/>
  <c r="R234" i="3" s="1"/>
  <c r="V176" i="3"/>
  <c r="M176" i="3"/>
  <c r="V18" i="3"/>
  <c r="W234" i="3"/>
  <c r="Z60" i="3"/>
  <c r="W60" i="3"/>
  <c r="W58" i="3"/>
  <c r="W147" i="3"/>
  <c r="V156" i="3"/>
  <c r="V56" i="3"/>
  <c r="U63" i="2"/>
  <c r="S61" i="2"/>
  <c r="T63" i="2"/>
  <c r="T61" i="2"/>
  <c r="S63" i="2"/>
  <c r="R63" i="2"/>
  <c r="V61" i="2"/>
  <c r="V63" i="2"/>
  <c r="R61" i="2"/>
  <c r="U61" i="2"/>
  <c r="A76" i="2"/>
  <c r="O50" i="2"/>
  <c r="O40" i="2"/>
  <c r="H43" i="2"/>
  <c r="O9" i="2"/>
  <c r="O19" i="2"/>
  <c r="A51" i="2"/>
  <c r="O21" i="2"/>
  <c r="O11" i="2"/>
  <c r="H84" i="2"/>
  <c r="O46" i="2"/>
  <c r="O56" i="2"/>
  <c r="S96" i="2"/>
  <c r="T96" i="2"/>
  <c r="V96" i="2"/>
  <c r="U96" i="2"/>
  <c r="R96" i="2"/>
  <c r="A92" i="2"/>
  <c r="O58" i="2"/>
  <c r="O48" i="2"/>
  <c r="V129" i="2"/>
  <c r="S129" i="2"/>
  <c r="R129" i="2"/>
  <c r="T129" i="2"/>
  <c r="U129" i="2"/>
  <c r="R162" i="2"/>
  <c r="V162" i="2"/>
  <c r="U162" i="2"/>
  <c r="T162" i="2"/>
  <c r="S162" i="2"/>
  <c r="B152" i="6"/>
  <c r="B153" i="6" s="1"/>
  <c r="B154" i="6" s="1"/>
  <c r="B155" i="6" s="1"/>
  <c r="B156" i="6" s="1"/>
  <c r="N100" i="6"/>
  <c r="N120" i="6" s="1"/>
  <c r="N140" i="6" s="1"/>
  <c r="B69" i="6"/>
  <c r="E69" i="6" s="1"/>
  <c r="N96" i="6"/>
  <c r="N116" i="6" s="1"/>
  <c r="N136" i="6" s="1"/>
  <c r="S30" i="2"/>
  <c r="W72" i="3"/>
  <c r="V144" i="3"/>
  <c r="V232" i="3"/>
  <c r="M232" i="3"/>
  <c r="W48" i="3"/>
  <c r="P48" i="3"/>
  <c r="R48" i="3" s="1"/>
  <c r="Z42" i="3"/>
  <c r="W42" i="3"/>
  <c r="AB143" i="3"/>
  <c r="V80" i="3"/>
  <c r="V224" i="3"/>
  <c r="V151" i="3"/>
  <c r="W47" i="3"/>
  <c r="V23" i="3"/>
  <c r="W105" i="3"/>
  <c r="V219" i="3"/>
  <c r="AC137" i="3"/>
  <c r="N137" i="3"/>
  <c r="P245" i="3"/>
  <c r="R245" i="3" s="1"/>
  <c r="Z36" i="3"/>
  <c r="W245" i="3"/>
  <c r="V138" i="3"/>
  <c r="W36" i="3"/>
  <c r="W166" i="3"/>
  <c r="AB133" i="3"/>
  <c r="R124" i="3"/>
  <c r="AC333" i="2"/>
  <c r="W265" i="3"/>
  <c r="E80" i="6"/>
  <c r="J80" i="6"/>
  <c r="G81" i="6"/>
  <c r="J81" i="6"/>
  <c r="H96" i="3"/>
  <c r="N96" i="3" s="1"/>
  <c r="I7" i="8"/>
  <c r="G82" i="6"/>
  <c r="J82" i="6"/>
  <c r="AC168" i="2"/>
  <c r="V158" i="3"/>
  <c r="AC173" i="3"/>
  <c r="Z51" i="3"/>
  <c r="AF266" i="3"/>
  <c r="H170" i="3"/>
  <c r="M170" i="3" s="1"/>
  <c r="P190" i="3"/>
  <c r="R190" i="3" s="1"/>
  <c r="H70" i="3"/>
  <c r="M70" i="3" s="1"/>
  <c r="Y70" i="3" s="1"/>
  <c r="V99" i="3"/>
  <c r="V88" i="3"/>
  <c r="W246" i="3"/>
  <c r="W190" i="3"/>
  <c r="W51" i="3"/>
  <c r="AF267" i="3"/>
  <c r="N197" i="3"/>
  <c r="AF271" i="3"/>
  <c r="K8" i="7"/>
  <c r="W4" i="2"/>
  <c r="AC102" i="2"/>
  <c r="AB149" i="3"/>
  <c r="R130" i="3"/>
  <c r="R177" i="3"/>
  <c r="AB146" i="3"/>
  <c r="AB152" i="3"/>
  <c r="AB175" i="3"/>
  <c r="N238" i="3"/>
  <c r="AB121" i="3"/>
  <c r="AB169" i="3"/>
  <c r="AB88" i="3"/>
  <c r="AF275" i="3"/>
  <c r="Z27" i="3"/>
  <c r="N95" i="3"/>
  <c r="R174" i="3"/>
  <c r="R157" i="3"/>
  <c r="AB62" i="3"/>
  <c r="AC238" i="3"/>
  <c r="N185" i="3"/>
  <c r="P144" i="3"/>
  <c r="Z144" i="3" s="1"/>
  <c r="AB144" i="3"/>
  <c r="Z84" i="3"/>
  <c r="AB156" i="3"/>
  <c r="R125" i="3"/>
  <c r="AB147" i="3"/>
  <c r="R214" i="3"/>
  <c r="AB153" i="3"/>
  <c r="AC133" i="3"/>
  <c r="Z44" i="3"/>
  <c r="AB173" i="3"/>
  <c r="Z205" i="3"/>
  <c r="Z86" i="3"/>
  <c r="Z43" i="3"/>
  <c r="Z137" i="3"/>
  <c r="Z25" i="3"/>
  <c r="Z182" i="3"/>
  <c r="AC116" i="3"/>
  <c r="R110" i="3"/>
  <c r="P115" i="3"/>
  <c r="R115" i="3" s="1"/>
  <c r="Z81" i="3"/>
  <c r="AC95" i="3"/>
  <c r="R51" i="3"/>
  <c r="Z202" i="3"/>
  <c r="R22" i="3"/>
  <c r="AC103" i="3"/>
  <c r="AD103" i="3" s="1"/>
  <c r="AB100" i="3"/>
  <c r="Z105" i="3"/>
  <c r="R204" i="3"/>
  <c r="AB81" i="3"/>
  <c r="Z78" i="3"/>
  <c r="AB145" i="3"/>
  <c r="AC78" i="3"/>
  <c r="R75" i="3"/>
  <c r="Z33" i="3"/>
  <c r="AB78" i="3"/>
  <c r="AB72" i="3"/>
  <c r="Z197" i="3"/>
  <c r="Z229" i="3"/>
  <c r="AF146" i="3"/>
  <c r="AF48" i="3"/>
  <c r="AB103" i="3"/>
  <c r="Z225" i="3"/>
  <c r="W129" i="3"/>
  <c r="P129" i="3"/>
  <c r="R129" i="3" s="1"/>
  <c r="S34" i="6"/>
  <c r="N104" i="6" s="1"/>
  <c r="N124" i="6" s="1"/>
  <c r="N144" i="6" s="1"/>
  <c r="B132" i="6"/>
  <c r="B133" i="6" s="1"/>
  <c r="B134" i="6" s="1"/>
  <c r="B135" i="6" s="1"/>
  <c r="B136" i="6" s="1"/>
  <c r="C34" i="6"/>
  <c r="AB157" i="3"/>
  <c r="AB68" i="3"/>
  <c r="G80" i="6"/>
  <c r="AC135" i="2"/>
  <c r="Z68" i="3"/>
  <c r="AB150" i="3"/>
  <c r="R154" i="3"/>
  <c r="Z209" i="3"/>
  <c r="B17" i="6"/>
  <c r="E17" i="6" s="1"/>
  <c r="H17" i="6" s="1"/>
  <c r="K17" i="6" s="1"/>
  <c r="N17" i="6" s="1"/>
  <c r="Z184" i="3"/>
  <c r="Z178" i="3"/>
  <c r="AF26" i="3"/>
  <c r="R170" i="3"/>
  <c r="R89" i="3"/>
  <c r="N98" i="3"/>
  <c r="AC134" i="3"/>
  <c r="R221" i="3"/>
  <c r="AF134" i="3"/>
  <c r="AF71" i="3"/>
  <c r="P18" i="3"/>
  <c r="R18" i="3" s="1"/>
  <c r="AF170" i="3"/>
  <c r="B20" i="6"/>
  <c r="E20" i="6" s="1"/>
  <c r="H20" i="6" s="1"/>
  <c r="K20" i="6" s="1"/>
  <c r="Q20" i="6" s="1"/>
  <c r="T20" i="6" s="1"/>
  <c r="W20" i="6" s="1"/>
  <c r="AB217" i="3"/>
  <c r="AF157" i="3"/>
  <c r="AB254" i="3"/>
  <c r="AC36" i="2"/>
  <c r="R114" i="3"/>
  <c r="N160" i="3"/>
  <c r="AB141" i="3"/>
  <c r="AC68" i="3"/>
  <c r="R241" i="3"/>
  <c r="R191" i="3"/>
  <c r="AB266" i="3"/>
  <c r="W30" i="3"/>
  <c r="AB30" i="3"/>
  <c r="V168" i="3"/>
  <c r="Z128" i="3"/>
  <c r="P118" i="3"/>
  <c r="R118" i="3" s="1"/>
  <c r="W118" i="3"/>
  <c r="W21" i="3"/>
  <c r="R117" i="3"/>
  <c r="W26" i="3"/>
  <c r="V136" i="3"/>
  <c r="P134" i="3"/>
  <c r="Z134" i="3" s="1"/>
  <c r="AB134" i="3" s="1"/>
  <c r="W134" i="3"/>
  <c r="R123" i="3"/>
  <c r="V66" i="3"/>
  <c r="N245" i="3"/>
  <c r="AC14" i="3"/>
  <c r="AF183" i="3"/>
  <c r="AC49" i="3"/>
  <c r="R207" i="3"/>
  <c r="AB16" i="3"/>
  <c r="AF150" i="3"/>
  <c r="AF137" i="3"/>
  <c r="AF89" i="3"/>
  <c r="Z253" i="3"/>
  <c r="R218" i="3"/>
  <c r="R122" i="3"/>
  <c r="R36" i="3"/>
  <c r="R19" i="3"/>
  <c r="AB260" i="3"/>
  <c r="AC50" i="3"/>
  <c r="AD50" i="3" s="1"/>
  <c r="AF133" i="3"/>
  <c r="AF121" i="3"/>
  <c r="AB54" i="3"/>
  <c r="AB101" i="3"/>
  <c r="AF260" i="3"/>
  <c r="AF261" i="3"/>
  <c r="AF95" i="3"/>
  <c r="W546" i="2"/>
  <c r="W609" i="2"/>
  <c r="W76" i="2"/>
  <c r="AC75" i="2"/>
  <c r="D39" i="6" s="1"/>
  <c r="G97" i="6" s="1"/>
  <c r="AC108" i="2"/>
  <c r="E39" i="6" s="1"/>
  <c r="G102" i="6" s="1"/>
  <c r="W571" i="2"/>
  <c r="W604" i="2"/>
  <c r="R34" i="6"/>
  <c r="N103" i="6" s="1"/>
  <c r="N123" i="6" s="1"/>
  <c r="N143" i="6" s="1"/>
  <c r="W84" i="2"/>
  <c r="AF109" i="3"/>
  <c r="AF182" i="3"/>
  <c r="AF207" i="3"/>
  <c r="AF194" i="3"/>
  <c r="AF186" i="3"/>
  <c r="P113" i="3"/>
  <c r="R113" i="3" s="1"/>
  <c r="W113" i="3"/>
  <c r="H42" i="3"/>
  <c r="M42" i="3" s="1"/>
  <c r="H46" i="3"/>
  <c r="H82" i="3"/>
  <c r="M82" i="3" s="1"/>
  <c r="H15" i="3"/>
  <c r="M15" i="3" s="1"/>
  <c r="H139" i="3"/>
  <c r="M139" i="3" s="1"/>
  <c r="H51" i="3"/>
  <c r="H175" i="3"/>
  <c r="M175" i="3" s="1"/>
  <c r="H136" i="3"/>
  <c r="N136" i="3" s="1"/>
  <c r="H64" i="3"/>
  <c r="M64" i="3" s="1"/>
  <c r="H161" i="3"/>
  <c r="M161" i="3" s="1"/>
  <c r="H116" i="3"/>
  <c r="M116" i="3" s="1"/>
  <c r="H65" i="3"/>
  <c r="M65" i="3" s="1"/>
  <c r="H31" i="3"/>
  <c r="N31" i="3" s="1"/>
  <c r="H177" i="3"/>
  <c r="M177" i="3" s="1"/>
  <c r="H207" i="3"/>
  <c r="M207" i="3" s="1"/>
  <c r="W283" i="2"/>
  <c r="W372" i="2"/>
  <c r="N54" i="3"/>
  <c r="AF72" i="3"/>
  <c r="AC257" i="3"/>
  <c r="H130" i="3"/>
  <c r="M130" i="3" s="1"/>
  <c r="H109" i="3"/>
  <c r="M109" i="3" s="1"/>
  <c r="H195" i="3"/>
  <c r="M195" i="3" s="1"/>
  <c r="H133" i="3"/>
  <c r="M133" i="3" s="1"/>
  <c r="Y133" i="3" s="1"/>
  <c r="H152" i="3"/>
  <c r="M152" i="3" s="1"/>
  <c r="N195" i="3"/>
  <c r="H194" i="3"/>
  <c r="M194" i="3" s="1"/>
  <c r="H93" i="3"/>
  <c r="M93" i="3" s="1"/>
  <c r="H22" i="3"/>
  <c r="M22" i="3" s="1"/>
  <c r="H165" i="3"/>
  <c r="N165" i="3" s="1"/>
  <c r="H80" i="3"/>
  <c r="N80" i="3" s="1"/>
  <c r="H192" i="3"/>
  <c r="M192" i="3" s="1"/>
  <c r="H149" i="3"/>
  <c r="M149" i="3" s="1"/>
  <c r="H76" i="3"/>
  <c r="M76" i="3" s="1"/>
  <c r="Y76" i="3" s="1"/>
  <c r="H172" i="3"/>
  <c r="N172" i="3" s="1"/>
  <c r="H134" i="3"/>
  <c r="M134" i="3" s="1"/>
  <c r="Y134" i="3" s="1"/>
  <c r="H88" i="3"/>
  <c r="N88" i="3" s="1"/>
  <c r="H43" i="3"/>
  <c r="M43" i="3" s="1"/>
  <c r="H187" i="3"/>
  <c r="M187" i="3" s="1"/>
  <c r="H240" i="3"/>
  <c r="M240" i="3" s="1"/>
  <c r="W44" i="2"/>
  <c r="AC44" i="2" s="1"/>
  <c r="C41" i="6" s="1"/>
  <c r="W49" i="2"/>
  <c r="AC267" i="2"/>
  <c r="W412" i="2"/>
  <c r="W583" i="2"/>
  <c r="W606" i="2"/>
  <c r="W646" i="2"/>
  <c r="Z83" i="3"/>
  <c r="AB167" i="3"/>
  <c r="R55" i="3"/>
  <c r="AB104" i="3"/>
  <c r="AB224" i="3"/>
  <c r="R254" i="3"/>
  <c r="W79" i="2"/>
  <c r="H27" i="3"/>
  <c r="M27" i="3" s="1"/>
  <c r="H58" i="3"/>
  <c r="M58" i="3" s="1"/>
  <c r="H202" i="3"/>
  <c r="M202" i="3" s="1"/>
  <c r="H89" i="3"/>
  <c r="N89" i="3" s="1"/>
  <c r="H166" i="3"/>
  <c r="M166" i="3" s="1"/>
  <c r="W121" i="2"/>
  <c r="H196" i="3"/>
  <c r="M196" i="3" s="1"/>
  <c r="H181" i="3"/>
  <c r="N181" i="3" s="1"/>
  <c r="H236" i="3"/>
  <c r="N236" i="3" s="1"/>
  <c r="Z70" i="3"/>
  <c r="Z136" i="3"/>
  <c r="AB120" i="3"/>
  <c r="AB163" i="3"/>
  <c r="N40" i="3"/>
  <c r="AF113" i="3"/>
  <c r="AF101" i="3"/>
  <c r="H137" i="3"/>
  <c r="M137" i="3" s="1"/>
  <c r="N104" i="3"/>
  <c r="H182" i="3"/>
  <c r="M182" i="3" s="1"/>
  <c r="Y182" i="3" s="1"/>
  <c r="H102" i="3"/>
  <c r="M102" i="3" s="1"/>
  <c r="H99" i="3"/>
  <c r="N99" i="3" s="1"/>
  <c r="H243" i="3"/>
  <c r="M243" i="3" s="1"/>
  <c r="B73" i="6"/>
  <c r="E73" i="6" s="1"/>
  <c r="H119" i="3"/>
  <c r="M119" i="3" s="1"/>
  <c r="H68" i="3"/>
  <c r="M68" i="3" s="1"/>
  <c r="Y68" i="3" s="1"/>
  <c r="H18" i="3"/>
  <c r="N18" i="3" s="1"/>
  <c r="H101" i="3"/>
  <c r="M101" i="3" s="1"/>
  <c r="H66" i="3"/>
  <c r="N66" i="3" s="1"/>
  <c r="H193" i="3"/>
  <c r="M193" i="3" s="1"/>
  <c r="H112" i="3"/>
  <c r="M112" i="3" s="1"/>
  <c r="H49" i="3"/>
  <c r="M49" i="3" s="1"/>
  <c r="Y49" i="3" s="1"/>
  <c r="H173" i="3"/>
  <c r="M173" i="3" s="1"/>
  <c r="Y173" i="3" s="1"/>
  <c r="H103" i="3"/>
  <c r="H77" i="3"/>
  <c r="M77" i="3" s="1"/>
  <c r="H219" i="3"/>
  <c r="M219" i="3" s="1"/>
  <c r="Z41" i="3"/>
  <c r="AB35" i="3"/>
  <c r="AC101" i="3"/>
  <c r="R30" i="3"/>
  <c r="AB50" i="3"/>
  <c r="AC76" i="3"/>
  <c r="AB208" i="3"/>
  <c r="AF185" i="3"/>
  <c r="AF173" i="3"/>
  <c r="AF100" i="3"/>
  <c r="AF88" i="3"/>
  <c r="AF75" i="3"/>
  <c r="AC254" i="3"/>
  <c r="H168" i="3"/>
  <c r="N168" i="3" s="1"/>
  <c r="H21" i="3"/>
  <c r="M21" i="3" s="1"/>
  <c r="H55" i="3"/>
  <c r="M55" i="3" s="1"/>
  <c r="H69" i="3"/>
  <c r="M69" i="3" s="1"/>
  <c r="H222" i="3"/>
  <c r="M222" i="3" s="1"/>
  <c r="H45" i="3"/>
  <c r="M45" i="3" s="1"/>
  <c r="H59" i="3"/>
  <c r="M59" i="3" s="1"/>
  <c r="H141" i="3"/>
  <c r="M141" i="3" s="1"/>
  <c r="H86" i="3"/>
  <c r="M86" i="3" s="1"/>
  <c r="H24" i="3"/>
  <c r="M24" i="3" s="1"/>
  <c r="H108" i="3"/>
  <c r="M108" i="3" s="1"/>
  <c r="H78" i="3"/>
  <c r="M78" i="3" s="1"/>
  <c r="Y78" i="3" s="1"/>
  <c r="H35" i="3"/>
  <c r="M35" i="3" s="1"/>
  <c r="H118" i="3"/>
  <c r="N118" i="3" s="1"/>
  <c r="Y118" i="3" s="1"/>
  <c r="H56" i="3"/>
  <c r="N56" i="3" s="1"/>
  <c r="H189" i="3"/>
  <c r="H126" i="3"/>
  <c r="H85" i="3"/>
  <c r="M85" i="3" s="1"/>
  <c r="H210" i="3"/>
  <c r="M210" i="3" s="1"/>
  <c r="H227" i="3"/>
  <c r="M227" i="3" s="1"/>
  <c r="AC273" i="2"/>
  <c r="J39" i="6" s="1"/>
  <c r="G127" i="6" s="1"/>
  <c r="AC603" i="2"/>
  <c r="T39" i="6" s="1"/>
  <c r="G177" i="6" s="1"/>
  <c r="AC597" i="2"/>
  <c r="R120" i="3"/>
  <c r="AF35" i="3"/>
  <c r="R161" i="3"/>
  <c r="AC98" i="3"/>
  <c r="N22" i="3"/>
  <c r="AB40" i="3"/>
  <c r="AB76" i="3"/>
  <c r="R119" i="3"/>
  <c r="H140" i="3"/>
  <c r="M140" i="3" s="1"/>
  <c r="H184" i="3"/>
  <c r="H37" i="3"/>
  <c r="M37" i="3" s="1"/>
  <c r="H54" i="3"/>
  <c r="M54" i="3" s="1"/>
  <c r="H48" i="3"/>
  <c r="N48" i="3" s="1"/>
  <c r="H157" i="3"/>
  <c r="M157" i="3" s="1"/>
  <c r="H72" i="3"/>
  <c r="M72" i="3" s="1"/>
  <c r="H67" i="3"/>
  <c r="M67" i="3" s="1"/>
  <c r="W252" i="2"/>
  <c r="R146" i="3"/>
  <c r="AF61" i="3"/>
  <c r="AF49" i="3"/>
  <c r="H153" i="3"/>
  <c r="M153" i="3" s="1"/>
  <c r="H183" i="3"/>
  <c r="M183" i="3" s="1"/>
  <c r="H79" i="3"/>
  <c r="M79" i="3" s="1"/>
  <c r="H158" i="3"/>
  <c r="N158" i="3" s="1"/>
  <c r="H94" i="3"/>
  <c r="M94" i="3" s="1"/>
  <c r="H25" i="3"/>
  <c r="M25" i="3" s="1"/>
  <c r="H217" i="3"/>
  <c r="M217" i="3" s="1"/>
  <c r="H164" i="3"/>
  <c r="M164" i="3" s="1"/>
  <c r="N180" i="3"/>
  <c r="H32" i="3"/>
  <c r="M32" i="3" s="1"/>
  <c r="H145" i="3"/>
  <c r="M145" i="3" s="1"/>
  <c r="H97" i="3"/>
  <c r="M97" i="3" s="1"/>
  <c r="H20" i="3"/>
  <c r="M20" i="3" s="1"/>
  <c r="H117" i="3"/>
  <c r="M117" i="3" s="1"/>
  <c r="H87" i="3"/>
  <c r="N87" i="3" s="1"/>
  <c r="H28" i="3"/>
  <c r="M28" i="3" s="1"/>
  <c r="H125" i="3"/>
  <c r="M125" i="3" s="1"/>
  <c r="H81" i="3"/>
  <c r="M81" i="3" s="1"/>
  <c r="H14" i="3"/>
  <c r="M14" i="3" s="1"/>
  <c r="Y14" i="3" s="1"/>
  <c r="H167" i="3"/>
  <c r="M167" i="3" s="1"/>
  <c r="H100" i="3"/>
  <c r="M100" i="3" s="1"/>
  <c r="H213" i="3"/>
  <c r="M213" i="3" s="1"/>
  <c r="H239" i="3"/>
  <c r="AC174" i="2"/>
  <c r="G39" i="6" s="1"/>
  <c r="G112" i="6" s="1"/>
  <c r="AC537" i="2"/>
  <c r="R39" i="6" s="1"/>
  <c r="G167" i="6" s="1"/>
  <c r="Z145" i="3"/>
  <c r="AC75" i="3"/>
  <c r="AB142" i="3"/>
  <c r="AB148" i="3"/>
  <c r="Z82" i="3"/>
  <c r="H19" i="3"/>
  <c r="M19" i="3" s="1"/>
  <c r="H129" i="3"/>
  <c r="M129" i="3" s="1"/>
  <c r="W81" i="2"/>
  <c r="H174" i="3"/>
  <c r="M174" i="3" s="1"/>
  <c r="H92" i="3"/>
  <c r="N92" i="3" s="1"/>
  <c r="H90" i="3"/>
  <c r="M90" i="3" s="1"/>
  <c r="H29" i="3"/>
  <c r="M29" i="3" s="1"/>
  <c r="H111" i="3"/>
  <c r="M111" i="3" s="1"/>
  <c r="H83" i="3"/>
  <c r="M83" i="3" s="1"/>
  <c r="H120" i="3"/>
  <c r="M120" i="3" s="1"/>
  <c r="H39" i="3"/>
  <c r="M39" i="3" s="1"/>
  <c r="H223" i="3"/>
  <c r="M223" i="3" s="1"/>
  <c r="H242" i="3"/>
  <c r="M242" i="3" s="1"/>
  <c r="H47" i="3"/>
  <c r="H171" i="3"/>
  <c r="M171" i="3" s="1"/>
  <c r="H114" i="3"/>
  <c r="M114" i="3" s="1"/>
  <c r="H30" i="3"/>
  <c r="N30" i="3" s="1"/>
  <c r="H122" i="3"/>
  <c r="M122" i="3" s="1"/>
  <c r="H98" i="3"/>
  <c r="M98" i="3" s="1"/>
  <c r="H36" i="3"/>
  <c r="M36" i="3" s="1"/>
  <c r="H84" i="3"/>
  <c r="M84" i="3" s="1"/>
  <c r="H23" i="3"/>
  <c r="N23" i="3" s="1"/>
  <c r="H179" i="3"/>
  <c r="M179" i="3" s="1"/>
  <c r="H132" i="3"/>
  <c r="M132" i="3" s="1"/>
  <c r="H206" i="3"/>
  <c r="M206" i="3" s="1"/>
  <c r="H228" i="3"/>
  <c r="M228" i="3" s="1"/>
  <c r="R108" i="3"/>
  <c r="AB75" i="3"/>
  <c r="AB14" i="3"/>
  <c r="Z164" i="3"/>
  <c r="AB186" i="3"/>
  <c r="Z59" i="3"/>
  <c r="Z228" i="3"/>
  <c r="AF193" i="3"/>
  <c r="AF169" i="3"/>
  <c r="AF120" i="3"/>
  <c r="W144" i="2"/>
  <c r="H104" i="3"/>
  <c r="M104" i="3" s="1"/>
  <c r="H91" i="3"/>
  <c r="M91" i="3" s="1"/>
  <c r="H197" i="3"/>
  <c r="M197" i="3" s="1"/>
  <c r="H107" i="3"/>
  <c r="M107" i="3" s="1"/>
  <c r="H180" i="3"/>
  <c r="M180" i="3" s="1"/>
  <c r="H50" i="3"/>
  <c r="H185" i="3"/>
  <c r="M185" i="3" s="1"/>
  <c r="H128" i="3"/>
  <c r="M128" i="3" s="1"/>
  <c r="H38" i="3"/>
  <c r="N38" i="3" s="1"/>
  <c r="H142" i="3"/>
  <c r="M142" i="3" s="1"/>
  <c r="H105" i="3"/>
  <c r="M105" i="3" s="1"/>
  <c r="H150" i="3"/>
  <c r="M150" i="3" s="1"/>
  <c r="H106" i="3"/>
  <c r="H17" i="3"/>
  <c r="M17" i="3" s="1"/>
  <c r="H144" i="3"/>
  <c r="N144" i="3" s="1"/>
  <c r="H204" i="3"/>
  <c r="M204" i="3" s="1"/>
  <c r="H226" i="3"/>
  <c r="M226" i="3" s="1"/>
  <c r="W19" i="2"/>
  <c r="R94" i="3"/>
  <c r="AB58" i="3"/>
  <c r="AF254" i="3"/>
  <c r="W92" i="3"/>
  <c r="Z92" i="3"/>
  <c r="R92" i="3"/>
  <c r="R87" i="3"/>
  <c r="Z87" i="3"/>
  <c r="AB87" i="3"/>
  <c r="W87" i="3"/>
  <c r="V64" i="3"/>
  <c r="W53" i="3"/>
  <c r="P53" i="3"/>
  <c r="R53" i="3" s="1"/>
  <c r="AB42" i="3"/>
  <c r="V38" i="3"/>
  <c r="Z26" i="3"/>
  <c r="AF125" i="3"/>
  <c r="B71" i="6"/>
  <c r="E71" i="6" s="1"/>
  <c r="B142" i="6"/>
  <c r="B143" i="6" s="1"/>
  <c r="B144" i="6" s="1"/>
  <c r="B145" i="6" s="1"/>
  <c r="B146" i="6" s="1"/>
  <c r="W474" i="2"/>
  <c r="AF112" i="3"/>
  <c r="R152" i="3"/>
  <c r="Z74" i="3"/>
  <c r="AB93" i="3"/>
  <c r="AB125" i="3"/>
  <c r="AB222" i="3"/>
  <c r="E81" i="6"/>
  <c r="AC244" i="3"/>
  <c r="B19" i="6"/>
  <c r="E19" i="6" s="1"/>
  <c r="H19" i="6" s="1"/>
  <c r="K19" i="6" s="1"/>
  <c r="N19" i="6" s="1"/>
  <c r="W511" i="2"/>
  <c r="W572" i="2"/>
  <c r="AC572" i="2" s="1"/>
  <c r="S41" i="6" s="1"/>
  <c r="AB46" i="3"/>
  <c r="AC77" i="3"/>
  <c r="Z47" i="3"/>
  <c r="AB47" i="3" s="1"/>
  <c r="Z71" i="3"/>
  <c r="AF136" i="3"/>
  <c r="Z166" i="3"/>
  <c r="AB166" i="3" s="1"/>
  <c r="Z193" i="3"/>
  <c r="AF234" i="3"/>
  <c r="R258" i="3"/>
  <c r="R266" i="3"/>
  <c r="R248" i="3"/>
  <c r="AB244" i="3"/>
  <c r="N240" i="3"/>
  <c r="W482" i="2"/>
  <c r="AB189" i="3"/>
  <c r="R169" i="3"/>
  <c r="AF162" i="3"/>
  <c r="AF76" i="3"/>
  <c r="AB112" i="3"/>
  <c r="Z132" i="3"/>
  <c r="R237" i="3"/>
  <c r="N257" i="3"/>
  <c r="AB258" i="3"/>
  <c r="AC241" i="3"/>
  <c r="E34" i="6"/>
  <c r="N90" i="6" s="1"/>
  <c r="N110" i="6" s="1"/>
  <c r="N130" i="6" s="1"/>
  <c r="H231" i="3"/>
  <c r="M231" i="3" s="1"/>
  <c r="H332" i="3"/>
  <c r="H333" i="3"/>
  <c r="H331" i="3"/>
  <c r="H330" i="3"/>
  <c r="H329" i="3"/>
  <c r="H322" i="3"/>
  <c r="H323" i="3"/>
  <c r="H324" i="3"/>
  <c r="H325" i="3"/>
  <c r="H327" i="3"/>
  <c r="H328" i="3"/>
  <c r="H326" i="3"/>
  <c r="H318" i="3"/>
  <c r="H320" i="3"/>
  <c r="H319" i="3"/>
  <c r="M319" i="3" s="1"/>
  <c r="H321" i="3"/>
  <c r="H317" i="3"/>
  <c r="AC201" i="2"/>
  <c r="W317" i="2"/>
  <c r="W352" i="2"/>
  <c r="AB194" i="3"/>
  <c r="Z13" i="3"/>
  <c r="AB161" i="3"/>
  <c r="AB179" i="3"/>
  <c r="N77" i="3"/>
  <c r="R24" i="3"/>
  <c r="R63" i="3"/>
  <c r="AF222" i="3"/>
  <c r="R236" i="3"/>
  <c r="AF240" i="3"/>
  <c r="AF168" i="3"/>
  <c r="W472" i="2"/>
  <c r="N142" i="3"/>
  <c r="AC240" i="3"/>
  <c r="J34" i="6"/>
  <c r="M118" i="3"/>
  <c r="W380" i="2"/>
  <c r="AB182" i="3"/>
  <c r="AF161" i="3"/>
  <c r="R67" i="3"/>
  <c r="AB109" i="3"/>
  <c r="AB172" i="3"/>
  <c r="Z159" i="3"/>
  <c r="AF39" i="3"/>
  <c r="AB60" i="3"/>
  <c r="R49" i="3"/>
  <c r="AF209" i="3"/>
  <c r="AF167" i="3"/>
  <c r="AF118" i="3"/>
  <c r="AB268" i="3"/>
  <c r="W479" i="2"/>
  <c r="AB162" i="3"/>
  <c r="AF145" i="3"/>
  <c r="AC3" i="2"/>
  <c r="C7" i="6" s="1"/>
  <c r="Z172" i="3"/>
  <c r="R106" i="3"/>
  <c r="N39" i="3"/>
  <c r="AF60" i="3"/>
  <c r="AF214" i="3"/>
  <c r="N273" i="3"/>
  <c r="Z17" i="3"/>
  <c r="R57" i="3"/>
  <c r="AC189" i="3"/>
  <c r="AD189" i="3" s="1"/>
  <c r="M92" i="3"/>
  <c r="R102" i="3"/>
  <c r="Z149" i="3"/>
  <c r="AC139" i="3"/>
  <c r="M51" i="3"/>
  <c r="F57" i="5"/>
  <c r="F58" i="5" s="1"/>
  <c r="F59" i="5" s="1"/>
  <c r="F60" i="5" s="1"/>
  <c r="F61" i="5" s="1"/>
  <c r="F62" i="5" s="1"/>
  <c r="F63" i="5" s="1"/>
  <c r="F64" i="5" s="1"/>
  <c r="F65" i="5" s="1"/>
  <c r="F66" i="5" s="1"/>
  <c r="F67" i="5" s="1"/>
  <c r="F68" i="5" s="1"/>
  <c r="AF189" i="3"/>
  <c r="AF141" i="3"/>
  <c r="AF42" i="3"/>
  <c r="AF249" i="3"/>
  <c r="D34" i="6"/>
  <c r="N89" i="6" s="1"/>
  <c r="N109" i="6" s="1"/>
  <c r="N129" i="6" s="1"/>
  <c r="W46" i="2"/>
  <c r="W639" i="2"/>
  <c r="Z21" i="3"/>
  <c r="AB168" i="3"/>
  <c r="AB165" i="3"/>
  <c r="AB207" i="3"/>
  <c r="AF224" i="3"/>
  <c r="AF127" i="3"/>
  <c r="Z261" i="3"/>
  <c r="AC273" i="3"/>
  <c r="W512" i="2"/>
  <c r="W444" i="2"/>
  <c r="AB80" i="3"/>
  <c r="N241" i="3"/>
  <c r="AC306" i="2"/>
  <c r="K39" i="6" s="1"/>
  <c r="G132" i="6" s="1"/>
  <c r="AC504" i="2"/>
  <c r="Q39" i="6" s="1"/>
  <c r="G162" i="6" s="1"/>
  <c r="AC69" i="2"/>
  <c r="W614" i="2"/>
  <c r="AB155" i="3"/>
  <c r="AB105" i="3"/>
  <c r="AB49" i="3"/>
  <c r="R65" i="3"/>
  <c r="Z140" i="3"/>
  <c r="AF159" i="3"/>
  <c r="Z187" i="3"/>
  <c r="Z217" i="3"/>
  <c r="R259" i="3"/>
  <c r="AF257" i="3"/>
  <c r="AF256" i="3"/>
  <c r="W101" i="3"/>
  <c r="AB114" i="3"/>
  <c r="Z175" i="3"/>
  <c r="R175" i="3"/>
  <c r="AF181" i="3"/>
  <c r="AB181" i="3"/>
  <c r="R185" i="3"/>
  <c r="Z185" i="3"/>
  <c r="AB188" i="3"/>
  <c r="AB191" i="3"/>
  <c r="AC191" i="3"/>
  <c r="N191" i="3"/>
  <c r="N41" i="3"/>
  <c r="AC41" i="3"/>
  <c r="AB41" i="3"/>
  <c r="Z95" i="3"/>
  <c r="R95" i="3"/>
  <c r="Z98" i="3"/>
  <c r="R98" i="3"/>
  <c r="Z216" i="3"/>
  <c r="R216" i="3"/>
  <c r="AB215" i="3"/>
  <c r="W637" i="2"/>
  <c r="R212" i="3"/>
  <c r="Z212" i="3"/>
  <c r="B26" i="6"/>
  <c r="E26" i="6" s="1"/>
  <c r="H26" i="6" s="1"/>
  <c r="K26" i="6" s="1"/>
  <c r="Q26" i="6" s="1"/>
  <c r="T26" i="6" s="1"/>
  <c r="W26" i="6" s="1"/>
  <c r="T34" i="6"/>
  <c r="AF177" i="3"/>
  <c r="AB177" i="3"/>
  <c r="W507" i="2"/>
  <c r="W577" i="2"/>
  <c r="I632" i="7"/>
  <c r="AC630" i="2"/>
  <c r="AB17" i="3"/>
  <c r="R163" i="3"/>
  <c r="Z163" i="3"/>
  <c r="Z14" i="3"/>
  <c r="R14" i="3"/>
  <c r="AB67" i="3"/>
  <c r="AF67" i="3"/>
  <c r="AC67" i="3"/>
  <c r="R213" i="3"/>
  <c r="Z213" i="3"/>
  <c r="R143" i="3"/>
  <c r="Z143" i="3"/>
  <c r="Z227" i="3"/>
  <c r="R227" i="3"/>
  <c r="I434" i="7"/>
  <c r="AC432" i="2"/>
  <c r="I467" i="7"/>
  <c r="AC465" i="2"/>
  <c r="AB128" i="3"/>
  <c r="R139" i="3"/>
  <c r="Z139" i="3"/>
  <c r="Z112" i="3"/>
  <c r="R112" i="3"/>
  <c r="Z192" i="3"/>
  <c r="R192" i="3"/>
  <c r="I302" i="7"/>
  <c r="AC300" i="2"/>
  <c r="AB108" i="3"/>
  <c r="AF108" i="3"/>
  <c r="AB131" i="3"/>
  <c r="H162" i="3"/>
  <c r="M162" i="3" s="1"/>
  <c r="H44" i="3"/>
  <c r="M44" i="3" s="1"/>
  <c r="H146" i="3"/>
  <c r="M146" i="3" s="1"/>
  <c r="H16" i="3"/>
  <c r="M16" i="3" s="1"/>
  <c r="H160" i="3"/>
  <c r="M160" i="3" s="1"/>
  <c r="H163" i="3"/>
  <c r="M163" i="3" s="1"/>
  <c r="H62" i="3"/>
  <c r="M62" i="3" s="1"/>
  <c r="H188" i="3"/>
  <c r="M188" i="3" s="1"/>
  <c r="H155" i="3"/>
  <c r="M155" i="3" s="1"/>
  <c r="H34" i="3"/>
  <c r="H143" i="3"/>
  <c r="M143" i="3" s="1"/>
  <c r="H61" i="3"/>
  <c r="M61" i="3" s="1"/>
  <c r="H215" i="3"/>
  <c r="M215" i="3" s="1"/>
  <c r="H200" i="3"/>
  <c r="M200" i="3" s="1"/>
  <c r="H225" i="3"/>
  <c r="M225" i="3" s="1"/>
  <c r="I236" i="7"/>
  <c r="AC234" i="2"/>
  <c r="R29" i="3"/>
  <c r="Z29" i="3"/>
  <c r="AB44" i="3"/>
  <c r="AF47" i="3"/>
  <c r="AF124" i="3"/>
  <c r="AB124" i="3"/>
  <c r="AB170" i="3"/>
  <c r="AF174" i="3"/>
  <c r="Z242" i="3"/>
  <c r="R242" i="3"/>
  <c r="AF20" i="3"/>
  <c r="AF165" i="3"/>
  <c r="AF128" i="3"/>
  <c r="AF104" i="3"/>
  <c r="AF79" i="3"/>
  <c r="AF55" i="3"/>
  <c r="AF30" i="3"/>
  <c r="N264" i="3"/>
  <c r="AC264" i="3"/>
  <c r="AB263" i="3"/>
  <c r="AC263" i="3"/>
  <c r="W612" i="2"/>
  <c r="W642" i="2"/>
  <c r="N55" i="3"/>
  <c r="AB55" i="3"/>
  <c r="AC55" i="3"/>
  <c r="AB94" i="3"/>
  <c r="Z121" i="3"/>
  <c r="R121" i="3"/>
  <c r="AB127" i="3"/>
  <c r="AF187" i="3"/>
  <c r="R251" i="3"/>
  <c r="Z251" i="3"/>
  <c r="H52" i="3"/>
  <c r="N52" i="3" s="1"/>
  <c r="H123" i="3"/>
  <c r="N123" i="3" s="1"/>
  <c r="H186" i="3"/>
  <c r="M186" i="3" s="1"/>
  <c r="H53" i="3"/>
  <c r="M53" i="3" s="1"/>
  <c r="H176" i="3"/>
  <c r="N176" i="3" s="1"/>
  <c r="Y176" i="3" s="1"/>
  <c r="AC176" i="3" s="1"/>
  <c r="H148" i="3"/>
  <c r="M148" i="3" s="1"/>
  <c r="H208" i="3"/>
  <c r="M208" i="3" s="1"/>
  <c r="H220" i="3"/>
  <c r="M220" i="3" s="1"/>
  <c r="H234" i="3"/>
  <c r="AB37" i="3"/>
  <c r="N97" i="3"/>
  <c r="AF97" i="3"/>
  <c r="AB97" i="3"/>
  <c r="AC97" i="3"/>
  <c r="Z104" i="3"/>
  <c r="R104" i="3"/>
  <c r="AB138" i="3"/>
  <c r="AB151" i="3"/>
  <c r="P151" i="3"/>
  <c r="Z151" i="3" s="1"/>
  <c r="R269" i="3"/>
  <c r="H218" i="3"/>
  <c r="M218" i="3" s="1"/>
  <c r="H230" i="3"/>
  <c r="M230" i="3" s="1"/>
  <c r="AC438" i="2"/>
  <c r="O39" i="6" s="1"/>
  <c r="G152" i="6" s="1"/>
  <c r="AC366" i="2"/>
  <c r="AC498" i="2"/>
  <c r="AB22" i="3"/>
  <c r="AF64" i="3"/>
  <c r="R28" i="3"/>
  <c r="AB84" i="3"/>
  <c r="N84" i="3"/>
  <c r="AF84" i="3"/>
  <c r="Z91" i="3"/>
  <c r="R91" i="3"/>
  <c r="AF110" i="3"/>
  <c r="AB110" i="3"/>
  <c r="R131" i="3"/>
  <c r="Z131" i="3"/>
  <c r="AF158" i="3"/>
  <c r="AB158" i="3"/>
  <c r="AB223" i="3"/>
  <c r="Z230" i="3"/>
  <c r="N251" i="3"/>
  <c r="AB251" i="3"/>
  <c r="W415" i="2"/>
  <c r="W480" i="2"/>
  <c r="W505" i="2"/>
  <c r="AF195" i="3"/>
  <c r="AB195" i="3"/>
  <c r="P64" i="3"/>
  <c r="R64" i="3" s="1"/>
  <c r="P23" i="3"/>
  <c r="R23" i="3" s="1"/>
  <c r="AF23" i="3"/>
  <c r="Z40" i="3"/>
  <c r="R40" i="3"/>
  <c r="N65" i="3"/>
  <c r="AC65" i="3"/>
  <c r="AB65" i="3"/>
  <c r="R73" i="3"/>
  <c r="R77" i="3"/>
  <c r="AB90" i="3"/>
  <c r="Z100" i="3"/>
  <c r="R100" i="3"/>
  <c r="AB130" i="3"/>
  <c r="Z173" i="3"/>
  <c r="P176" i="3"/>
  <c r="R176" i="3" s="1"/>
  <c r="AF176" i="3"/>
  <c r="AB176" i="3"/>
  <c r="R180" i="3"/>
  <c r="Z180" i="3"/>
  <c r="R200" i="3"/>
  <c r="Z200" i="3"/>
  <c r="AF233" i="3"/>
  <c r="AB233" i="3"/>
  <c r="AC372" i="2"/>
  <c r="M39" i="6" s="1"/>
  <c r="G142" i="6" s="1"/>
  <c r="W306" i="2"/>
  <c r="W311" i="2"/>
  <c r="N19" i="3"/>
  <c r="AC19" i="3"/>
  <c r="AB19" i="3"/>
  <c r="AB26" i="3"/>
  <c r="AB36" i="3"/>
  <c r="AB61" i="3"/>
  <c r="Z69" i="3"/>
  <c r="R69" i="3"/>
  <c r="AB126" i="3"/>
  <c r="AC126" i="3"/>
  <c r="AD126" i="3" s="1"/>
  <c r="AB220" i="3"/>
  <c r="I566" i="7"/>
  <c r="AC564" i="2"/>
  <c r="N71" i="3"/>
  <c r="N33" i="3"/>
  <c r="AB33" i="3"/>
  <c r="AC33" i="3"/>
  <c r="R54" i="3"/>
  <c r="R58" i="3"/>
  <c r="Z58" i="3"/>
  <c r="R72" i="3"/>
  <c r="Z72" i="3"/>
  <c r="R76" i="3"/>
  <c r="AB79" i="3"/>
  <c r="AB83" i="3"/>
  <c r="Z90" i="3"/>
  <c r="R90" i="3"/>
  <c r="AF96" i="3"/>
  <c r="AB96" i="3"/>
  <c r="AB102" i="3"/>
  <c r="AB164" i="3"/>
  <c r="AF205" i="3"/>
  <c r="AB219" i="3"/>
  <c r="Z243" i="3"/>
  <c r="M48" i="3"/>
  <c r="Z150" i="3"/>
  <c r="AF132" i="3"/>
  <c r="AF59" i="3"/>
  <c r="H266" i="3"/>
  <c r="M266" i="3" s="1"/>
  <c r="H212" i="3"/>
  <c r="M212" i="3" s="1"/>
  <c r="H216" i="3"/>
  <c r="M216" i="3" s="1"/>
  <c r="AC471" i="2"/>
  <c r="P39" i="6" s="1"/>
  <c r="G157" i="6" s="1"/>
  <c r="W47" i="2"/>
  <c r="W52" i="2"/>
  <c r="W112" i="2"/>
  <c r="W142" i="2"/>
  <c r="AB89" i="3"/>
  <c r="H246" i="3"/>
  <c r="M246" i="3" s="1"/>
  <c r="H312" i="3"/>
  <c r="H313" i="3"/>
  <c r="H314" i="3"/>
  <c r="H315" i="3"/>
  <c r="H316" i="3"/>
  <c r="H311" i="3"/>
  <c r="H309" i="3"/>
  <c r="H310" i="3"/>
  <c r="H307" i="3"/>
  <c r="H306" i="3"/>
  <c r="H308" i="3"/>
  <c r="H305" i="3"/>
  <c r="H304" i="3"/>
  <c r="H302" i="3"/>
  <c r="H303" i="3"/>
  <c r="H232" i="3"/>
  <c r="N232" i="3" s="1"/>
  <c r="Y232" i="3" s="1"/>
  <c r="AC232" i="3" s="1"/>
  <c r="AD232" i="3" s="1"/>
  <c r="H244" i="3"/>
  <c r="M244" i="3" s="1"/>
  <c r="Y244" i="3" s="1"/>
  <c r="H211" i="3"/>
  <c r="M211" i="3" s="1"/>
  <c r="H205" i="3"/>
  <c r="M205" i="3" s="1"/>
  <c r="H124" i="3"/>
  <c r="M124" i="3" s="1"/>
  <c r="H63" i="3"/>
  <c r="M63" i="3" s="1"/>
  <c r="H237" i="3"/>
  <c r="H238" i="3"/>
  <c r="M238" i="3" s="1"/>
  <c r="H201" i="3"/>
  <c r="M201" i="3" s="1"/>
  <c r="H199" i="3"/>
  <c r="M199" i="3" s="1"/>
  <c r="H113" i="3"/>
  <c r="H75" i="3"/>
  <c r="M75" i="3" s="1"/>
  <c r="Y75" i="3" s="1"/>
  <c r="H151" i="3"/>
  <c r="N151" i="3" s="1"/>
  <c r="H41" i="3"/>
  <c r="M41" i="3" s="1"/>
  <c r="H135" i="3"/>
  <c r="M135" i="3" s="1"/>
  <c r="H73" i="3"/>
  <c r="M73" i="3" s="1"/>
  <c r="H154" i="3"/>
  <c r="M154" i="3" s="1"/>
  <c r="H71" i="3"/>
  <c r="M71" i="3" s="1"/>
  <c r="H156" i="3"/>
  <c r="M156" i="3" s="1"/>
  <c r="H60" i="3"/>
  <c r="M60" i="3" s="1"/>
  <c r="H115" i="3"/>
  <c r="N115" i="3" s="1"/>
  <c r="Y115" i="3" s="1"/>
  <c r="AC115" i="3" s="1"/>
  <c r="AD115" i="3" s="1"/>
  <c r="H178" i="3"/>
  <c r="M178" i="3" s="1"/>
  <c r="H95" i="3"/>
  <c r="M95" i="3" s="1"/>
  <c r="H147" i="3"/>
  <c r="M147" i="3" s="1"/>
  <c r="H121" i="3"/>
  <c r="M121" i="3" s="1"/>
  <c r="H110" i="3"/>
  <c r="M110" i="3" s="1"/>
  <c r="H203" i="3"/>
  <c r="M203" i="3" s="1"/>
  <c r="H214" i="3"/>
  <c r="M214" i="3" s="1"/>
  <c r="H229" i="3"/>
  <c r="M229" i="3" s="1"/>
  <c r="AB24" i="3"/>
  <c r="AF52" i="3"/>
  <c r="P56" i="3"/>
  <c r="R56" i="3" s="1"/>
  <c r="AB56" i="3"/>
  <c r="AF149" i="3"/>
  <c r="R199" i="3"/>
  <c r="Z199" i="3"/>
  <c r="R275" i="3"/>
  <c r="AC636" i="2"/>
  <c r="U39" i="6" s="1"/>
  <c r="G182" i="6" s="1"/>
  <c r="W481" i="2"/>
  <c r="W548" i="2"/>
  <c r="Z142" i="3"/>
  <c r="Z198" i="3"/>
  <c r="AB267" i="3"/>
  <c r="AF269" i="3"/>
  <c r="Z273" i="3"/>
  <c r="AC405" i="2"/>
  <c r="N39" i="6" s="1"/>
  <c r="G147" i="6" s="1"/>
  <c r="W118" i="2"/>
  <c r="W379" i="2"/>
  <c r="AC399" i="2"/>
  <c r="AC531" i="2"/>
  <c r="AF232" i="3"/>
  <c r="AF208" i="3"/>
  <c r="AF184" i="3"/>
  <c r="AF172" i="3"/>
  <c r="AF160" i="3"/>
  <c r="AF148" i="3"/>
  <c r="AF123" i="3"/>
  <c r="AF111" i="3"/>
  <c r="AF99" i="3"/>
  <c r="AF62" i="3"/>
  <c r="AF50" i="3"/>
  <c r="AF37" i="3"/>
  <c r="AF25" i="3"/>
  <c r="AC261" i="3"/>
  <c r="R267" i="3"/>
  <c r="AC207" i="2"/>
  <c r="H39" i="6" s="1"/>
  <c r="AC570" i="2"/>
  <c r="S39" i="6" s="1"/>
  <c r="G172" i="6" s="1"/>
  <c r="W275" i="2"/>
  <c r="AC275" i="2" s="1"/>
  <c r="J41" i="6" s="1"/>
  <c r="AF171" i="3"/>
  <c r="AF147" i="3"/>
  <c r="AF98" i="3"/>
  <c r="AF86" i="3"/>
  <c r="N261" i="3"/>
  <c r="AC240" i="2"/>
  <c r="I39" i="6" s="1"/>
  <c r="G122" i="6" s="1"/>
  <c r="AC339" i="2"/>
  <c r="L39" i="6" s="1"/>
  <c r="G137" i="6" s="1"/>
  <c r="R153" i="3"/>
  <c r="AF201" i="3"/>
  <c r="AF36" i="3"/>
  <c r="AF116" i="3"/>
  <c r="R557" i="2"/>
  <c r="H537" i="7"/>
  <c r="AI25" i="2"/>
  <c r="B570" i="7"/>
  <c r="S25" i="7" s="1"/>
  <c r="AC269" i="2"/>
  <c r="J35" i="6" s="1"/>
  <c r="B273" i="7"/>
  <c r="S16" i="7" s="1"/>
  <c r="M371" i="2"/>
  <c r="V387" i="2" s="1"/>
  <c r="K371" i="7"/>
  <c r="R590" i="2"/>
  <c r="H570" i="7"/>
  <c r="W631" i="2"/>
  <c r="K635" i="7"/>
  <c r="W136" i="2"/>
  <c r="K140" i="7"/>
  <c r="E274" i="2"/>
  <c r="E274" i="7" s="1"/>
  <c r="H273" i="7"/>
  <c r="AI17" i="2"/>
  <c r="B306" i="7"/>
  <c r="S17" i="7" s="1"/>
  <c r="AC335" i="2"/>
  <c r="L35" i="6" s="1"/>
  <c r="B339" i="7"/>
  <c r="S18" i="7" s="1"/>
  <c r="AI19" i="2"/>
  <c r="B372" i="7"/>
  <c r="S19" i="7" s="1"/>
  <c r="R622" i="2"/>
  <c r="H603" i="7"/>
  <c r="T262" i="2"/>
  <c r="H240" i="7"/>
  <c r="AI12" i="2"/>
  <c r="B141" i="7"/>
  <c r="S12" i="7" s="1"/>
  <c r="AI13" i="2"/>
  <c r="B174" i="7"/>
  <c r="S13" i="7" s="1"/>
  <c r="M206" i="2"/>
  <c r="T222" i="2" s="1"/>
  <c r="K206" i="7"/>
  <c r="W330" i="2"/>
  <c r="AC305" i="2" s="1"/>
  <c r="K38" i="6" s="1"/>
  <c r="H306" i="7"/>
  <c r="U391" i="2"/>
  <c r="H372" i="7"/>
  <c r="W433" i="2"/>
  <c r="K437" i="7"/>
  <c r="V657" i="2"/>
  <c r="H636" i="7"/>
  <c r="H75" i="7"/>
  <c r="H108" i="7"/>
  <c r="H141" i="7"/>
  <c r="U194" i="2"/>
  <c r="H174" i="7"/>
  <c r="AI15" i="2"/>
  <c r="B240" i="7"/>
  <c r="S15" i="7" s="1"/>
  <c r="M470" i="2"/>
  <c r="V486" i="2" s="1"/>
  <c r="K470" i="7"/>
  <c r="W70" i="2"/>
  <c r="K74" i="7"/>
  <c r="H42" i="7"/>
  <c r="R229" i="2"/>
  <c r="H207" i="7"/>
  <c r="T457" i="2"/>
  <c r="H438" i="7"/>
  <c r="AC104" i="2"/>
  <c r="E35" i="6" s="1"/>
  <c r="B108" i="7"/>
  <c r="S11" i="7" s="1"/>
  <c r="T493" i="2"/>
  <c r="H471" i="7"/>
  <c r="AI23" i="2"/>
  <c r="B504" i="7"/>
  <c r="S23" i="7" s="1"/>
  <c r="M536" i="2"/>
  <c r="S552" i="2" s="1"/>
  <c r="K536" i="7"/>
  <c r="AI9" i="2"/>
  <c r="B42" i="7"/>
  <c r="S9" i="7" s="1"/>
  <c r="B505" i="2"/>
  <c r="B505" i="7" s="1"/>
  <c r="H504" i="7"/>
  <c r="AI24" i="2"/>
  <c r="B537" i="7"/>
  <c r="S24" i="7" s="1"/>
  <c r="V360" i="2"/>
  <c r="H339" i="7"/>
  <c r="N27" i="3"/>
  <c r="AF27" i="3"/>
  <c r="AC27" i="3"/>
  <c r="AB27" i="3"/>
  <c r="AF34" i="3"/>
  <c r="AB34" i="3"/>
  <c r="AC34" i="3"/>
  <c r="AD34" i="3" s="1"/>
  <c r="P34" i="3"/>
  <c r="R34" i="3" s="1"/>
  <c r="AB117" i="3"/>
  <c r="N117" i="3"/>
  <c r="R206" i="3"/>
  <c r="Z206" i="3"/>
  <c r="R179" i="3"/>
  <c r="N135" i="3"/>
  <c r="AF135" i="3"/>
  <c r="AB135" i="3"/>
  <c r="AC135" i="3"/>
  <c r="R155" i="3"/>
  <c r="Z155" i="3"/>
  <c r="AC5" i="2"/>
  <c r="B35" i="6" s="1"/>
  <c r="B9" i="7"/>
  <c r="S8" i="7" s="1"/>
  <c r="Y101" i="3"/>
  <c r="AB154" i="3"/>
  <c r="Z168" i="3"/>
  <c r="Q168" i="3"/>
  <c r="Q176" i="3"/>
  <c r="Z46" i="3"/>
  <c r="AF15" i="3"/>
  <c r="N51" i="3"/>
  <c r="AF51" i="3"/>
  <c r="AB51" i="3"/>
  <c r="R52" i="3"/>
  <c r="Z52" i="3"/>
  <c r="Q126" i="3"/>
  <c r="Z126" i="3"/>
  <c r="Z127" i="3"/>
  <c r="R127" i="3"/>
  <c r="Z138" i="3"/>
  <c r="Q138" i="3"/>
  <c r="P99" i="3"/>
  <c r="Z99" i="3" s="1"/>
  <c r="AB99" i="3"/>
  <c r="Z165" i="3"/>
  <c r="R165" i="3"/>
  <c r="R183" i="3"/>
  <c r="Z183" i="3"/>
  <c r="Z257" i="3"/>
  <c r="R257" i="3"/>
  <c r="R256" i="3"/>
  <c r="Z256" i="3"/>
  <c r="AB15" i="3"/>
  <c r="AF221" i="3"/>
  <c r="AC70" i="3"/>
  <c r="AB70" i="3"/>
  <c r="R96" i="3"/>
  <c r="Z96" i="3"/>
  <c r="AF122" i="3"/>
  <c r="AB122" i="3"/>
  <c r="N122" i="3"/>
  <c r="Q189" i="3"/>
  <c r="Z189" i="3"/>
  <c r="AC13" i="3"/>
  <c r="N13" i="3"/>
  <c r="Z85" i="3"/>
  <c r="Q156" i="3"/>
  <c r="Z156" i="3"/>
  <c r="R223" i="3"/>
  <c r="Z223" i="3"/>
  <c r="R50" i="3"/>
  <c r="Z50" i="3"/>
  <c r="P66" i="3"/>
  <c r="R66" i="3" s="1"/>
  <c r="AB66" i="3"/>
  <c r="R109" i="3"/>
  <c r="Z109" i="3"/>
  <c r="Z141" i="3"/>
  <c r="R141" i="3"/>
  <c r="Z160" i="3"/>
  <c r="R160" i="3"/>
  <c r="Q224" i="3"/>
  <c r="Z224" i="3"/>
  <c r="R35" i="3"/>
  <c r="Z35" i="3"/>
  <c r="P38" i="3"/>
  <c r="R38" i="3" s="1"/>
  <c r="AF38" i="3"/>
  <c r="AB38" i="3"/>
  <c r="Z231" i="3"/>
  <c r="R231" i="3"/>
  <c r="H190" i="3"/>
  <c r="H57" i="3"/>
  <c r="M57" i="3" s="1"/>
  <c r="H127" i="3"/>
  <c r="M127" i="3" s="1"/>
  <c r="H191" i="3"/>
  <c r="M191" i="3" s="1"/>
  <c r="H209" i="3"/>
  <c r="M209" i="3" s="1"/>
  <c r="H233" i="3"/>
  <c r="M233" i="3" s="1"/>
  <c r="H245" i="3"/>
  <c r="M245" i="3" s="1"/>
  <c r="H224" i="3"/>
  <c r="N224" i="3" s="1"/>
  <c r="AB71" i="3"/>
  <c r="Z186" i="3"/>
  <c r="Z219" i="3"/>
  <c r="Z249" i="3"/>
  <c r="R249" i="3"/>
  <c r="Z252" i="3"/>
  <c r="H265" i="3"/>
  <c r="M265" i="3" s="1"/>
  <c r="AF139" i="3"/>
  <c r="N139" i="3"/>
  <c r="Z222" i="3"/>
  <c r="AF231" i="3"/>
  <c r="AF219" i="3"/>
  <c r="H253" i="3"/>
  <c r="M253" i="3" s="1"/>
  <c r="H259" i="3"/>
  <c r="M259" i="3" s="1"/>
  <c r="H131" i="3"/>
  <c r="M131" i="3" s="1"/>
  <c r="H169" i="3"/>
  <c r="M169" i="3" s="1"/>
  <c r="H40" i="3"/>
  <c r="M40" i="3" s="1"/>
  <c r="H159" i="3"/>
  <c r="H33" i="3"/>
  <c r="M33" i="3" s="1"/>
  <c r="H26" i="3"/>
  <c r="H74" i="3"/>
  <c r="M74" i="3" s="1"/>
  <c r="H13" i="3"/>
  <c r="M13" i="3" s="1"/>
  <c r="H138" i="3"/>
  <c r="N138" i="3" s="1"/>
  <c r="H198" i="3"/>
  <c r="M198" i="3" s="1"/>
  <c r="H221" i="3"/>
  <c r="M221" i="3" s="1"/>
  <c r="H241" i="3"/>
  <c r="M241" i="3" s="1"/>
  <c r="R37" i="3"/>
  <c r="Z39" i="3"/>
  <c r="AF14" i="3"/>
  <c r="Z133" i="3"/>
  <c r="AF83" i="3"/>
  <c r="N46" i="3"/>
  <c r="AC39" i="3"/>
  <c r="R111" i="3"/>
  <c r="AB82" i="3"/>
  <c r="R42" i="3"/>
  <c r="AF87" i="3"/>
  <c r="N116" i="3"/>
  <c r="AF153" i="3"/>
  <c r="M172" i="3"/>
  <c r="AB205" i="3"/>
  <c r="R255" i="3"/>
  <c r="AB256" i="3"/>
  <c r="H301" i="3"/>
  <c r="H299" i="3"/>
  <c r="H300" i="3"/>
  <c r="H298" i="3"/>
  <c r="H292" i="3"/>
  <c r="H293" i="3"/>
  <c r="M293" i="3" s="1"/>
  <c r="H294" i="3"/>
  <c r="H295" i="3"/>
  <c r="H296" i="3"/>
  <c r="H297" i="3"/>
  <c r="H290" i="3"/>
  <c r="H288" i="3"/>
  <c r="H291" i="3"/>
  <c r="H289" i="3"/>
  <c r="H287" i="3"/>
  <c r="H286" i="3"/>
  <c r="H285" i="3"/>
  <c r="H284" i="3"/>
  <c r="H280" i="3"/>
  <c r="H281" i="3"/>
  <c r="H283" i="3"/>
  <c r="M283" i="3" s="1"/>
  <c r="Y283" i="3" s="1"/>
  <c r="AD283" i="3" s="1"/>
  <c r="AA283" i="3" s="1"/>
  <c r="H282" i="3"/>
  <c r="H279" i="3"/>
  <c r="H276" i="3"/>
  <c r="H278" i="3"/>
  <c r="H277" i="3"/>
  <c r="H269" i="3"/>
  <c r="M269" i="3" s="1"/>
  <c r="H271" i="3"/>
  <c r="M271" i="3" s="1"/>
  <c r="H262" i="3"/>
  <c r="M262" i="3" s="1"/>
  <c r="H272" i="3"/>
  <c r="M272" i="3" s="1"/>
  <c r="H273" i="3"/>
  <c r="M273" i="3" s="1"/>
  <c r="H270" i="3"/>
  <c r="M270" i="3" s="1"/>
  <c r="H264" i="3"/>
  <c r="M264" i="3" s="1"/>
  <c r="H256" i="3"/>
  <c r="M256" i="3" s="1"/>
  <c r="H275" i="3"/>
  <c r="M275" i="3" s="1"/>
  <c r="H274" i="3"/>
  <c r="M274" i="3" s="1"/>
  <c r="H257" i="3"/>
  <c r="M257" i="3" s="1"/>
  <c r="H252" i="3"/>
  <c r="M252" i="3" s="1"/>
  <c r="H247" i="3"/>
  <c r="N247" i="3" s="1"/>
  <c r="H268" i="3"/>
  <c r="M268" i="3" s="1"/>
  <c r="H267" i="3"/>
  <c r="M267" i="3" s="1"/>
  <c r="H261" i="3"/>
  <c r="M261" i="3" s="1"/>
  <c r="H258" i="3"/>
  <c r="M258" i="3" s="1"/>
  <c r="H248" i="3"/>
  <c r="M248" i="3" s="1"/>
  <c r="H255" i="3"/>
  <c r="M255" i="3" s="1"/>
  <c r="H250" i="3"/>
  <c r="M250" i="3" s="1"/>
  <c r="AB20" i="3"/>
  <c r="Z107" i="3"/>
  <c r="AB231" i="3"/>
  <c r="N231" i="3"/>
  <c r="AF241" i="3"/>
  <c r="AF217" i="3"/>
  <c r="H263" i="3"/>
  <c r="M263" i="3" s="1"/>
  <c r="AF17" i="3"/>
  <c r="AF216" i="3"/>
  <c r="AF204" i="3"/>
  <c r="AF156" i="3"/>
  <c r="AF144" i="3"/>
  <c r="AF131" i="3"/>
  <c r="AF119" i="3"/>
  <c r="AF82" i="3"/>
  <c r="AF70" i="3"/>
  <c r="AF58" i="3"/>
  <c r="AF46" i="3"/>
  <c r="AF33" i="3"/>
  <c r="N250" i="3"/>
  <c r="AB250" i="3"/>
  <c r="R60" i="3"/>
  <c r="Z116" i="3"/>
  <c r="Z167" i="3"/>
  <c r="R210" i="3"/>
  <c r="AF18" i="3"/>
  <c r="AF239" i="3"/>
  <c r="AF215" i="3"/>
  <c r="AF203" i="3"/>
  <c r="AF191" i="3"/>
  <c r="AF179" i="3"/>
  <c r="AF155" i="3"/>
  <c r="AF143" i="3"/>
  <c r="AF130" i="3"/>
  <c r="AF106" i="3"/>
  <c r="AF94" i="3"/>
  <c r="AF81" i="3"/>
  <c r="AF69" i="3"/>
  <c r="AF57" i="3"/>
  <c r="AF45" i="3"/>
  <c r="H249" i="3"/>
  <c r="M249" i="3" s="1"/>
  <c r="Z171" i="3"/>
  <c r="R203" i="3"/>
  <c r="Z238" i="3"/>
  <c r="R239" i="3"/>
  <c r="AF19" i="3"/>
  <c r="AF238" i="3"/>
  <c r="AF202" i="3"/>
  <c r="AF190" i="3"/>
  <c r="AF178" i="3"/>
  <c r="AF166" i="3"/>
  <c r="AF154" i="3"/>
  <c r="AF142" i="3"/>
  <c r="AF129" i="3"/>
  <c r="AF117" i="3"/>
  <c r="AF105" i="3"/>
  <c r="AF93" i="3"/>
  <c r="AF80" i="3"/>
  <c r="AF68" i="3"/>
  <c r="AF56" i="3"/>
  <c r="AF44" i="3"/>
  <c r="AF31" i="3"/>
  <c r="AB248" i="3"/>
  <c r="Z93" i="3"/>
  <c r="Z211" i="3"/>
  <c r="R220" i="3"/>
  <c r="Z240" i="3"/>
  <c r="AF237" i="3"/>
  <c r="H251" i="3"/>
  <c r="M251" i="3" s="1"/>
  <c r="H260" i="3"/>
  <c r="AF24" i="3"/>
  <c r="AF236" i="3"/>
  <c r="AF188" i="3"/>
  <c r="AF164" i="3"/>
  <c r="AF152" i="3"/>
  <c r="AF115" i="3"/>
  <c r="AF103" i="3"/>
  <c r="AF91" i="3"/>
  <c r="AF78" i="3"/>
  <c r="AF66" i="3"/>
  <c r="AF54" i="3"/>
  <c r="AF41" i="3"/>
  <c r="AB253" i="3"/>
  <c r="N67" i="3"/>
  <c r="R233" i="3"/>
  <c r="AF22" i="3"/>
  <c r="AF223" i="3"/>
  <c r="AF199" i="3"/>
  <c r="AF175" i="3"/>
  <c r="AF163" i="3"/>
  <c r="AF151" i="3"/>
  <c r="AF138" i="3"/>
  <c r="AF126" i="3"/>
  <c r="AF114" i="3"/>
  <c r="AF102" i="3"/>
  <c r="AF90" i="3"/>
  <c r="AF77" i="3"/>
  <c r="AF65" i="3"/>
  <c r="AF53" i="3"/>
  <c r="AF40" i="3"/>
  <c r="AF85" i="3"/>
  <c r="H254" i="3"/>
  <c r="M254" i="3" s="1"/>
  <c r="Y254" i="3" s="1"/>
  <c r="AC259" i="3"/>
  <c r="N259" i="3"/>
  <c r="R264" i="3"/>
  <c r="Z264" i="3"/>
  <c r="H9" i="7"/>
  <c r="Z195" i="3"/>
  <c r="Z162" i="3"/>
  <c r="P232" i="3"/>
  <c r="AF210" i="3"/>
  <c r="R262" i="3"/>
  <c r="AB264" i="3"/>
  <c r="AF258" i="3"/>
  <c r="R271" i="3"/>
  <c r="AF245" i="3"/>
  <c r="AF242" i="3"/>
  <c r="AF206" i="3"/>
  <c r="AF264" i="3"/>
  <c r="N263" i="3"/>
  <c r="AC260" i="3"/>
  <c r="AD260" i="3" s="1"/>
  <c r="AB262" i="3"/>
  <c r="AF270" i="3"/>
  <c r="Z268" i="3"/>
  <c r="Z270" i="3"/>
  <c r="AF265" i="3"/>
  <c r="R274" i="3"/>
  <c r="AB275" i="3"/>
  <c r="W117" i="2"/>
  <c r="W147" i="2"/>
  <c r="W418" i="2"/>
  <c r="W471" i="2"/>
  <c r="W473" i="2"/>
  <c r="AC473" i="2" s="1"/>
  <c r="P41" i="6" s="1"/>
  <c r="W476" i="2"/>
  <c r="W510" i="2"/>
  <c r="W513" i="2"/>
  <c r="W515" i="2"/>
  <c r="W538" i="2"/>
  <c r="W540" i="2"/>
  <c r="W543" i="2"/>
  <c r="W575" i="2"/>
  <c r="W578" i="2"/>
  <c r="W580" i="2"/>
  <c r="W610" i="2"/>
  <c r="W638" i="2"/>
  <c r="AC638" i="2" s="1"/>
  <c r="U41" i="6" s="1"/>
  <c r="W645" i="2"/>
  <c r="W647" i="2"/>
  <c r="W87" i="2"/>
  <c r="W110" i="2"/>
  <c r="AC110" i="2" s="1"/>
  <c r="E41" i="6" s="1"/>
  <c r="W115" i="2"/>
  <c r="W314" i="2"/>
  <c r="W55" i="2"/>
  <c r="W88" i="2"/>
  <c r="W111" i="2"/>
  <c r="W15" i="2"/>
  <c r="U34" i="6"/>
  <c r="N106" i="6" s="1"/>
  <c r="N126" i="6" s="1"/>
  <c r="N146" i="6" s="1"/>
  <c r="W119" i="2"/>
  <c r="W77" i="2"/>
  <c r="W445" i="2"/>
  <c r="AC141" i="2"/>
  <c r="F39" i="6" s="1"/>
  <c r="G107" i="6" s="1"/>
  <c r="W149" i="2"/>
  <c r="W154" i="2"/>
  <c r="W350" i="2"/>
  <c r="W378" i="2"/>
  <c r="W153" i="2"/>
  <c r="W339" i="2"/>
  <c r="W344" i="2"/>
  <c r="W411" i="2"/>
  <c r="W413" i="2"/>
  <c r="W441" i="2"/>
  <c r="W120" i="2"/>
  <c r="W78" i="2"/>
  <c r="W83" i="2"/>
  <c r="W116" i="2"/>
  <c r="W247" i="2"/>
  <c r="W146" i="2"/>
  <c r="W151" i="2"/>
  <c r="W342" i="2"/>
  <c r="W347" i="2"/>
  <c r="W375" i="2"/>
  <c r="W407" i="2"/>
  <c r="AC407" i="2" s="1"/>
  <c r="N41" i="6" s="1"/>
  <c r="W439" i="2"/>
  <c r="W449" i="2"/>
  <c r="W539" i="2"/>
  <c r="AC539" i="2" s="1"/>
  <c r="R41" i="6" s="1"/>
  <c r="Q34" i="6"/>
  <c r="N102" i="6" s="1"/>
  <c r="N122" i="6" s="1"/>
  <c r="N142" i="6" s="1"/>
  <c r="W54" i="2"/>
  <c r="W82" i="2"/>
  <c r="W86" i="2"/>
  <c r="W109" i="2"/>
  <c r="W114" i="2"/>
  <c r="B15" i="6"/>
  <c r="E15" i="6" s="1"/>
  <c r="H15" i="6" s="1"/>
  <c r="K15" i="6" s="1"/>
  <c r="N15" i="6" s="1"/>
  <c r="W383" i="2"/>
  <c r="W408" i="2"/>
  <c r="W410" i="2"/>
  <c r="W447" i="2"/>
  <c r="W542" i="2"/>
  <c r="W547" i="2"/>
  <c r="W11" i="2"/>
  <c r="AC42" i="2"/>
  <c r="C39" i="6" s="1"/>
  <c r="G92" i="6" s="1"/>
  <c r="W75" i="2"/>
  <c r="W80" i="2"/>
  <c r="W85" i="2"/>
  <c r="W108" i="2"/>
  <c r="W113" i="2"/>
  <c r="W152" i="2"/>
  <c r="V522" i="2"/>
  <c r="W241" i="2"/>
  <c r="W249" i="2"/>
  <c r="S60" i="2"/>
  <c r="U262" i="2"/>
  <c r="R261" i="2"/>
  <c r="AC566" i="2"/>
  <c r="S35" i="6" s="1"/>
  <c r="U556" i="2"/>
  <c r="AF198" i="3"/>
  <c r="AF218" i="3"/>
  <c r="AF246" i="3"/>
  <c r="AF212" i="3"/>
  <c r="AF200" i="3"/>
  <c r="AF213" i="3"/>
  <c r="AF32" i="3"/>
  <c r="AF253" i="3"/>
  <c r="AF211" i="3"/>
  <c r="AF220" i="3"/>
  <c r="AF244" i="3"/>
  <c r="Z31" i="3"/>
  <c r="R31" i="3"/>
  <c r="Q66" i="3"/>
  <c r="R208" i="3"/>
  <c r="Z208" i="3"/>
  <c r="AB252" i="3"/>
  <c r="AF252" i="3"/>
  <c r="N21" i="3"/>
  <c r="AF21" i="3"/>
  <c r="R80" i="3"/>
  <c r="Z80" i="3"/>
  <c r="AF92" i="3"/>
  <c r="AB92" i="3"/>
  <c r="Z101" i="3"/>
  <c r="R101" i="3"/>
  <c r="R188" i="3"/>
  <c r="Z188" i="3"/>
  <c r="AF197" i="3"/>
  <c r="AB197" i="3"/>
  <c r="AF228" i="3"/>
  <c r="AB228" i="3"/>
  <c r="Z260" i="3"/>
  <c r="R215" i="3"/>
  <c r="Z215" i="3"/>
  <c r="Z88" i="3"/>
  <c r="Q88" i="3"/>
  <c r="Q158" i="3"/>
  <c r="Z158" i="3"/>
  <c r="AF196" i="3"/>
  <c r="AB196" i="3"/>
  <c r="N74" i="3"/>
  <c r="AF74" i="3"/>
  <c r="AB74" i="3"/>
  <c r="N29" i="3"/>
  <c r="AF29" i="3"/>
  <c r="AB29" i="3"/>
  <c r="AC29" i="3"/>
  <c r="Z45" i="3"/>
  <c r="R45" i="3"/>
  <c r="Q64" i="3"/>
  <c r="Z103" i="3"/>
  <c r="R103" i="3"/>
  <c r="AF229" i="3"/>
  <c r="AB229" i="3"/>
  <c r="AF225" i="3"/>
  <c r="AB225" i="3"/>
  <c r="AF73" i="3"/>
  <c r="AB73" i="3"/>
  <c r="AC73" i="3"/>
  <c r="N73" i="3"/>
  <c r="AF107" i="3"/>
  <c r="AB107" i="3"/>
  <c r="R250" i="3"/>
  <c r="Z250" i="3"/>
  <c r="AF28" i="3"/>
  <c r="AB28" i="3"/>
  <c r="Z181" i="3"/>
  <c r="R181" i="3"/>
  <c r="Q23" i="3"/>
  <c r="AF63" i="3"/>
  <c r="AB63" i="3"/>
  <c r="AF140" i="3"/>
  <c r="AB140" i="3"/>
  <c r="AF180" i="3"/>
  <c r="AB180" i="3"/>
  <c r="AF230" i="3"/>
  <c r="AB230" i="3"/>
  <c r="AF226" i="3"/>
  <c r="AB226" i="3"/>
  <c r="Z16" i="3"/>
  <c r="R16" i="3"/>
  <c r="AF43" i="3"/>
  <c r="AB43" i="3"/>
  <c r="Q115" i="3"/>
  <c r="AF243" i="3"/>
  <c r="AB243" i="3"/>
  <c r="AF235" i="3"/>
  <c r="AB235" i="3"/>
  <c r="N255" i="3"/>
  <c r="AF255" i="3"/>
  <c r="AB255" i="3"/>
  <c r="AC255" i="3"/>
  <c r="R15" i="3"/>
  <c r="Z15" i="3"/>
  <c r="R260" i="3"/>
  <c r="AB21" i="3"/>
  <c r="Q38" i="3"/>
  <c r="Q56" i="3"/>
  <c r="AF192" i="3"/>
  <c r="AB192" i="3"/>
  <c r="AF227" i="3"/>
  <c r="AB227" i="3"/>
  <c r="Z201" i="3"/>
  <c r="Z246" i="3"/>
  <c r="AB246" i="3"/>
  <c r="AF248" i="3"/>
  <c r="N248" i="3"/>
  <c r="N253" i="3"/>
  <c r="AF263" i="3"/>
  <c r="Z265" i="3"/>
  <c r="AB265" i="3" s="1"/>
  <c r="N269" i="3"/>
  <c r="AB272" i="3"/>
  <c r="AF273" i="3"/>
  <c r="R272" i="3"/>
  <c r="Z135" i="3"/>
  <c r="AB221" i="3"/>
  <c r="R194" i="3"/>
  <c r="R20" i="3"/>
  <c r="Z62" i="3"/>
  <c r="AB198" i="3"/>
  <c r="AB211" i="3"/>
  <c r="AB200" i="3"/>
  <c r="Z226" i="3"/>
  <c r="AF250" i="3"/>
  <c r="AF259" i="3"/>
  <c r="Z263" i="3"/>
  <c r="AB270" i="3"/>
  <c r="AF272" i="3"/>
  <c r="N274" i="3"/>
  <c r="AB25" i="3"/>
  <c r="Q34" i="3"/>
  <c r="Z61" i="3"/>
  <c r="Z97" i="3"/>
  <c r="R147" i="3"/>
  <c r="Z148" i="3"/>
  <c r="Z244" i="3"/>
  <c r="AF262" i="3"/>
  <c r="AF274" i="3"/>
  <c r="AB13" i="3"/>
  <c r="AF13" i="3"/>
  <c r="AF251" i="3"/>
  <c r="AB259" i="3"/>
  <c r="AC274" i="3"/>
  <c r="Z196" i="3"/>
  <c r="AB32" i="3"/>
  <c r="Z32" i="3"/>
  <c r="Z79" i="3"/>
  <c r="AB212" i="3"/>
  <c r="AC250" i="3"/>
  <c r="AF268" i="3"/>
  <c r="N268" i="3"/>
  <c r="F34" i="6"/>
  <c r="N91" i="6" s="1"/>
  <c r="N111" i="6" s="1"/>
  <c r="N131" i="6" s="1"/>
  <c r="W143" i="2"/>
  <c r="W148" i="2"/>
  <c r="W150" i="2"/>
  <c r="W141" i="2"/>
  <c r="W145" i="2"/>
  <c r="AC182" i="3"/>
  <c r="U93" i="2"/>
  <c r="AI18" i="2"/>
  <c r="T60" i="2"/>
  <c r="S159" i="2"/>
  <c r="Q9" i="6"/>
  <c r="T9" i="6" s="1"/>
  <c r="W9" i="6" s="1"/>
  <c r="N9" i="6"/>
  <c r="N11" i="6"/>
  <c r="Q11" i="6"/>
  <c r="T11" i="6" s="1"/>
  <c r="W11" i="6" s="1"/>
  <c r="AC9" i="2"/>
  <c r="B39" i="6" s="1"/>
  <c r="G87" i="6" s="1"/>
  <c r="W59" i="2"/>
  <c r="W42" i="2"/>
  <c r="W43" i="2"/>
  <c r="W45" i="2"/>
  <c r="W48" i="2"/>
  <c r="W50" i="2"/>
  <c r="W51" i="2"/>
  <c r="W53" i="2"/>
  <c r="W125" i="2"/>
  <c r="W16" i="2"/>
  <c r="W12" i="2"/>
  <c r="W20" i="2"/>
  <c r="W22" i="2"/>
  <c r="W18" i="2"/>
  <c r="W9" i="2"/>
  <c r="W504" i="2"/>
  <c r="W506" i="2"/>
  <c r="W508" i="2"/>
  <c r="W509" i="2"/>
  <c r="W514" i="2"/>
  <c r="W516" i="2"/>
  <c r="W517" i="2"/>
  <c r="W91" i="2"/>
  <c r="AC81" i="2" s="1"/>
  <c r="D45" i="6" s="1"/>
  <c r="W17" i="2"/>
  <c r="W13" i="2"/>
  <c r="W21" i="2"/>
  <c r="W340" i="2"/>
  <c r="W341" i="2"/>
  <c r="AC341" i="2" s="1"/>
  <c r="L41" i="6" s="1"/>
  <c r="W343" i="2"/>
  <c r="W345" i="2"/>
  <c r="W346" i="2"/>
  <c r="W348" i="2"/>
  <c r="W349" i="2"/>
  <c r="W351" i="2"/>
  <c r="W438" i="2"/>
  <c r="W440" i="2"/>
  <c r="AC440" i="2" s="1"/>
  <c r="O41" i="6" s="1"/>
  <c r="W442" i="2"/>
  <c r="W443" i="2"/>
  <c r="W446" i="2"/>
  <c r="W448" i="2"/>
  <c r="W450" i="2"/>
  <c r="W451" i="2"/>
  <c r="W550" i="2"/>
  <c r="W570" i="2"/>
  <c r="W573" i="2"/>
  <c r="W574" i="2"/>
  <c r="W576" i="2"/>
  <c r="W579" i="2"/>
  <c r="W581" i="2"/>
  <c r="W582" i="2"/>
  <c r="W603" i="2"/>
  <c r="W605" i="2"/>
  <c r="W607" i="2"/>
  <c r="W608" i="2"/>
  <c r="W611" i="2"/>
  <c r="W613" i="2"/>
  <c r="W615" i="2"/>
  <c r="W616" i="2"/>
  <c r="W10" i="2"/>
  <c r="W14" i="2"/>
  <c r="W405" i="2"/>
  <c r="W406" i="2"/>
  <c r="W409" i="2"/>
  <c r="W414" i="2"/>
  <c r="W416" i="2"/>
  <c r="W417" i="2"/>
  <c r="W373" i="2"/>
  <c r="W374" i="2"/>
  <c r="W376" i="2"/>
  <c r="W377" i="2"/>
  <c r="W381" i="2"/>
  <c r="W382" i="2"/>
  <c r="W384" i="2"/>
  <c r="W385" i="2"/>
  <c r="W537" i="2"/>
  <c r="W541" i="2"/>
  <c r="W544" i="2"/>
  <c r="W545" i="2"/>
  <c r="W549" i="2"/>
  <c r="W157" i="2"/>
  <c r="AC147" i="2" s="1"/>
  <c r="F45" i="6" s="1"/>
  <c r="W124" i="2"/>
  <c r="AC114" i="2" s="1"/>
  <c r="W483" i="2"/>
  <c r="W484" i="2"/>
  <c r="W636" i="2"/>
  <c r="W640" i="2"/>
  <c r="W641" i="2"/>
  <c r="W643" i="2"/>
  <c r="W644" i="2"/>
  <c r="W648" i="2"/>
  <c r="W649" i="2"/>
  <c r="W273" i="2"/>
  <c r="W278" i="2"/>
  <c r="W281" i="2"/>
  <c r="W308" i="2"/>
  <c r="AC308" i="2" s="1"/>
  <c r="K41" i="6" s="1"/>
  <c r="W316" i="2"/>
  <c r="W319" i="2"/>
  <c r="W475" i="2"/>
  <c r="W477" i="2"/>
  <c r="W478" i="2"/>
  <c r="B14" i="6"/>
  <c r="E14" i="6" s="1"/>
  <c r="H14" i="6" s="1"/>
  <c r="K14" i="6" s="1"/>
  <c r="N14" i="6" s="1"/>
  <c r="N27" i="6"/>
  <c r="Q27" i="6"/>
  <c r="T27" i="6" s="1"/>
  <c r="W27" i="6" s="1"/>
  <c r="N24" i="6"/>
  <c r="Q24" i="6"/>
  <c r="T24" i="6" s="1"/>
  <c r="W24" i="6" s="1"/>
  <c r="L34" i="6"/>
  <c r="N97" i="6" s="1"/>
  <c r="N117" i="6" s="1"/>
  <c r="N137" i="6" s="1"/>
  <c r="B18" i="6"/>
  <c r="E18" i="6" s="1"/>
  <c r="H18" i="6" s="1"/>
  <c r="K18" i="6" s="1"/>
  <c r="N21" i="6"/>
  <c r="Q21" i="6"/>
  <c r="T21" i="6" s="1"/>
  <c r="W21" i="6" s="1"/>
  <c r="W92" i="2"/>
  <c r="AC533" i="2"/>
  <c r="R35" i="6" s="1"/>
  <c r="S26" i="2"/>
  <c r="W26" i="2" s="1"/>
  <c r="W25" i="2"/>
  <c r="AC15" i="2" s="1"/>
  <c r="P34" i="6"/>
  <c r="N101" i="6" s="1"/>
  <c r="N121" i="6" s="1"/>
  <c r="N141" i="6" s="1"/>
  <c r="B22" i="6"/>
  <c r="E22" i="6" s="1"/>
  <c r="H22" i="6" s="1"/>
  <c r="K22" i="6" s="1"/>
  <c r="Q12" i="6"/>
  <c r="T12" i="6" s="1"/>
  <c r="W12" i="6" s="1"/>
  <c r="N12" i="6"/>
  <c r="N10" i="6"/>
  <c r="Q10" i="6"/>
  <c r="T10" i="6" s="1"/>
  <c r="W10" i="6" s="1"/>
  <c r="Q23" i="6"/>
  <c r="T23" i="6" s="1"/>
  <c r="W23" i="6" s="1"/>
  <c r="N23" i="6"/>
  <c r="W58" i="2"/>
  <c r="AC48" i="2" s="1"/>
  <c r="S158" i="2"/>
  <c r="W158" i="2" s="1"/>
  <c r="B72" i="6"/>
  <c r="E72" i="6" s="1"/>
  <c r="B147" i="6"/>
  <c r="B148" i="6" s="1"/>
  <c r="B149" i="6" s="1"/>
  <c r="B150" i="6" s="1"/>
  <c r="B151" i="6" s="1"/>
  <c r="W307" i="2"/>
  <c r="W309" i="2"/>
  <c r="W310" i="2"/>
  <c r="W312" i="2"/>
  <c r="W313" i="2"/>
  <c r="W315" i="2"/>
  <c r="N25" i="6"/>
  <c r="W209" i="2"/>
  <c r="AC209" i="2" s="1"/>
  <c r="H41" i="6" s="1"/>
  <c r="W212" i="2"/>
  <c r="W214" i="2"/>
  <c r="W217" i="2"/>
  <c r="W220" i="2"/>
  <c r="W243" i="2"/>
  <c r="W246" i="2"/>
  <c r="W251" i="2"/>
  <c r="W244" i="2"/>
  <c r="W240" i="2"/>
  <c r="W286" i="2"/>
  <c r="W277" i="2"/>
  <c r="W207" i="2"/>
  <c r="W210" i="2"/>
  <c r="W215" i="2"/>
  <c r="W208" i="2"/>
  <c r="W211" i="2"/>
  <c r="W216" i="2"/>
  <c r="W242" i="2"/>
  <c r="AC242" i="2" s="1"/>
  <c r="I41" i="6" s="1"/>
  <c r="W245" i="2"/>
  <c r="W248" i="2"/>
  <c r="W250" i="2"/>
  <c r="W253" i="2"/>
  <c r="W285" i="2"/>
  <c r="W274" i="2"/>
  <c r="W276" i="2"/>
  <c r="W279" i="2"/>
  <c r="W280" i="2"/>
  <c r="W282" i="2"/>
  <c r="W284" i="2"/>
  <c r="W318" i="2"/>
  <c r="N16" i="6"/>
  <c r="Q16" i="6"/>
  <c r="T16" i="6" s="1"/>
  <c r="W16" i="6" s="1"/>
  <c r="B67" i="6"/>
  <c r="B122" i="6"/>
  <c r="B123" i="6" s="1"/>
  <c r="B124" i="6" s="1"/>
  <c r="B125" i="6" s="1"/>
  <c r="B126" i="6" s="1"/>
  <c r="B66" i="6"/>
  <c r="E66" i="6" s="1"/>
  <c r="B117" i="6"/>
  <c r="B118" i="6" s="1"/>
  <c r="B119" i="6" s="1"/>
  <c r="B120" i="6" s="1"/>
  <c r="B121" i="6" s="1"/>
  <c r="W213" i="2"/>
  <c r="W218" i="2"/>
  <c r="W219" i="2"/>
  <c r="W185" i="2"/>
  <c r="W176" i="2"/>
  <c r="AC176" i="2" s="1"/>
  <c r="G41" i="6" s="1"/>
  <c r="W178" i="2"/>
  <c r="W175" i="2"/>
  <c r="W183" i="2"/>
  <c r="W179" i="2"/>
  <c r="W181" i="2"/>
  <c r="W184" i="2"/>
  <c r="W187" i="2"/>
  <c r="W186" i="2"/>
  <c r="W174" i="2"/>
  <c r="W177" i="2"/>
  <c r="W180" i="2"/>
  <c r="W182" i="2"/>
  <c r="N13" i="6"/>
  <c r="Q13" i="6"/>
  <c r="T13" i="6" s="1"/>
  <c r="W13" i="6" s="1"/>
  <c r="G34" i="6"/>
  <c r="S492" i="2"/>
  <c r="B604" i="2"/>
  <c r="R623" i="2"/>
  <c r="V492" i="2"/>
  <c r="E241" i="2"/>
  <c r="AC270" i="2"/>
  <c r="AC277" i="2" s="1"/>
  <c r="V93" i="2"/>
  <c r="U60" i="2"/>
  <c r="T93" i="2"/>
  <c r="R247" i="3"/>
  <c r="T492" i="2"/>
  <c r="V490" i="2"/>
  <c r="U557" i="2"/>
  <c r="AF247" i="3"/>
  <c r="D472" i="2"/>
  <c r="U492" i="2"/>
  <c r="S493" i="2"/>
  <c r="U361" i="2"/>
  <c r="V327" i="2"/>
  <c r="S325" i="2"/>
  <c r="T393" i="2"/>
  <c r="V325" i="2"/>
  <c r="V361" i="2"/>
  <c r="U359" i="2"/>
  <c r="U326" i="2"/>
  <c r="R325" i="2"/>
  <c r="S457" i="2"/>
  <c r="R654" i="2"/>
  <c r="AC368" i="2"/>
  <c r="M35" i="6" s="1"/>
  <c r="R458" i="2"/>
  <c r="AC170" i="2"/>
  <c r="G35" i="6" s="1"/>
  <c r="T458" i="2"/>
  <c r="V460" i="2"/>
  <c r="B274" i="2"/>
  <c r="R126" i="2"/>
  <c r="AC302" i="2"/>
  <c r="K35" i="6" s="1"/>
  <c r="U458" i="2"/>
  <c r="E439" i="2"/>
  <c r="E109" i="2"/>
  <c r="T456" i="2"/>
  <c r="AC269" i="3"/>
  <c r="S93" i="2"/>
  <c r="S390" i="2"/>
  <c r="V60" i="2"/>
  <c r="AC468" i="2"/>
  <c r="AC475" i="2" s="1"/>
  <c r="D604" i="2"/>
  <c r="S623" i="2"/>
  <c r="B472" i="2"/>
  <c r="R457" i="2"/>
  <c r="S294" i="2"/>
  <c r="B241" i="2"/>
  <c r="T459" i="2"/>
  <c r="D439" i="2"/>
  <c r="R460" i="2"/>
  <c r="B439" i="2"/>
  <c r="W297" i="2"/>
  <c r="AC272" i="2" s="1"/>
  <c r="J38" i="6" s="1"/>
  <c r="S522" i="2"/>
  <c r="R93" i="2"/>
  <c r="V491" i="2"/>
  <c r="R492" i="2"/>
  <c r="U327" i="2"/>
  <c r="T625" i="2"/>
  <c r="V623" i="2"/>
  <c r="R524" i="2"/>
  <c r="W462" i="2"/>
  <c r="AC437" i="2" s="1"/>
  <c r="O38" i="6" s="1"/>
  <c r="V293" i="2"/>
  <c r="U460" i="2"/>
  <c r="S295" i="2"/>
  <c r="R293" i="2"/>
  <c r="B87" i="6"/>
  <c r="B58" i="6"/>
  <c r="B8" i="6"/>
  <c r="E8" i="6" s="1"/>
  <c r="H8" i="6" s="1"/>
  <c r="K8" i="6" s="1"/>
  <c r="N8" i="6" s="1"/>
  <c r="R522" i="2"/>
  <c r="V326" i="2"/>
  <c r="R327" i="2"/>
  <c r="T325" i="2"/>
  <c r="V328" i="2"/>
  <c r="B307" i="2"/>
  <c r="R326" i="2"/>
  <c r="S588" i="2"/>
  <c r="T126" i="2"/>
  <c r="U225" i="2"/>
  <c r="AC38" i="2"/>
  <c r="C35" i="6" s="1"/>
  <c r="S326" i="2"/>
  <c r="E307" i="2"/>
  <c r="R328" i="2"/>
  <c r="D307" i="2"/>
  <c r="S328" i="2"/>
  <c r="T326" i="2"/>
  <c r="S658" i="2"/>
  <c r="U591" i="2"/>
  <c r="T225" i="2"/>
  <c r="V225" i="2"/>
  <c r="S225" i="2"/>
  <c r="R225" i="2"/>
  <c r="W202" i="2"/>
  <c r="S327" i="2"/>
  <c r="U325" i="2"/>
  <c r="T327" i="2"/>
  <c r="U328" i="2"/>
  <c r="T328" i="2"/>
  <c r="R392" i="2"/>
  <c r="AC303" i="2"/>
  <c r="AC310" i="2" s="1"/>
  <c r="E373" i="2"/>
  <c r="AC137" i="2"/>
  <c r="F35" i="6" s="1"/>
  <c r="E142" i="2"/>
  <c r="S126" i="2"/>
  <c r="U126" i="2"/>
  <c r="S127" i="2"/>
  <c r="W532" i="2"/>
  <c r="R324" i="2"/>
  <c r="V126" i="2"/>
  <c r="R588" i="2"/>
  <c r="AC236" i="2"/>
  <c r="I35" i="6" s="1"/>
  <c r="U588" i="2"/>
  <c r="V160" i="2"/>
  <c r="U127" i="2"/>
  <c r="V127" i="2"/>
  <c r="T489" i="2"/>
  <c r="T127" i="2"/>
  <c r="AC138" i="2"/>
  <c r="AC145" i="2" s="1"/>
  <c r="D109" i="2"/>
  <c r="W132" i="2"/>
  <c r="AC107" i="2" s="1"/>
  <c r="E38" i="6" s="1"/>
  <c r="P90" i="6" s="1"/>
  <c r="AC500" i="2"/>
  <c r="Q35" i="6" s="1"/>
  <c r="W131" i="2"/>
  <c r="U489" i="2"/>
  <c r="AC105" i="2"/>
  <c r="AC112" i="2" s="1"/>
  <c r="R127" i="2"/>
  <c r="B109" i="2"/>
  <c r="B109" i="7" s="1"/>
  <c r="S657" i="2"/>
  <c r="R226" i="2"/>
  <c r="W103" i="2"/>
  <c r="T522" i="2"/>
  <c r="S654" i="2"/>
  <c r="R60" i="2"/>
  <c r="AC435" i="2"/>
  <c r="AC442" i="2" s="1"/>
  <c r="S459" i="2"/>
  <c r="V458" i="2"/>
  <c r="S460" i="2"/>
  <c r="U227" i="2"/>
  <c r="V459" i="2"/>
  <c r="V227" i="2"/>
  <c r="U457" i="2"/>
  <c r="T460" i="2"/>
  <c r="R459" i="2"/>
  <c r="V457" i="2"/>
  <c r="S458" i="2"/>
  <c r="U459" i="2"/>
  <c r="R195" i="2"/>
  <c r="S358" i="2"/>
  <c r="D142" i="2"/>
  <c r="T160" i="2"/>
  <c r="U160" i="2"/>
  <c r="R160" i="2"/>
  <c r="T195" i="2"/>
  <c r="S656" i="2"/>
  <c r="S195" i="2"/>
  <c r="V260" i="2"/>
  <c r="W264" i="2"/>
  <c r="AC239" i="2" s="1"/>
  <c r="I38" i="6" s="1"/>
  <c r="V261" i="2"/>
  <c r="B175" i="2"/>
  <c r="B175" i="7" s="1"/>
  <c r="W466" i="2"/>
  <c r="S262" i="2"/>
  <c r="D571" i="2"/>
  <c r="T423" i="2"/>
  <c r="R489" i="2"/>
  <c r="E175" i="2"/>
  <c r="E175" i="7" s="1"/>
  <c r="W363" i="2"/>
  <c r="AC338" i="2" s="1"/>
  <c r="L38" i="6" s="1"/>
  <c r="U358" i="2"/>
  <c r="B142" i="2"/>
  <c r="U657" i="2"/>
  <c r="U260" i="2"/>
  <c r="R260" i="2"/>
  <c r="D241" i="2"/>
  <c r="D241" i="7" s="1"/>
  <c r="T226" i="2"/>
  <c r="S228" i="2"/>
  <c r="S259" i="2"/>
  <c r="S489" i="2"/>
  <c r="V489" i="2"/>
  <c r="S160" i="2"/>
  <c r="U259" i="2"/>
  <c r="T260" i="2"/>
  <c r="R259" i="2"/>
  <c r="V262" i="2"/>
  <c r="V324" i="2"/>
  <c r="AI11" i="2"/>
  <c r="U226" i="2"/>
  <c r="S229" i="2"/>
  <c r="R228" i="2"/>
  <c r="W231" i="2"/>
  <c r="AC206" i="2" s="1"/>
  <c r="H38" i="6" s="1"/>
  <c r="AC204" i="2"/>
  <c r="AC211" i="2" s="1"/>
  <c r="V226" i="2"/>
  <c r="U229" i="2"/>
  <c r="U228" i="2"/>
  <c r="S226" i="2"/>
  <c r="D208" i="2"/>
  <c r="D208" i="7" s="1"/>
  <c r="T228" i="2"/>
  <c r="R227" i="2"/>
  <c r="V229" i="2"/>
  <c r="T227" i="2"/>
  <c r="AI16" i="2"/>
  <c r="R425" i="2"/>
  <c r="T424" i="2"/>
  <c r="M173" i="2"/>
  <c r="W169" i="2"/>
  <c r="M305" i="2"/>
  <c r="M305" i="7" s="1"/>
  <c r="W301" i="2"/>
  <c r="U324" i="2"/>
  <c r="T324" i="2"/>
  <c r="V357" i="2"/>
  <c r="T357" i="2"/>
  <c r="U524" i="2"/>
  <c r="R525" i="2"/>
  <c r="M602" i="2"/>
  <c r="T621" i="2"/>
  <c r="V621" i="2"/>
  <c r="W598" i="2"/>
  <c r="S621" i="2"/>
  <c r="R291" i="2"/>
  <c r="V291" i="2"/>
  <c r="V555" i="2"/>
  <c r="S555" i="2"/>
  <c r="R159" i="2"/>
  <c r="S27" i="2"/>
  <c r="V27" i="2"/>
  <c r="U357" i="2"/>
  <c r="R621" i="2"/>
  <c r="V390" i="2"/>
  <c r="E208" i="2"/>
  <c r="E208" i="7" s="1"/>
  <c r="V228" i="2"/>
  <c r="B208" i="2"/>
  <c r="B208" i="7" s="1"/>
  <c r="W495" i="2"/>
  <c r="AC470" i="2" s="1"/>
  <c r="P38" i="6" s="1"/>
  <c r="T491" i="2"/>
  <c r="R491" i="2"/>
  <c r="R490" i="2"/>
  <c r="E472" i="2"/>
  <c r="E472" i="7" s="1"/>
  <c r="U490" i="2"/>
  <c r="U493" i="2"/>
  <c r="S490" i="2"/>
  <c r="U491" i="2"/>
  <c r="R493" i="2"/>
  <c r="V493" i="2"/>
  <c r="T490" i="2"/>
  <c r="S491" i="2"/>
  <c r="V588" i="2"/>
  <c r="AI26" i="2"/>
  <c r="AC599" i="2"/>
  <c r="T35" i="6" s="1"/>
  <c r="M635" i="2"/>
  <c r="M635" i="7" s="1"/>
  <c r="U654" i="2"/>
  <c r="V654" i="2"/>
  <c r="T654" i="2"/>
  <c r="U621" i="2"/>
  <c r="T229" i="2"/>
  <c r="S227" i="2"/>
  <c r="AI20" i="2"/>
  <c r="AC401" i="2"/>
  <c r="N35" i="6" s="1"/>
  <c r="M437" i="2"/>
  <c r="R456" i="2"/>
  <c r="S456" i="2"/>
  <c r="V456" i="2"/>
  <c r="AI21" i="2"/>
  <c r="AC434" i="2"/>
  <c r="O35" i="6" s="1"/>
  <c r="E43" i="2"/>
  <c r="E43" i="7" s="1"/>
  <c r="W66" i="2"/>
  <c r="AC41" i="2" s="1"/>
  <c r="C38" i="6" s="1"/>
  <c r="P88" i="6" s="1"/>
  <c r="AC39" i="2"/>
  <c r="AC46" i="2" s="1"/>
  <c r="B43" i="2"/>
  <c r="B43" i="7" s="1"/>
  <c r="D43" i="2"/>
  <c r="D43" i="7" s="1"/>
  <c r="M239" i="2"/>
  <c r="M239" i="7" s="1"/>
  <c r="V258" i="2"/>
  <c r="R258" i="2"/>
  <c r="U258" i="2"/>
  <c r="R357" i="2"/>
  <c r="T159" i="2"/>
  <c r="T390" i="2"/>
  <c r="U390" i="2"/>
  <c r="T291" i="2"/>
  <c r="U555" i="2"/>
  <c r="S423" i="2"/>
  <c r="V30" i="2"/>
  <c r="R27" i="2"/>
  <c r="T27" i="2"/>
  <c r="U27" i="2"/>
  <c r="S625" i="2"/>
  <c r="U624" i="2"/>
  <c r="T624" i="2"/>
  <c r="U623" i="2"/>
  <c r="AC600" i="2"/>
  <c r="AC607" i="2" s="1"/>
  <c r="R625" i="2"/>
  <c r="V622" i="2"/>
  <c r="S624" i="2"/>
  <c r="S622" i="2"/>
  <c r="T623" i="2"/>
  <c r="U622" i="2"/>
  <c r="V625" i="2"/>
  <c r="E604" i="2"/>
  <c r="E604" i="7" s="1"/>
  <c r="U625" i="2"/>
  <c r="W627" i="2"/>
  <c r="AC602" i="2" s="1"/>
  <c r="T38" i="6" s="1"/>
  <c r="V624" i="2"/>
  <c r="T622" i="2"/>
  <c r="R624" i="2"/>
  <c r="AI27" i="2"/>
  <c r="AC632" i="2"/>
  <c r="U35" i="6" s="1"/>
  <c r="T427" i="2"/>
  <c r="V427" i="2"/>
  <c r="T426" i="2"/>
  <c r="D406" i="2"/>
  <c r="D406" i="7" s="1"/>
  <c r="T425" i="2"/>
  <c r="U424" i="2"/>
  <c r="AC402" i="2"/>
  <c r="AC409" i="2" s="1"/>
  <c r="B406" i="2"/>
  <c r="B406" i="7" s="1"/>
  <c r="S427" i="2"/>
  <c r="S425" i="2"/>
  <c r="S426" i="2"/>
  <c r="R426" i="2"/>
  <c r="S424" i="2"/>
  <c r="W429" i="2"/>
  <c r="AC404" i="2" s="1"/>
  <c r="N38" i="6" s="1"/>
  <c r="U427" i="2"/>
  <c r="V426" i="2"/>
  <c r="E406" i="2"/>
  <c r="E406" i="7" s="1"/>
  <c r="V425" i="2"/>
  <c r="R424" i="2"/>
  <c r="V159" i="2"/>
  <c r="U159" i="2"/>
  <c r="R555" i="2"/>
  <c r="T555" i="2"/>
  <c r="T258" i="2"/>
  <c r="U425" i="2"/>
  <c r="R427" i="2"/>
  <c r="W235" i="2"/>
  <c r="AI14" i="2"/>
  <c r="AC203" i="2"/>
  <c r="H35" i="6" s="1"/>
  <c r="M272" i="2"/>
  <c r="S291" i="2"/>
  <c r="U291" i="2"/>
  <c r="W268" i="2"/>
  <c r="W594" i="2"/>
  <c r="AC569" i="2" s="1"/>
  <c r="S38" i="6" s="1"/>
  <c r="S592" i="2"/>
  <c r="T592" i="2"/>
  <c r="T590" i="2"/>
  <c r="V589" i="2"/>
  <c r="S589" i="2"/>
  <c r="AC567" i="2"/>
  <c r="AC574" i="2" s="1"/>
  <c r="U589" i="2"/>
  <c r="M338" i="2"/>
  <c r="W334" i="2"/>
  <c r="V28" i="2"/>
  <c r="S28" i="2"/>
  <c r="D10" i="2"/>
  <c r="D10" i="7" s="1"/>
  <c r="T30" i="2"/>
  <c r="T28" i="2"/>
  <c r="R28" i="2"/>
  <c r="B10" i="2"/>
  <c r="B10" i="7" s="1"/>
  <c r="U30" i="2"/>
  <c r="AC6" i="2"/>
  <c r="S357" i="2"/>
  <c r="R390" i="2"/>
  <c r="S258" i="2"/>
  <c r="W367" i="2"/>
  <c r="V424" i="2"/>
  <c r="U426" i="2"/>
  <c r="E10" i="2"/>
  <c r="E10" i="7" s="1"/>
  <c r="U28" i="2"/>
  <c r="AI10" i="2"/>
  <c r="AC71" i="2"/>
  <c r="D35" i="6" s="1"/>
  <c r="AI22" i="2"/>
  <c r="AC467" i="2"/>
  <c r="P35" i="6" s="1"/>
  <c r="T523" i="2"/>
  <c r="T526" i="2"/>
  <c r="T525" i="2"/>
  <c r="R523" i="2"/>
  <c r="AC501" i="2"/>
  <c r="AC508" i="2" s="1"/>
  <c r="S523" i="2"/>
  <c r="V525" i="2"/>
  <c r="S525" i="2"/>
  <c r="U526" i="2"/>
  <c r="U523" i="2"/>
  <c r="T524" i="2"/>
  <c r="S524" i="2"/>
  <c r="V526" i="2"/>
  <c r="V524" i="2"/>
  <c r="U525" i="2"/>
  <c r="E505" i="2"/>
  <c r="E505" i="7" s="1"/>
  <c r="W528" i="2"/>
  <c r="AC503" i="2" s="1"/>
  <c r="Q38" i="6" s="1"/>
  <c r="S526" i="2"/>
  <c r="D505" i="2"/>
  <c r="D505" i="7" s="1"/>
  <c r="R192" i="2"/>
  <c r="S324" i="2"/>
  <c r="U456" i="2"/>
  <c r="W65" i="2"/>
  <c r="W37" i="2"/>
  <c r="AC72" i="2"/>
  <c r="AC79" i="2" s="1"/>
  <c r="B76" i="2"/>
  <c r="B76" i="7" s="1"/>
  <c r="W99" i="2"/>
  <c r="AC74" i="2" s="1"/>
  <c r="D38" i="6" s="1"/>
  <c r="P89" i="6" s="1"/>
  <c r="M404" i="2"/>
  <c r="M404" i="7" s="1"/>
  <c r="R423" i="2"/>
  <c r="W400" i="2"/>
  <c r="U423" i="2"/>
  <c r="V423" i="2"/>
  <c r="V391" i="2"/>
  <c r="S394" i="2"/>
  <c r="S393" i="2"/>
  <c r="U392" i="2"/>
  <c r="B373" i="2"/>
  <c r="B373" i="7" s="1"/>
  <c r="R391" i="2"/>
  <c r="U393" i="2"/>
  <c r="U394" i="2"/>
  <c r="V393" i="2"/>
  <c r="D373" i="2"/>
  <c r="D373" i="7" s="1"/>
  <c r="AC369" i="2"/>
  <c r="AC376" i="2" s="1"/>
  <c r="W396" i="2"/>
  <c r="AC371" i="2" s="1"/>
  <c r="M38" i="6" s="1"/>
  <c r="T391" i="2"/>
  <c r="T394" i="2"/>
  <c r="T392" i="2"/>
  <c r="R394" i="2"/>
  <c r="V394" i="2"/>
  <c r="R393" i="2"/>
  <c r="S391" i="2"/>
  <c r="S392" i="2"/>
  <c r="V392" i="2"/>
  <c r="U655" i="2"/>
  <c r="T657" i="2"/>
  <c r="T656" i="2"/>
  <c r="V658" i="2"/>
  <c r="B637" i="2"/>
  <c r="B637" i="7" s="1"/>
  <c r="T658" i="2"/>
  <c r="S655" i="2"/>
  <c r="E637" i="2"/>
  <c r="E637" i="7" s="1"/>
  <c r="R656" i="2"/>
  <c r="U658" i="2"/>
  <c r="V656" i="2"/>
  <c r="D637" i="2"/>
  <c r="D637" i="7" s="1"/>
  <c r="V655" i="2"/>
  <c r="R657" i="2"/>
  <c r="U656" i="2"/>
  <c r="AC633" i="2"/>
  <c r="AC640" i="2" s="1"/>
  <c r="T655" i="2"/>
  <c r="W660" i="2"/>
  <c r="AC635" i="2" s="1"/>
  <c r="U38" i="6" s="1"/>
  <c r="R658" i="2"/>
  <c r="R655" i="2"/>
  <c r="B340" i="2"/>
  <c r="B340" i="7" s="1"/>
  <c r="R358" i="2"/>
  <c r="T359" i="2"/>
  <c r="V358" i="2"/>
  <c r="U360" i="2"/>
  <c r="E340" i="2"/>
  <c r="E340" i="7" s="1"/>
  <c r="T361" i="2"/>
  <c r="S359" i="2"/>
  <c r="AC336" i="2"/>
  <c r="AC343" i="2" s="1"/>
  <c r="S360" i="2"/>
  <c r="D340" i="2"/>
  <c r="D340" i="7" s="1"/>
  <c r="V359" i="2"/>
  <c r="T358" i="2"/>
  <c r="R359" i="2"/>
  <c r="R361" i="2"/>
  <c r="T360" i="2"/>
  <c r="S361" i="2"/>
  <c r="R360" i="2"/>
  <c r="AC171" i="2"/>
  <c r="S193" i="2"/>
  <c r="R194" i="2"/>
  <c r="R193" i="2"/>
  <c r="S196" i="2"/>
  <c r="T196" i="2"/>
  <c r="T194" i="2"/>
  <c r="D175" i="2"/>
  <c r="D175" i="7" s="1"/>
  <c r="U193" i="2"/>
  <c r="R196" i="2"/>
  <c r="W198" i="2"/>
  <c r="AC173" i="2" s="1"/>
  <c r="G38" i="6" s="1"/>
  <c r="U196" i="2"/>
  <c r="S194" i="2"/>
  <c r="V195" i="2"/>
  <c r="U195" i="2"/>
  <c r="V193" i="2"/>
  <c r="V194" i="2"/>
  <c r="T193" i="2"/>
  <c r="V196" i="2"/>
  <c r="R292" i="2"/>
  <c r="V292" i="2"/>
  <c r="R295" i="2"/>
  <c r="U295" i="2"/>
  <c r="U294" i="2"/>
  <c r="T294" i="2"/>
  <c r="V294" i="2"/>
  <c r="S292" i="2"/>
  <c r="V295" i="2"/>
  <c r="S293" i="2"/>
  <c r="T292" i="2"/>
  <c r="U292" i="2"/>
  <c r="T295" i="2"/>
  <c r="D274" i="2"/>
  <c r="D274" i="7" s="1"/>
  <c r="T293" i="2"/>
  <c r="U293" i="2"/>
  <c r="R294" i="2"/>
  <c r="M503" i="2"/>
  <c r="U522" i="2"/>
  <c r="W499" i="2"/>
  <c r="AC534" i="2"/>
  <c r="AC541" i="2" s="1"/>
  <c r="V559" i="2"/>
  <c r="U559" i="2"/>
  <c r="S556" i="2"/>
  <c r="U558" i="2"/>
  <c r="R556" i="2"/>
  <c r="W561" i="2"/>
  <c r="AC536" i="2" s="1"/>
  <c r="R38" i="6" s="1"/>
  <c r="B538" i="2"/>
  <c r="B538" i="7" s="1"/>
  <c r="S559" i="2"/>
  <c r="S558" i="2"/>
  <c r="T556" i="2"/>
  <c r="D76" i="2"/>
  <c r="D76" i="7" s="1"/>
  <c r="R558" i="2"/>
  <c r="V556" i="2"/>
  <c r="T559" i="2"/>
  <c r="V94" i="2"/>
  <c r="W98" i="2"/>
  <c r="W565" i="2"/>
  <c r="M569" i="2"/>
  <c r="M569" i="7" s="1"/>
  <c r="T588" i="2"/>
  <c r="S557" i="2"/>
  <c r="V557" i="2"/>
  <c r="S192" i="2"/>
  <c r="U192" i="2"/>
  <c r="T192" i="2"/>
  <c r="V192" i="2"/>
  <c r="R94" i="2"/>
  <c r="S94" i="2"/>
  <c r="T558" i="2"/>
  <c r="R559" i="2"/>
  <c r="V558" i="2"/>
  <c r="D538" i="2"/>
  <c r="D538" i="7" s="1"/>
  <c r="U94" i="2"/>
  <c r="T94" i="2"/>
  <c r="E76" i="2"/>
  <c r="E76" i="7" s="1"/>
  <c r="T557" i="2"/>
  <c r="E538" i="2"/>
  <c r="E538" i="7" s="1"/>
  <c r="R526" i="2"/>
  <c r="V523" i="2"/>
  <c r="U592" i="2"/>
  <c r="V590" i="2"/>
  <c r="U590" i="2"/>
  <c r="B571" i="2"/>
  <c r="B571" i="7" s="1"/>
  <c r="S591" i="2"/>
  <c r="R591" i="2"/>
  <c r="V592" i="2"/>
  <c r="V591" i="2"/>
  <c r="S590" i="2"/>
  <c r="T589" i="2"/>
  <c r="R589" i="2"/>
  <c r="E571" i="2"/>
  <c r="E571" i="7" s="1"/>
  <c r="T591" i="2"/>
  <c r="R592" i="2"/>
  <c r="S261" i="2"/>
  <c r="R262" i="2"/>
  <c r="T261" i="2"/>
  <c r="S260" i="2"/>
  <c r="AC237" i="2"/>
  <c r="AC244" i="2" s="1"/>
  <c r="V259" i="2"/>
  <c r="U261" i="2"/>
  <c r="T259" i="2"/>
  <c r="AC247" i="3"/>
  <c r="B172" i="6" l="1"/>
  <c r="B173" i="6" s="1"/>
  <c r="B174" i="6" s="1"/>
  <c r="B175" i="6" s="1"/>
  <c r="B176" i="6" s="1"/>
  <c r="B77" i="6"/>
  <c r="E77" i="6" s="1"/>
  <c r="A22" i="1"/>
  <c r="Z234" i="3"/>
  <c r="N179" i="3"/>
  <c r="N178" i="3"/>
  <c r="N108" i="3"/>
  <c r="N164" i="3"/>
  <c r="M56" i="3"/>
  <c r="Y56" i="3" s="1"/>
  <c r="AC56" i="3" s="1"/>
  <c r="AD56" i="3" s="1"/>
  <c r="M18" i="3"/>
  <c r="Y18" i="3" s="1"/>
  <c r="N177" i="3"/>
  <c r="Y177" i="3" s="1"/>
  <c r="AD176" i="3"/>
  <c r="Z129" i="3"/>
  <c r="AB129" i="3" s="1"/>
  <c r="N94" i="3"/>
  <c r="N24" i="3"/>
  <c r="N32" i="3"/>
  <c r="Y32" i="3" s="1"/>
  <c r="N20" i="3"/>
  <c r="Y20" i="3" s="1"/>
  <c r="M181" i="3"/>
  <c r="Y181" i="3" s="1"/>
  <c r="Z18" i="3"/>
  <c r="N15" i="3"/>
  <c r="Y15" i="3" s="1"/>
  <c r="AC15" i="3" s="1"/>
  <c r="M96" i="3"/>
  <c r="Y96" i="3" s="1"/>
  <c r="AC96" i="3" s="1"/>
  <c r="Y185" i="3"/>
  <c r="M23" i="3"/>
  <c r="Y23" i="3" s="1"/>
  <c r="M144" i="3"/>
  <c r="Y144" i="3" s="1"/>
  <c r="AC144" i="3" s="1"/>
  <c r="Z48" i="3"/>
  <c r="AB48" i="3" s="1"/>
  <c r="N156" i="3"/>
  <c r="Y156" i="3" s="1"/>
  <c r="AC156" i="3" s="1"/>
  <c r="N64" i="3"/>
  <c r="Y64" i="3" s="1"/>
  <c r="AC64" i="3" s="1"/>
  <c r="AD64" i="3" s="1"/>
  <c r="AC178" i="2"/>
  <c r="K43" i="6"/>
  <c r="H132" i="6" s="1"/>
  <c r="H117" i="2"/>
  <c r="O79" i="2"/>
  <c r="O89" i="2"/>
  <c r="A84" i="2"/>
  <c r="O54" i="2"/>
  <c r="O44" i="2"/>
  <c r="H76" i="2"/>
  <c r="O52" i="2"/>
  <c r="O42" i="2"/>
  <c r="A109" i="2"/>
  <c r="O73" i="2"/>
  <c r="O83" i="2"/>
  <c r="G69" i="6"/>
  <c r="J69" i="6"/>
  <c r="A125" i="2"/>
  <c r="O81" i="2"/>
  <c r="O91" i="2"/>
  <c r="J36" i="6"/>
  <c r="J43" i="6"/>
  <c r="AC13" i="2"/>
  <c r="B65" i="6"/>
  <c r="N92" i="6"/>
  <c r="N112" i="6" s="1"/>
  <c r="N132" i="6" s="1"/>
  <c r="W33" i="2"/>
  <c r="AC8" i="2" s="1"/>
  <c r="B38" i="6" s="1"/>
  <c r="N20" i="6"/>
  <c r="W30" i="2"/>
  <c r="AC16" i="2" s="1"/>
  <c r="B46" i="6" s="1"/>
  <c r="B59" i="6"/>
  <c r="J59" i="6" s="1"/>
  <c r="N88" i="6"/>
  <c r="N108" i="6" s="1"/>
  <c r="N128" i="6" s="1"/>
  <c r="B177" i="6"/>
  <c r="B178" i="6" s="1"/>
  <c r="B179" i="6" s="1"/>
  <c r="B180" i="6" s="1"/>
  <c r="B181" i="6" s="1"/>
  <c r="N105" i="6"/>
  <c r="N125" i="6" s="1"/>
  <c r="N145" i="6" s="1"/>
  <c r="B68" i="6"/>
  <c r="C68" i="6" s="1"/>
  <c r="N95" i="6"/>
  <c r="N115" i="6" s="1"/>
  <c r="N135" i="6" s="1"/>
  <c r="N61" i="3"/>
  <c r="Y61" i="3" s="1"/>
  <c r="AC61" i="3" s="1"/>
  <c r="N131" i="3"/>
  <c r="Y131" i="3" s="1"/>
  <c r="N143" i="3"/>
  <c r="Y143" i="3" s="1"/>
  <c r="N140" i="3"/>
  <c r="Y140" i="3" s="1"/>
  <c r="N130" i="3"/>
  <c r="Y130" i="3" s="1"/>
  <c r="AC130" i="3" s="1"/>
  <c r="N124" i="3"/>
  <c r="Y124" i="3" s="1"/>
  <c r="N112" i="3"/>
  <c r="Y112" i="3" s="1"/>
  <c r="AC112" i="3" s="1"/>
  <c r="N110" i="3"/>
  <c r="Y110" i="3" s="1"/>
  <c r="AC110" i="3" s="1"/>
  <c r="N102" i="3"/>
  <c r="Y102" i="3" s="1"/>
  <c r="M151" i="3"/>
  <c r="Y151" i="3" s="1"/>
  <c r="M80" i="3"/>
  <c r="Y80" i="3" s="1"/>
  <c r="M224" i="3"/>
  <c r="Y224" i="3" s="1"/>
  <c r="N321" i="3"/>
  <c r="M321" i="3"/>
  <c r="M87" i="3"/>
  <c r="Y87" i="3" s="1"/>
  <c r="N202" i="3"/>
  <c r="Y202" i="3" s="1"/>
  <c r="Y92" i="3"/>
  <c r="AC92" i="3" s="1"/>
  <c r="AD14" i="3"/>
  <c r="AA14" i="3" s="1"/>
  <c r="Y160" i="3"/>
  <c r="Y273" i="3"/>
  <c r="AD273" i="3" s="1"/>
  <c r="AA273" i="3" s="1"/>
  <c r="N228" i="3"/>
  <c r="Y228" i="3" s="1"/>
  <c r="N174" i="3"/>
  <c r="Y174" i="3" s="1"/>
  <c r="AC174" i="3" s="1"/>
  <c r="N28" i="3"/>
  <c r="Y28" i="3" s="1"/>
  <c r="AC28" i="3" s="1"/>
  <c r="AD28" i="3" s="1"/>
  <c r="AA28" i="3" s="1"/>
  <c r="N36" i="3"/>
  <c r="Y36" i="3" s="1"/>
  <c r="Y19" i="3"/>
  <c r="AD19" i="3" s="1"/>
  <c r="AA19" i="3" s="1"/>
  <c r="N111" i="3"/>
  <c r="Y111" i="3" s="1"/>
  <c r="N213" i="3"/>
  <c r="Y213" i="3" s="1"/>
  <c r="Y238" i="3"/>
  <c r="AD238" i="3" s="1"/>
  <c r="AA238" i="3" s="1"/>
  <c r="Z115" i="3"/>
  <c r="AA115" i="3" s="1"/>
  <c r="N199" i="3"/>
  <c r="Y199" i="3" s="1"/>
  <c r="AC199" i="3" s="1"/>
  <c r="Y73" i="3"/>
  <c r="AD73" i="3" s="1"/>
  <c r="AA73" i="3" s="1"/>
  <c r="N59" i="3"/>
  <c r="Y59" i="3" s="1"/>
  <c r="N79" i="3"/>
  <c r="Y79" i="3" s="1"/>
  <c r="N114" i="3"/>
  <c r="Y114" i="3" s="1"/>
  <c r="N107" i="3"/>
  <c r="Y107" i="3" s="1"/>
  <c r="AC107" i="3" s="1"/>
  <c r="N100" i="3"/>
  <c r="Y100" i="3" s="1"/>
  <c r="N17" i="3"/>
  <c r="Y17" i="3" s="1"/>
  <c r="AC17" i="3" s="1"/>
  <c r="Y95" i="3"/>
  <c r="AD95" i="3" s="1"/>
  <c r="AA95" i="3" s="1"/>
  <c r="Y29" i="3"/>
  <c r="AD29" i="3" s="1"/>
  <c r="AA29" i="3" s="1"/>
  <c r="N219" i="3"/>
  <c r="Y219" i="3" s="1"/>
  <c r="N209" i="3"/>
  <c r="Y209" i="3" s="1"/>
  <c r="AC209" i="3" s="1"/>
  <c r="N216" i="3"/>
  <c r="Y216" i="3" s="1"/>
  <c r="AC216" i="3" s="1"/>
  <c r="N201" i="3"/>
  <c r="Y201" i="3" s="1"/>
  <c r="N69" i="3"/>
  <c r="Y69" i="3" s="1"/>
  <c r="AC69" i="3" s="1"/>
  <c r="N150" i="3"/>
  <c r="Y150" i="3" s="1"/>
  <c r="N161" i="3"/>
  <c r="Y161" i="3" s="1"/>
  <c r="N198" i="3"/>
  <c r="Y198" i="3" s="1"/>
  <c r="N206" i="3"/>
  <c r="Y206" i="3" s="1"/>
  <c r="N53" i="3"/>
  <c r="Y53" i="3" s="1"/>
  <c r="AC53" i="3" s="1"/>
  <c r="AD53" i="3" s="1"/>
  <c r="AA53" i="3" s="1"/>
  <c r="N212" i="3"/>
  <c r="Y212" i="3" s="1"/>
  <c r="N226" i="3"/>
  <c r="Y226" i="3" s="1"/>
  <c r="N207" i="3"/>
  <c r="Y207" i="3" s="1"/>
  <c r="M165" i="3"/>
  <c r="Y165" i="3" s="1"/>
  <c r="AC165" i="3" s="1"/>
  <c r="N208" i="3"/>
  <c r="Y208" i="3" s="1"/>
  <c r="AC208" i="3" s="1"/>
  <c r="Z245" i="3"/>
  <c r="N93" i="3"/>
  <c r="Y93" i="3" s="1"/>
  <c r="Y48" i="3"/>
  <c r="AC48" i="3" s="1"/>
  <c r="N227" i="3"/>
  <c r="Y227" i="3" s="1"/>
  <c r="AC227" i="3" s="1"/>
  <c r="N210" i="3"/>
  <c r="Y210" i="3" s="1"/>
  <c r="AC210" i="3" s="1"/>
  <c r="N214" i="3"/>
  <c r="Y214" i="3" s="1"/>
  <c r="AC214" i="3" s="1"/>
  <c r="AD49" i="3"/>
  <c r="AA49" i="3" s="1"/>
  <c r="N204" i="3"/>
  <c r="Y204" i="3" s="1"/>
  <c r="AC204" i="3" s="1"/>
  <c r="AD204" i="3" s="1"/>
  <c r="AA204" i="3" s="1"/>
  <c r="Y172" i="3"/>
  <c r="AC172" i="3" s="1"/>
  <c r="N153" i="3"/>
  <c r="Y153" i="3" s="1"/>
  <c r="Y40" i="3"/>
  <c r="AD40" i="3" s="1"/>
  <c r="N203" i="3"/>
  <c r="Y203" i="3" s="1"/>
  <c r="N157" i="3"/>
  <c r="Y157" i="3" s="1"/>
  <c r="Z190" i="3"/>
  <c r="N152" i="3"/>
  <c r="Y152" i="3" s="1"/>
  <c r="Z56" i="3"/>
  <c r="N225" i="3"/>
  <c r="Y225" i="3" s="1"/>
  <c r="N215" i="3"/>
  <c r="Y215" i="3" s="1"/>
  <c r="N186" i="3"/>
  <c r="Y186" i="3" s="1"/>
  <c r="AC186" i="3" s="1"/>
  <c r="AD186" i="3" s="1"/>
  <c r="AA186" i="3" s="1"/>
  <c r="Y108" i="3"/>
  <c r="N200" i="3"/>
  <c r="Y200" i="3" s="1"/>
  <c r="N211" i="3"/>
  <c r="Y211" i="3" s="1"/>
  <c r="N220" i="3"/>
  <c r="Y220" i="3" s="1"/>
  <c r="N229" i="3"/>
  <c r="Y229" i="3" s="1"/>
  <c r="N170" i="3"/>
  <c r="Y170" i="3" s="1"/>
  <c r="N205" i="3"/>
  <c r="Y205" i="3" s="1"/>
  <c r="AC205" i="3" s="1"/>
  <c r="AD205" i="3" s="1"/>
  <c r="AA205" i="3" s="1"/>
  <c r="Y137" i="3"/>
  <c r="AD137" i="3" s="1"/>
  <c r="AA137" i="3" s="1"/>
  <c r="Y178" i="3"/>
  <c r="N91" i="3"/>
  <c r="Y91" i="3" s="1"/>
  <c r="AC91" i="3" s="1"/>
  <c r="AD91" i="3" s="1"/>
  <c r="AA91" i="3" s="1"/>
  <c r="N83" i="3"/>
  <c r="Y83" i="3" s="1"/>
  <c r="N62" i="3"/>
  <c r="Y62" i="3" s="1"/>
  <c r="Y235" i="3"/>
  <c r="N233" i="3"/>
  <c r="Y233" i="3" s="1"/>
  <c r="M47" i="3"/>
  <c r="H470" i="2"/>
  <c r="H470" i="7" s="1"/>
  <c r="H437" i="2"/>
  <c r="H437" i="7" s="1"/>
  <c r="H569" i="2"/>
  <c r="H569" i="7" s="1"/>
  <c r="H635" i="2"/>
  <c r="H635" i="7" s="1"/>
  <c r="H536" i="2"/>
  <c r="H536" i="7" s="1"/>
  <c r="H371" i="2"/>
  <c r="H371" i="7" s="1"/>
  <c r="H305" i="2"/>
  <c r="H305" i="7" s="1"/>
  <c r="H602" i="2"/>
  <c r="H602" i="7" s="1"/>
  <c r="H272" i="2"/>
  <c r="H272" i="7" s="1"/>
  <c r="H404" i="2"/>
  <c r="H404" i="7" s="1"/>
  <c r="H338" i="2"/>
  <c r="H338" i="7" s="1"/>
  <c r="H503" i="2"/>
  <c r="H503" i="7" s="1"/>
  <c r="W61" i="2"/>
  <c r="AC57" i="2" s="1"/>
  <c r="C54" i="6" s="1"/>
  <c r="N45" i="3"/>
  <c r="Y45" i="3" s="1"/>
  <c r="AC45" i="3" s="1"/>
  <c r="N25" i="3"/>
  <c r="Y25" i="3" s="1"/>
  <c r="AC25" i="3" s="1"/>
  <c r="W426" i="2"/>
  <c r="AC412" i="2" s="1"/>
  <c r="R20" i="6" s="1"/>
  <c r="W589" i="2"/>
  <c r="AC585" i="2" s="1"/>
  <c r="O25" i="6" s="1"/>
  <c r="W559" i="2"/>
  <c r="AC545" i="2" s="1"/>
  <c r="R47" i="6" s="1"/>
  <c r="W526" i="2"/>
  <c r="AC512" i="2" s="1"/>
  <c r="U23" i="6" s="1"/>
  <c r="W493" i="2"/>
  <c r="AC479" i="2" s="1"/>
  <c r="U22" i="6" s="1"/>
  <c r="W491" i="2"/>
  <c r="AC480" i="2" s="1"/>
  <c r="P48" i="6" s="1"/>
  <c r="W127" i="2"/>
  <c r="AC123" i="2" s="1"/>
  <c r="O11" i="6" s="1"/>
  <c r="W591" i="2"/>
  <c r="AC577" i="2" s="1"/>
  <c r="R25" i="6" s="1"/>
  <c r="W390" i="2"/>
  <c r="W60" i="2"/>
  <c r="AC47" i="2" s="1"/>
  <c r="I9" i="6" s="1"/>
  <c r="W62" i="2"/>
  <c r="AC51" i="2" s="1"/>
  <c r="C48" i="6" s="1"/>
  <c r="P128" i="6" s="1"/>
  <c r="W556" i="2"/>
  <c r="AC552" i="2" s="1"/>
  <c r="O24" i="6" s="1"/>
  <c r="W459" i="2"/>
  <c r="AC445" i="2" s="1"/>
  <c r="O46" i="6" s="1"/>
  <c r="P120" i="6" s="1"/>
  <c r="W427" i="2"/>
  <c r="AC413" i="2" s="1"/>
  <c r="N47" i="6" s="1"/>
  <c r="W424" i="2"/>
  <c r="AC420" i="2" s="1"/>
  <c r="N54" i="6" s="1"/>
  <c r="P139" i="6" s="1"/>
  <c r="W93" i="2"/>
  <c r="AC80" i="2" s="1"/>
  <c r="W391" i="2"/>
  <c r="AC387" i="2" s="1"/>
  <c r="O19" i="6" s="1"/>
  <c r="W621" i="2"/>
  <c r="W524" i="2"/>
  <c r="AC513" i="2" s="1"/>
  <c r="X23" i="6" s="1"/>
  <c r="W622" i="2"/>
  <c r="AC618" i="2" s="1"/>
  <c r="O26" i="6" s="1"/>
  <c r="W425" i="2"/>
  <c r="AC414" i="2" s="1"/>
  <c r="X20" i="6" s="1"/>
  <c r="W392" i="2"/>
  <c r="AC381" i="2" s="1"/>
  <c r="X19" i="6" s="1"/>
  <c r="W460" i="2"/>
  <c r="AC446" i="2" s="1"/>
  <c r="U21" i="6" s="1"/>
  <c r="W458" i="2"/>
  <c r="AC447" i="2" s="1"/>
  <c r="O48" i="6" s="1"/>
  <c r="W592" i="2"/>
  <c r="AC578" i="2" s="1"/>
  <c r="S47" i="6" s="1"/>
  <c r="W94" i="2"/>
  <c r="AC90" i="2" s="1"/>
  <c r="O10" i="6" s="1"/>
  <c r="W97" i="2"/>
  <c r="AC83" i="2" s="1"/>
  <c r="D47" i="6" s="1"/>
  <c r="P109" i="6" s="1"/>
  <c r="W96" i="2"/>
  <c r="AC82" i="2" s="1"/>
  <c r="D46" i="6" s="1"/>
  <c r="W558" i="2"/>
  <c r="AC544" i="2" s="1"/>
  <c r="R24" i="6" s="1"/>
  <c r="W423" i="2"/>
  <c r="W555" i="2"/>
  <c r="W624" i="2"/>
  <c r="AC610" i="2" s="1"/>
  <c r="T46" i="6" s="1"/>
  <c r="P125" i="6" s="1"/>
  <c r="W393" i="2"/>
  <c r="AC379" i="2" s="1"/>
  <c r="M46" i="6" s="1"/>
  <c r="P118" i="6" s="1"/>
  <c r="W492" i="2"/>
  <c r="AC478" i="2" s="1"/>
  <c r="P46" i="6" s="1"/>
  <c r="P121" i="6" s="1"/>
  <c r="W63" i="2"/>
  <c r="AC49" i="2" s="1"/>
  <c r="R9" i="6" s="1"/>
  <c r="W623" i="2"/>
  <c r="AC612" i="2" s="1"/>
  <c r="T48" i="6" s="1"/>
  <c r="W658" i="2"/>
  <c r="AC644" i="2" s="1"/>
  <c r="U27" i="6" s="1"/>
  <c r="W394" i="2"/>
  <c r="AC380" i="2" s="1"/>
  <c r="U19" i="6" s="1"/>
  <c r="W525" i="2"/>
  <c r="AC511" i="2" s="1"/>
  <c r="Q46" i="6" s="1"/>
  <c r="P122" i="6" s="1"/>
  <c r="W489" i="2"/>
  <c r="W588" i="2"/>
  <c r="W590" i="2"/>
  <c r="AC579" i="2" s="1"/>
  <c r="X25" i="6" s="1"/>
  <c r="W557" i="2"/>
  <c r="AC546" i="2" s="1"/>
  <c r="X24" i="6" s="1"/>
  <c r="W95" i="2"/>
  <c r="AC84" i="2" s="1"/>
  <c r="D48" i="6" s="1"/>
  <c r="P129" i="6" s="1"/>
  <c r="W523" i="2"/>
  <c r="AC519" i="2" s="1"/>
  <c r="Q54" i="6" s="1"/>
  <c r="P142" i="6" s="1"/>
  <c r="W625" i="2"/>
  <c r="AC611" i="2" s="1"/>
  <c r="T47" i="6" s="1"/>
  <c r="W64" i="2"/>
  <c r="AC50" i="2" s="1"/>
  <c r="U9" i="6" s="1"/>
  <c r="W456" i="2"/>
  <c r="W490" i="2"/>
  <c r="AC486" i="2" s="1"/>
  <c r="P54" i="6" s="1"/>
  <c r="P141" i="6" s="1"/>
  <c r="W522" i="2"/>
  <c r="W457" i="2"/>
  <c r="AC453" i="2" s="1"/>
  <c r="O21" i="6" s="1"/>
  <c r="N230" i="3"/>
  <c r="Y230" i="3" s="1"/>
  <c r="AC224" i="3"/>
  <c r="N223" i="3"/>
  <c r="Y223" i="3" s="1"/>
  <c r="N187" i="3"/>
  <c r="Y187" i="3" s="1"/>
  <c r="AC187" i="3" s="1"/>
  <c r="N169" i="3"/>
  <c r="Y169" i="3" s="1"/>
  <c r="N167" i="3"/>
  <c r="Y167" i="3" s="1"/>
  <c r="N155" i="3"/>
  <c r="Y155" i="3" s="1"/>
  <c r="N154" i="3"/>
  <c r="Y154" i="3" s="1"/>
  <c r="AC151" i="3"/>
  <c r="N149" i="3"/>
  <c r="Y149" i="3" s="1"/>
  <c r="N148" i="3"/>
  <c r="Y148" i="3" s="1"/>
  <c r="N147" i="3"/>
  <c r="Y147" i="3" s="1"/>
  <c r="AC23" i="3"/>
  <c r="Z23" i="3"/>
  <c r="N271" i="3"/>
  <c r="Y271" i="3" s="1"/>
  <c r="N175" i="3"/>
  <c r="Y175" i="3" s="1"/>
  <c r="N222" i="3"/>
  <c r="Y222" i="3" s="1"/>
  <c r="N90" i="3"/>
  <c r="Y90" i="3" s="1"/>
  <c r="AC90" i="3" s="1"/>
  <c r="G22" i="1"/>
  <c r="J10" i="9" s="1"/>
  <c r="D10" i="9"/>
  <c r="M89" i="3"/>
  <c r="Y89" i="3" s="1"/>
  <c r="AC89" i="3" s="1"/>
  <c r="Y195" i="3"/>
  <c r="AD195" i="3" s="1"/>
  <c r="AD68" i="3"/>
  <c r="AA68" i="3" s="1"/>
  <c r="M236" i="3"/>
  <c r="Y236" i="3" s="1"/>
  <c r="N309" i="3"/>
  <c r="M309" i="3"/>
  <c r="Y67" i="3"/>
  <c r="AD67" i="3" s="1"/>
  <c r="M138" i="3"/>
  <c r="Y138" i="3" s="1"/>
  <c r="N291" i="3"/>
  <c r="M291" i="3"/>
  <c r="N288" i="3"/>
  <c r="M288" i="3"/>
  <c r="M158" i="3"/>
  <c r="Y158" i="3" s="1"/>
  <c r="AD76" i="3"/>
  <c r="AA76" i="3" s="1"/>
  <c r="Y22" i="3"/>
  <c r="AD22" i="3" s="1"/>
  <c r="R134" i="3"/>
  <c r="W129" i="2"/>
  <c r="AC115" i="2" s="1"/>
  <c r="E46" i="6" s="1"/>
  <c r="W126" i="2"/>
  <c r="AC113" i="2" s="1"/>
  <c r="E44" i="6" s="1"/>
  <c r="W128" i="2"/>
  <c r="AC117" i="2" s="1"/>
  <c r="E48" i="6" s="1"/>
  <c r="P130" i="6" s="1"/>
  <c r="W130" i="2"/>
  <c r="AC116" i="2" s="1"/>
  <c r="E47" i="6" s="1"/>
  <c r="P110" i="6" s="1"/>
  <c r="N121" i="3"/>
  <c r="Y121" i="3" s="1"/>
  <c r="N35" i="3"/>
  <c r="Y35" i="3" s="1"/>
  <c r="AC309" i="3"/>
  <c r="W359" i="2"/>
  <c r="AC348" i="2" s="1"/>
  <c r="L48" i="6" s="1"/>
  <c r="W360" i="2"/>
  <c r="AC346" i="2" s="1"/>
  <c r="R18" i="6" s="1"/>
  <c r="W357" i="2"/>
  <c r="W358" i="2"/>
  <c r="AC354" i="2" s="1"/>
  <c r="L54" i="6" s="1"/>
  <c r="P137" i="6" s="1"/>
  <c r="W361" i="2"/>
  <c r="AC347" i="2" s="1"/>
  <c r="L47" i="6" s="1"/>
  <c r="N81" i="3"/>
  <c r="Y81" i="3" s="1"/>
  <c r="N42" i="3"/>
  <c r="N16" i="3"/>
  <c r="Y16" i="3" s="1"/>
  <c r="Q17" i="6"/>
  <c r="T17" i="6" s="1"/>
  <c r="W17" i="6" s="1"/>
  <c r="Y241" i="3"/>
  <c r="AD241" i="3" s="1"/>
  <c r="Y117" i="3"/>
  <c r="AC117" i="3" s="1"/>
  <c r="Y55" i="3"/>
  <c r="AD55" i="3" s="1"/>
  <c r="AA55" i="3" s="1"/>
  <c r="Y21" i="3"/>
  <c r="AC21" i="3" s="1"/>
  <c r="M123" i="3"/>
  <c r="Y123" i="3" s="1"/>
  <c r="AD101" i="3"/>
  <c r="M280" i="3"/>
  <c r="N280" i="3"/>
  <c r="AC291" i="3"/>
  <c r="AC288" i="3"/>
  <c r="Y257" i="3"/>
  <c r="AD257" i="3" s="1"/>
  <c r="AA257" i="3" s="1"/>
  <c r="M30" i="3"/>
  <c r="Y30" i="3" s="1"/>
  <c r="AC30" i="3" s="1"/>
  <c r="M88" i="3"/>
  <c r="Y88" i="3" s="1"/>
  <c r="M99" i="3"/>
  <c r="Y99" i="3" s="1"/>
  <c r="M284" i="3"/>
  <c r="N284" i="3"/>
  <c r="M282" i="3"/>
  <c r="N282" i="3"/>
  <c r="M281" i="3"/>
  <c r="N281" i="3"/>
  <c r="N265" i="3"/>
  <c r="Y265" i="3" s="1"/>
  <c r="N221" i="3"/>
  <c r="Y221" i="3" s="1"/>
  <c r="Y54" i="3"/>
  <c r="AD54" i="3" s="1"/>
  <c r="J58" i="6"/>
  <c r="M38" i="3"/>
  <c r="Y38" i="3" s="1"/>
  <c r="AD38" i="3" s="1"/>
  <c r="AA38" i="3" s="1"/>
  <c r="M278" i="3"/>
  <c r="N278" i="3"/>
  <c r="W38" i="2"/>
  <c r="N26" i="6"/>
  <c r="B92" i="6"/>
  <c r="B93" i="6" s="1"/>
  <c r="B94" i="6" s="1"/>
  <c r="B95" i="6" s="1"/>
  <c r="B96" i="6" s="1"/>
  <c r="J77" i="6"/>
  <c r="G73" i="6"/>
  <c r="J73" i="6"/>
  <c r="J72" i="6"/>
  <c r="A24" i="1"/>
  <c r="C24" i="1" s="1"/>
  <c r="F12" i="9" s="1"/>
  <c r="J71" i="6"/>
  <c r="J67" i="6"/>
  <c r="A19" i="1"/>
  <c r="J66" i="6"/>
  <c r="G58" i="6"/>
  <c r="Z118" i="3"/>
  <c r="AB118" i="3" s="1"/>
  <c r="Y164" i="3"/>
  <c r="Y94" i="3"/>
  <c r="N243" i="3"/>
  <c r="Y243" i="3" s="1"/>
  <c r="N163" i="3"/>
  <c r="Y163" i="3" s="1"/>
  <c r="N162" i="3"/>
  <c r="Y162" i="3" s="1"/>
  <c r="N146" i="3"/>
  <c r="Y146" i="3" s="1"/>
  <c r="AC146" i="3" s="1"/>
  <c r="N145" i="3"/>
  <c r="Y145" i="3" s="1"/>
  <c r="N141" i="3"/>
  <c r="Y141" i="3" s="1"/>
  <c r="A26" i="1"/>
  <c r="N105" i="3"/>
  <c r="Y105" i="3" s="1"/>
  <c r="N82" i="3"/>
  <c r="Y82" i="3" s="1"/>
  <c r="N249" i="3"/>
  <c r="Y249" i="3" s="1"/>
  <c r="M66" i="3"/>
  <c r="Y66" i="3" s="1"/>
  <c r="AC66" i="3" s="1"/>
  <c r="AD66" i="3" s="1"/>
  <c r="N44" i="3"/>
  <c r="Y44" i="3" s="1"/>
  <c r="AC44" i="3" s="1"/>
  <c r="N166" i="3"/>
  <c r="Y166" i="3" s="1"/>
  <c r="AC166" i="3" s="1"/>
  <c r="AA126" i="3"/>
  <c r="M52" i="3"/>
  <c r="Y52" i="3" s="1"/>
  <c r="Y77" i="3"/>
  <c r="AD77" i="3" s="1"/>
  <c r="AA77" i="3" s="1"/>
  <c r="N290" i="3"/>
  <c r="M290" i="3"/>
  <c r="Y197" i="3"/>
  <c r="AD197" i="3" s="1"/>
  <c r="M168" i="3"/>
  <c r="Y168" i="3" s="1"/>
  <c r="AC168" i="3" s="1"/>
  <c r="Y142" i="3"/>
  <c r="Y65" i="3"/>
  <c r="AD65" i="3" s="1"/>
  <c r="AA65" i="3" s="1"/>
  <c r="AD133" i="3"/>
  <c r="AA133" i="3" s="1"/>
  <c r="N275" i="3"/>
  <c r="Y275" i="3" s="1"/>
  <c r="Y98" i="3"/>
  <c r="AD98" i="3" s="1"/>
  <c r="N127" i="3"/>
  <c r="Y127" i="3" s="1"/>
  <c r="N125" i="3"/>
  <c r="Y125" i="3" s="1"/>
  <c r="AC125" i="3" s="1"/>
  <c r="N85" i="3"/>
  <c r="Y85" i="3" s="1"/>
  <c r="N60" i="3"/>
  <c r="Y60" i="3" s="1"/>
  <c r="N47" i="3"/>
  <c r="Y47" i="3" s="1"/>
  <c r="M279" i="3"/>
  <c r="N279" i="3"/>
  <c r="M277" i="3"/>
  <c r="N277" i="3"/>
  <c r="M276" i="3"/>
  <c r="N276" i="3"/>
  <c r="N272" i="3"/>
  <c r="Y272" i="3" s="1"/>
  <c r="N270" i="3"/>
  <c r="Y270" i="3" s="1"/>
  <c r="N267" i="3"/>
  <c r="Y267" i="3" s="1"/>
  <c r="N266" i="3"/>
  <c r="Y266" i="3" s="1"/>
  <c r="N262" i="3"/>
  <c r="Y262" i="3" s="1"/>
  <c r="N258" i="3"/>
  <c r="Y258" i="3" s="1"/>
  <c r="N196" i="3"/>
  <c r="Y196" i="3" s="1"/>
  <c r="AA189" i="3"/>
  <c r="N72" i="3"/>
  <c r="Y72" i="3" s="1"/>
  <c r="AC72" i="3" s="1"/>
  <c r="N43" i="3"/>
  <c r="Y43" i="3" s="1"/>
  <c r="Y122" i="3"/>
  <c r="Y24" i="3"/>
  <c r="AC24" i="3" s="1"/>
  <c r="Z53" i="3"/>
  <c r="AB53" i="3" s="1"/>
  <c r="R144" i="3"/>
  <c r="D36" i="6"/>
  <c r="D43" i="6"/>
  <c r="H97" i="6" s="1"/>
  <c r="AC106" i="2"/>
  <c r="E37" i="6" s="1"/>
  <c r="E43" i="6"/>
  <c r="H102" i="6" s="1"/>
  <c r="W5" i="2"/>
  <c r="W32" i="2" s="1"/>
  <c r="AC7" i="2" s="1"/>
  <c r="H59" i="6"/>
  <c r="I59" i="6"/>
  <c r="AC12" i="2"/>
  <c r="B42" i="6" s="1"/>
  <c r="W632" i="2"/>
  <c r="W654" i="2"/>
  <c r="W656" i="2"/>
  <c r="AC645" i="2" s="1"/>
  <c r="X27" i="6" s="1"/>
  <c r="W655" i="2"/>
  <c r="AC651" i="2" s="1"/>
  <c r="U54" i="6" s="1"/>
  <c r="P146" i="6" s="1"/>
  <c r="W657" i="2"/>
  <c r="AC643" i="2" s="1"/>
  <c r="R27" i="6" s="1"/>
  <c r="AC11" i="2"/>
  <c r="B41" i="6" s="1"/>
  <c r="H58" i="6" s="1"/>
  <c r="W71" i="2"/>
  <c r="D22" i="1"/>
  <c r="G10" i="9" s="1"/>
  <c r="F22" i="1"/>
  <c r="I10" i="9" s="1"/>
  <c r="N256" i="3"/>
  <c r="Y256" i="3" s="1"/>
  <c r="N252" i="3"/>
  <c r="Y252" i="3" s="1"/>
  <c r="Y251" i="3"/>
  <c r="N246" i="3"/>
  <c r="Y246" i="3" s="1"/>
  <c r="Y245" i="3"/>
  <c r="N194" i="3"/>
  <c r="Y194" i="3" s="1"/>
  <c r="N192" i="3"/>
  <c r="Y192" i="3" s="1"/>
  <c r="M31" i="3"/>
  <c r="Y31" i="3" s="1"/>
  <c r="AC31" i="3" s="1"/>
  <c r="Z176" i="3"/>
  <c r="AA176" i="3" s="1"/>
  <c r="R151" i="3"/>
  <c r="N132" i="3"/>
  <c r="Y132" i="3" s="1"/>
  <c r="AD244" i="3"/>
  <c r="AA244" i="3" s="1"/>
  <c r="Y27" i="3"/>
  <c r="AD27" i="3" s="1"/>
  <c r="AA27" i="3" s="1"/>
  <c r="Y104" i="3"/>
  <c r="AD104" i="3" s="1"/>
  <c r="M136" i="3"/>
  <c r="Y136" i="3" s="1"/>
  <c r="AC136" i="3" s="1"/>
  <c r="AA50" i="3"/>
  <c r="Y97" i="3"/>
  <c r="AD97" i="3" s="1"/>
  <c r="AA97" i="3" s="1"/>
  <c r="AD78" i="3"/>
  <c r="AA78" i="3" s="1"/>
  <c r="AD134" i="3"/>
  <c r="Y71" i="3"/>
  <c r="Y139" i="3"/>
  <c r="AD139" i="3" s="1"/>
  <c r="AA139" i="3" s="1"/>
  <c r="Y41" i="3"/>
  <c r="AD41" i="3" s="1"/>
  <c r="AA41" i="3" s="1"/>
  <c r="N63" i="3"/>
  <c r="Y63" i="3" s="1"/>
  <c r="AC63" i="3" s="1"/>
  <c r="N171" i="3"/>
  <c r="Y171" i="3" s="1"/>
  <c r="AC171" i="3" s="1"/>
  <c r="N129" i="3"/>
  <c r="Y129" i="3" s="1"/>
  <c r="N58" i="3"/>
  <c r="Y58" i="3" s="1"/>
  <c r="W599" i="2"/>
  <c r="W269" i="2"/>
  <c r="W566" i="2"/>
  <c r="N242" i="3"/>
  <c r="Y242" i="3" s="1"/>
  <c r="M239" i="3"/>
  <c r="N239" i="3"/>
  <c r="M237" i="3"/>
  <c r="N237" i="3"/>
  <c r="M234" i="3"/>
  <c r="N234" i="3"/>
  <c r="N218" i="3"/>
  <c r="Y218" i="3" s="1"/>
  <c r="N217" i="3"/>
  <c r="Y217" i="3" s="1"/>
  <c r="N37" i="3"/>
  <c r="Y37" i="3" s="1"/>
  <c r="AC37" i="3" s="1"/>
  <c r="N303" i="3"/>
  <c r="M303" i="3"/>
  <c r="N314" i="3"/>
  <c r="M314" i="3"/>
  <c r="N327" i="3"/>
  <c r="M327" i="3"/>
  <c r="N302" i="3"/>
  <c r="M302" i="3"/>
  <c r="N313" i="3"/>
  <c r="M313" i="3"/>
  <c r="N325" i="3"/>
  <c r="M325" i="3"/>
  <c r="AD182" i="3"/>
  <c r="AA182" i="3" s="1"/>
  <c r="N297" i="3"/>
  <c r="M297" i="3"/>
  <c r="N304" i="3"/>
  <c r="M304" i="3"/>
  <c r="N312" i="3"/>
  <c r="M312" i="3"/>
  <c r="N296" i="3"/>
  <c r="M296" i="3"/>
  <c r="N305" i="3"/>
  <c r="M305" i="3"/>
  <c r="N323" i="3"/>
  <c r="M323" i="3"/>
  <c r="AD75" i="3"/>
  <c r="AA75" i="3" s="1"/>
  <c r="N295" i="3"/>
  <c r="M295" i="3"/>
  <c r="N308" i="3"/>
  <c r="M308" i="3"/>
  <c r="N322" i="3"/>
  <c r="M322" i="3"/>
  <c r="N294" i="3"/>
  <c r="M294" i="3"/>
  <c r="N306" i="3"/>
  <c r="M306" i="3"/>
  <c r="N317" i="3"/>
  <c r="M317" i="3"/>
  <c r="N329" i="3"/>
  <c r="M329" i="3"/>
  <c r="Y261" i="3"/>
  <c r="AD261" i="3" s="1"/>
  <c r="AA261" i="3" s="1"/>
  <c r="N307" i="3"/>
  <c r="M307" i="3"/>
  <c r="N330" i="3"/>
  <c r="M330" i="3"/>
  <c r="N285" i="3"/>
  <c r="M285" i="3"/>
  <c r="N292" i="3"/>
  <c r="M292" i="3"/>
  <c r="N310" i="3"/>
  <c r="M310" i="3"/>
  <c r="N331" i="3"/>
  <c r="M331" i="3"/>
  <c r="N286" i="3"/>
  <c r="M286" i="3"/>
  <c r="N298" i="3"/>
  <c r="M298" i="3"/>
  <c r="N320" i="3"/>
  <c r="M320" i="3"/>
  <c r="N333" i="3"/>
  <c r="M333" i="3"/>
  <c r="N287" i="3"/>
  <c r="M287" i="3"/>
  <c r="N300" i="3"/>
  <c r="M300" i="3"/>
  <c r="N311" i="3"/>
  <c r="M311" i="3"/>
  <c r="N318" i="3"/>
  <c r="M318" i="3"/>
  <c r="N332" i="3"/>
  <c r="M332" i="3"/>
  <c r="N289" i="3"/>
  <c r="M289" i="3"/>
  <c r="N299" i="3"/>
  <c r="M299" i="3"/>
  <c r="N316" i="3"/>
  <c r="M316" i="3"/>
  <c r="Y39" i="3"/>
  <c r="AD39" i="3" s="1"/>
  <c r="AA39" i="3" s="1"/>
  <c r="N326" i="3"/>
  <c r="M326" i="3"/>
  <c r="N301" i="3"/>
  <c r="M301" i="3"/>
  <c r="N315" i="3"/>
  <c r="M315" i="3"/>
  <c r="N328" i="3"/>
  <c r="M328" i="3"/>
  <c r="N193" i="3"/>
  <c r="Y193" i="3" s="1"/>
  <c r="M190" i="3"/>
  <c r="N190" i="3"/>
  <c r="N188" i="3"/>
  <c r="Y188" i="3" s="1"/>
  <c r="AC188" i="3" s="1"/>
  <c r="M184" i="3"/>
  <c r="N184" i="3"/>
  <c r="N183" i="3"/>
  <c r="Y183" i="3" s="1"/>
  <c r="M159" i="3"/>
  <c r="N159" i="3"/>
  <c r="N128" i="3"/>
  <c r="Y128" i="3" s="1"/>
  <c r="N109" i="3"/>
  <c r="Y109" i="3" s="1"/>
  <c r="M113" i="3"/>
  <c r="N113" i="3"/>
  <c r="Z113" i="3"/>
  <c r="AB113" i="3" s="1"/>
  <c r="W165" i="2"/>
  <c r="AC140" i="2" s="1"/>
  <c r="F38" i="6" s="1"/>
  <c r="P91" i="6" s="1"/>
  <c r="W161" i="2"/>
  <c r="AC150" i="2" s="1"/>
  <c r="F48" i="6" s="1"/>
  <c r="P131" i="6" s="1"/>
  <c r="W160" i="2"/>
  <c r="AC156" i="2" s="1"/>
  <c r="F54" i="6" s="1"/>
  <c r="W162" i="2"/>
  <c r="AC148" i="2" s="1"/>
  <c r="F46" i="6" s="1"/>
  <c r="W159" i="2"/>
  <c r="AC146" i="2" s="1"/>
  <c r="F44" i="6" s="1"/>
  <c r="W163" i="2"/>
  <c r="AC149" i="2" s="1"/>
  <c r="F47" i="6" s="1"/>
  <c r="P111" i="6" s="1"/>
  <c r="AA134" i="3"/>
  <c r="N120" i="3"/>
  <c r="Y120" i="3" s="1"/>
  <c r="N119" i="3"/>
  <c r="Y119" i="3" s="1"/>
  <c r="AC118" i="3"/>
  <c r="AD118" i="3" s="1"/>
  <c r="Z66" i="3"/>
  <c r="Y74" i="3"/>
  <c r="AA260" i="3"/>
  <c r="Y240" i="3"/>
  <c r="AD240" i="3" s="1"/>
  <c r="AA240" i="3" s="1"/>
  <c r="Z38" i="3"/>
  <c r="W104" i="2"/>
  <c r="B78" i="6"/>
  <c r="E78" i="6" s="1"/>
  <c r="W533" i="2"/>
  <c r="Q19" i="6"/>
  <c r="T19" i="6" s="1"/>
  <c r="W19" i="6" s="1"/>
  <c r="F69" i="6"/>
  <c r="E22" i="1" s="1"/>
  <c r="H10" i="9" s="1"/>
  <c r="F71" i="6"/>
  <c r="F77" i="6"/>
  <c r="F72" i="6"/>
  <c r="F73" i="6"/>
  <c r="G117" i="6"/>
  <c r="B167" i="6"/>
  <c r="B168" i="6" s="1"/>
  <c r="B169" i="6" s="1"/>
  <c r="B170" i="6" s="1"/>
  <c r="B171" i="6" s="1"/>
  <c r="B76" i="6"/>
  <c r="E76" i="6" s="1"/>
  <c r="B127" i="6"/>
  <c r="B128" i="6" s="1"/>
  <c r="B129" i="6" s="1"/>
  <c r="B130" i="6" s="1"/>
  <c r="B131" i="6" s="1"/>
  <c r="M46" i="3"/>
  <c r="Y46" i="3" s="1"/>
  <c r="AD46" i="3" s="1"/>
  <c r="H206" i="2"/>
  <c r="H206" i="7" s="1"/>
  <c r="N319" i="3"/>
  <c r="Y319" i="3" s="1"/>
  <c r="AC319" i="3" s="1"/>
  <c r="AD319" i="3" s="1"/>
  <c r="AA319" i="3" s="1"/>
  <c r="H239" i="2"/>
  <c r="H239" i="7" s="1"/>
  <c r="N293" i="3"/>
  <c r="Y293" i="3" s="1"/>
  <c r="AC293" i="3" s="1"/>
  <c r="H173" i="2"/>
  <c r="H173" i="7" s="1"/>
  <c r="M106" i="3"/>
  <c r="N106" i="3"/>
  <c r="AC77" i="2"/>
  <c r="D41" i="6" s="1"/>
  <c r="M247" i="3"/>
  <c r="Y247" i="3" s="1"/>
  <c r="AD247" i="3" s="1"/>
  <c r="Y250" i="3"/>
  <c r="AD250" i="3" s="1"/>
  <c r="AA250" i="3" s="1"/>
  <c r="Y179" i="3"/>
  <c r="Y180" i="3"/>
  <c r="N86" i="3"/>
  <c r="Y86" i="3" s="1"/>
  <c r="AC86" i="3" s="1"/>
  <c r="Y274" i="3"/>
  <c r="AD274" i="3" s="1"/>
  <c r="AA274" i="3" s="1"/>
  <c r="W467" i="2"/>
  <c r="Y259" i="3"/>
  <c r="AD259" i="3" s="1"/>
  <c r="AA259" i="3" s="1"/>
  <c r="Y33" i="3"/>
  <c r="AD33" i="3" s="1"/>
  <c r="W137" i="2"/>
  <c r="W164" i="2" s="1"/>
  <c r="AC139" i="2" s="1"/>
  <c r="F37" i="6" s="1"/>
  <c r="Y231" i="3"/>
  <c r="Y135" i="3"/>
  <c r="AD135" i="3" s="1"/>
  <c r="AA135" i="3" s="1"/>
  <c r="AD70" i="3"/>
  <c r="AA70" i="3" s="1"/>
  <c r="Z64" i="3"/>
  <c r="N57" i="3"/>
  <c r="Y57" i="3" s="1"/>
  <c r="M26" i="3"/>
  <c r="N26" i="3"/>
  <c r="R486" i="2"/>
  <c r="AC322" i="3"/>
  <c r="B61" i="6"/>
  <c r="F61" i="6" s="1"/>
  <c r="B102" i="6"/>
  <c r="B103" i="6" s="1"/>
  <c r="B104" i="6" s="1"/>
  <c r="B105" i="6" s="1"/>
  <c r="B106" i="6" s="1"/>
  <c r="Y51" i="3"/>
  <c r="AC331" i="3"/>
  <c r="Y263" i="3"/>
  <c r="AD263" i="3" s="1"/>
  <c r="B60" i="6"/>
  <c r="E60" i="6" s="1"/>
  <c r="B97" i="6"/>
  <c r="B98" i="6" s="1"/>
  <c r="B99" i="6" s="1"/>
  <c r="B100" i="6" s="1"/>
  <c r="B101" i="6" s="1"/>
  <c r="AC318" i="3"/>
  <c r="AC332" i="3"/>
  <c r="L10" i="6"/>
  <c r="Y264" i="3"/>
  <c r="AD264" i="3" s="1"/>
  <c r="Y191" i="3"/>
  <c r="AD191" i="3" s="1"/>
  <c r="AA191" i="3" s="1"/>
  <c r="AC143" i="2"/>
  <c r="F41" i="6" s="1"/>
  <c r="AA103" i="3"/>
  <c r="AC325" i="3"/>
  <c r="Y13" i="3"/>
  <c r="AD13" i="3" s="1"/>
  <c r="G71" i="6"/>
  <c r="Z34" i="3"/>
  <c r="AA34" i="3" s="1"/>
  <c r="AC323" i="3"/>
  <c r="T485" i="2"/>
  <c r="T486" i="2"/>
  <c r="U486" i="2"/>
  <c r="S486" i="2"/>
  <c r="R485" i="2"/>
  <c r="U485" i="2"/>
  <c r="V485" i="2"/>
  <c r="V487" i="2" s="1"/>
  <c r="V488" i="2" s="1"/>
  <c r="AA101" i="3"/>
  <c r="E282" i="7"/>
  <c r="L290" i="2"/>
  <c r="L290" i="7" s="1"/>
  <c r="Y84" i="3"/>
  <c r="AC84" i="3" s="1"/>
  <c r="L12" i="6"/>
  <c r="Y269" i="3"/>
  <c r="AD269" i="3" s="1"/>
  <c r="AA269" i="3" s="1"/>
  <c r="AC316" i="3"/>
  <c r="Y255" i="3"/>
  <c r="AD255" i="3" s="1"/>
  <c r="AA255" i="3" s="1"/>
  <c r="AC304" i="3"/>
  <c r="AC312" i="3"/>
  <c r="G77" i="6"/>
  <c r="A30" i="1"/>
  <c r="Q14" i="6"/>
  <c r="T14" i="6" s="1"/>
  <c r="W14" i="6" s="1"/>
  <c r="Y268" i="3"/>
  <c r="AC305" i="3"/>
  <c r="R99" i="3"/>
  <c r="AC308" i="3"/>
  <c r="R552" i="2"/>
  <c r="R551" i="2"/>
  <c r="U222" i="2"/>
  <c r="U386" i="2"/>
  <c r="V552" i="2"/>
  <c r="V386" i="2"/>
  <c r="V388" i="2" s="1"/>
  <c r="V389" i="2" s="1"/>
  <c r="T552" i="2"/>
  <c r="U551" i="2"/>
  <c r="V551" i="2"/>
  <c r="U552" i="2"/>
  <c r="T551" i="2"/>
  <c r="B521" i="2"/>
  <c r="B521" i="7" s="1"/>
  <c r="I513" i="2"/>
  <c r="I513" i="7" s="1"/>
  <c r="T221" i="2"/>
  <c r="T223" i="2" s="1"/>
  <c r="T224" i="2" s="1"/>
  <c r="T387" i="2"/>
  <c r="S221" i="2"/>
  <c r="E290" i="2"/>
  <c r="E290" i="7" s="1"/>
  <c r="I505" i="2"/>
  <c r="I505" i="7" s="1"/>
  <c r="S386" i="2"/>
  <c r="U221" i="2"/>
  <c r="B513" i="2"/>
  <c r="B513" i="7" s="1"/>
  <c r="S222" i="2"/>
  <c r="I521" i="2"/>
  <c r="I521" i="7" s="1"/>
  <c r="R221" i="2"/>
  <c r="R386" i="2"/>
  <c r="L274" i="2"/>
  <c r="L274" i="7" s="1"/>
  <c r="V221" i="2"/>
  <c r="U387" i="2"/>
  <c r="T386" i="2"/>
  <c r="V222" i="2"/>
  <c r="R387" i="2"/>
  <c r="L282" i="2"/>
  <c r="L282" i="7" s="1"/>
  <c r="I241" i="2"/>
  <c r="I241" i="7" s="1"/>
  <c r="B241" i="7"/>
  <c r="U288" i="2"/>
  <c r="M272" i="7"/>
  <c r="V617" i="2"/>
  <c r="M602" i="7"/>
  <c r="E389" i="2"/>
  <c r="E389" i="7" s="1"/>
  <c r="E373" i="7"/>
  <c r="R222" i="2"/>
  <c r="M206" i="7"/>
  <c r="S387" i="2"/>
  <c r="M371" i="7"/>
  <c r="S188" i="2"/>
  <c r="M173" i="7"/>
  <c r="K571" i="2"/>
  <c r="K571" i="7" s="1"/>
  <c r="D571" i="7"/>
  <c r="D323" i="2"/>
  <c r="D323" i="7" s="1"/>
  <c r="D307" i="7"/>
  <c r="I290" i="2"/>
  <c r="I290" i="7" s="1"/>
  <c r="B274" i="7"/>
  <c r="I604" i="2"/>
  <c r="I604" i="7" s="1"/>
  <c r="B604" i="7"/>
  <c r="V452" i="2"/>
  <c r="M437" i="7"/>
  <c r="R354" i="2"/>
  <c r="M338" i="7"/>
  <c r="L323" i="2"/>
  <c r="L323" i="7" s="1"/>
  <c r="E307" i="7"/>
  <c r="I488" i="2"/>
  <c r="I488" i="7" s="1"/>
  <c r="B472" i="7"/>
  <c r="D150" i="2"/>
  <c r="D150" i="7" s="1"/>
  <c r="D142" i="7"/>
  <c r="B315" i="2"/>
  <c r="B315" i="7" s="1"/>
  <c r="B307" i="7"/>
  <c r="I439" i="2"/>
  <c r="I439" i="7" s="1"/>
  <c r="B439" i="7"/>
  <c r="L109" i="2"/>
  <c r="L109" i="7" s="1"/>
  <c r="E109" i="7"/>
  <c r="D480" i="2"/>
  <c r="D480" i="7" s="1"/>
  <c r="D472" i="7"/>
  <c r="S551" i="2"/>
  <c r="S553" i="2" s="1"/>
  <c r="S554" i="2" s="1"/>
  <c r="M536" i="7"/>
  <c r="S485" i="2"/>
  <c r="M470" i="7"/>
  <c r="V518" i="2"/>
  <c r="M503" i="7"/>
  <c r="E158" i="2"/>
  <c r="E158" i="7" s="1"/>
  <c r="E142" i="7"/>
  <c r="K612" i="2"/>
  <c r="K612" i="7" s="1"/>
  <c r="D604" i="7"/>
  <c r="E455" i="2"/>
  <c r="E455" i="7" s="1"/>
  <c r="E439" i="7"/>
  <c r="I158" i="2"/>
  <c r="I158" i="7" s="1"/>
  <c r="B142" i="7"/>
  <c r="K125" i="2"/>
  <c r="K125" i="7" s="1"/>
  <c r="D109" i="7"/>
  <c r="K455" i="2"/>
  <c r="K455" i="7" s="1"/>
  <c r="D439" i="7"/>
  <c r="E249" i="2"/>
  <c r="E249" i="7" s="1"/>
  <c r="E241" i="7"/>
  <c r="AD254" i="3"/>
  <c r="AA254" i="3" s="1"/>
  <c r="Z232" i="3"/>
  <c r="R232" i="3"/>
  <c r="AC285" i="3"/>
  <c r="Y253" i="3"/>
  <c r="AC298" i="3"/>
  <c r="Y248" i="3"/>
  <c r="AC295" i="3"/>
  <c r="Y116" i="3"/>
  <c r="Q15" i="6"/>
  <c r="T15" i="6" s="1"/>
  <c r="W15" i="6" s="1"/>
  <c r="B182" i="6"/>
  <c r="B183" i="6" s="1"/>
  <c r="B184" i="6" s="1"/>
  <c r="B185" i="6" s="1"/>
  <c r="B186" i="6" s="1"/>
  <c r="B79" i="6"/>
  <c r="E79" i="6" s="1"/>
  <c r="AC408" i="2"/>
  <c r="N42" i="6" s="1"/>
  <c r="W401" i="2"/>
  <c r="AC111" i="2"/>
  <c r="E42" i="6" s="1"/>
  <c r="AC78" i="2"/>
  <c r="D42" i="6" s="1"/>
  <c r="AC606" i="2"/>
  <c r="T42" i="6" s="1"/>
  <c r="AC342" i="2"/>
  <c r="L42" i="6" s="1"/>
  <c r="AC45" i="2"/>
  <c r="C42" i="6" s="1"/>
  <c r="AC375" i="2"/>
  <c r="M42" i="6" s="1"/>
  <c r="AC540" i="2"/>
  <c r="R42" i="6" s="1"/>
  <c r="AC573" i="2"/>
  <c r="S42" i="6" s="1"/>
  <c r="W335" i="2"/>
  <c r="AC474" i="2"/>
  <c r="P42" i="6" s="1"/>
  <c r="B75" i="6"/>
  <c r="E75" i="6" s="1"/>
  <c r="B162" i="6"/>
  <c r="B163" i="6" s="1"/>
  <c r="B164" i="6" s="1"/>
  <c r="B165" i="6" s="1"/>
  <c r="B166" i="6" s="1"/>
  <c r="W302" i="2"/>
  <c r="AC639" i="2"/>
  <c r="U42" i="6" s="1"/>
  <c r="W236" i="2"/>
  <c r="AC243" i="2"/>
  <c r="I42" i="6" s="1"/>
  <c r="I67" i="6" s="1"/>
  <c r="K620" i="2"/>
  <c r="K620" i="7" s="1"/>
  <c r="L257" i="2"/>
  <c r="L257" i="7" s="1"/>
  <c r="AD173" i="3"/>
  <c r="AA173" i="3" s="1"/>
  <c r="I447" i="2"/>
  <c r="I447" i="7" s="1"/>
  <c r="I455" i="2"/>
  <c r="I455" i="7" s="1"/>
  <c r="B447" i="2"/>
  <c r="B447" i="7" s="1"/>
  <c r="B455" i="2"/>
  <c r="B455" i="7" s="1"/>
  <c r="W203" i="2"/>
  <c r="AC144" i="2"/>
  <c r="F42" i="6" s="1"/>
  <c r="B62" i="6"/>
  <c r="B107" i="6"/>
  <c r="B108" i="6" s="1"/>
  <c r="B109" i="6" s="1"/>
  <c r="B110" i="6" s="1"/>
  <c r="B111" i="6" s="1"/>
  <c r="I612" i="2"/>
  <c r="I612" i="7" s="1"/>
  <c r="D455" i="2"/>
  <c r="D455" i="7" s="1"/>
  <c r="E381" i="2"/>
  <c r="E381" i="7" s="1"/>
  <c r="L373" i="2"/>
  <c r="L373" i="7" s="1"/>
  <c r="AC605" i="2"/>
  <c r="T41" i="6" s="1"/>
  <c r="I274" i="2"/>
  <c r="I274" i="7" s="1"/>
  <c r="L11" i="6"/>
  <c r="E45" i="6"/>
  <c r="B282" i="2"/>
  <c r="B282" i="7" s="1"/>
  <c r="D80" i="6"/>
  <c r="W434" i="2"/>
  <c r="W368" i="2"/>
  <c r="AC441" i="2"/>
  <c r="O42" i="6" s="1"/>
  <c r="W500" i="2"/>
  <c r="AC506" i="2"/>
  <c r="Q41" i="6" s="1"/>
  <c r="AC374" i="2"/>
  <c r="M41" i="6" s="1"/>
  <c r="AC507" i="2"/>
  <c r="Q42" i="6" s="1"/>
  <c r="L241" i="2"/>
  <c r="L241" i="7" s="1"/>
  <c r="E257" i="2"/>
  <c r="E257" i="7" s="1"/>
  <c r="B612" i="2"/>
  <c r="B612" i="7" s="1"/>
  <c r="B74" i="6"/>
  <c r="E74" i="6" s="1"/>
  <c r="B157" i="6"/>
  <c r="B158" i="6" s="1"/>
  <c r="B159" i="6" s="1"/>
  <c r="B160" i="6" s="1"/>
  <c r="B161" i="6" s="1"/>
  <c r="B488" i="2"/>
  <c r="B488" i="7" s="1"/>
  <c r="B620" i="2"/>
  <c r="B620" i="7" s="1"/>
  <c r="W29" i="2"/>
  <c r="AC18" i="2" s="1"/>
  <c r="X8" i="6" s="1"/>
  <c r="I480" i="2"/>
  <c r="I480" i="7" s="1"/>
  <c r="I620" i="2"/>
  <c r="I620" i="7" s="1"/>
  <c r="A25" i="1"/>
  <c r="G72" i="6"/>
  <c r="B45" i="6"/>
  <c r="L8" i="6"/>
  <c r="Q22" i="6"/>
  <c r="T22" i="6" s="1"/>
  <c r="W22" i="6" s="1"/>
  <c r="N22" i="6"/>
  <c r="B480" i="2"/>
  <c r="B480" i="7" s="1"/>
  <c r="I472" i="2"/>
  <c r="I472" i="7" s="1"/>
  <c r="C45" i="6"/>
  <c r="L9" i="6"/>
  <c r="W27" i="2"/>
  <c r="AC14" i="2" s="1"/>
  <c r="B44" i="6" s="1"/>
  <c r="Q18" i="6"/>
  <c r="T18" i="6" s="1"/>
  <c r="W18" i="6" s="1"/>
  <c r="N18" i="6"/>
  <c r="AC309" i="2"/>
  <c r="K42" i="6" s="1"/>
  <c r="I69" i="6" s="1"/>
  <c r="I22" i="1" s="1"/>
  <c r="L10" i="9" s="1"/>
  <c r="AC276" i="2"/>
  <c r="J42" i="6" s="1"/>
  <c r="B70" i="6"/>
  <c r="E70" i="6" s="1"/>
  <c r="B137" i="6"/>
  <c r="B138" i="6" s="1"/>
  <c r="B139" i="6" s="1"/>
  <c r="B140" i="6" s="1"/>
  <c r="B141" i="6" s="1"/>
  <c r="W225" i="2"/>
  <c r="AC210" i="2"/>
  <c r="H42" i="6" s="1"/>
  <c r="I66" i="6" s="1"/>
  <c r="W229" i="2"/>
  <c r="AC215" i="2" s="1"/>
  <c r="H47" i="6" s="1"/>
  <c r="G66" i="6"/>
  <c r="W262" i="2"/>
  <c r="AC248" i="2" s="1"/>
  <c r="I47" i="6" s="1"/>
  <c r="L249" i="2"/>
  <c r="L249" i="7" s="1"/>
  <c r="W261" i="2"/>
  <c r="AC247" i="2" s="1"/>
  <c r="R15" i="6" s="1"/>
  <c r="W294" i="2"/>
  <c r="AC280" i="2" s="1"/>
  <c r="J46" i="6" s="1"/>
  <c r="P115" i="6" s="1"/>
  <c r="W292" i="2"/>
  <c r="AC288" i="2" s="1"/>
  <c r="O16" i="6" s="1"/>
  <c r="I282" i="2"/>
  <c r="I282" i="7" s="1"/>
  <c r="W328" i="2"/>
  <c r="AC314" i="2" s="1"/>
  <c r="U17" i="6" s="1"/>
  <c r="W324" i="2"/>
  <c r="W327" i="2"/>
  <c r="AC313" i="2" s="1"/>
  <c r="K46" i="6" s="1"/>
  <c r="P116" i="6" s="1"/>
  <c r="W325" i="2"/>
  <c r="AC321" i="2" s="1"/>
  <c r="K54" i="6" s="1"/>
  <c r="P136" i="6" s="1"/>
  <c r="W326" i="2"/>
  <c r="AC315" i="2" s="1"/>
  <c r="K48" i="6" s="1"/>
  <c r="W291" i="2"/>
  <c r="W293" i="2"/>
  <c r="AC282" i="2" s="1"/>
  <c r="W295" i="2"/>
  <c r="AC281" i="2" s="1"/>
  <c r="J47" i="6" s="1"/>
  <c r="W259" i="2"/>
  <c r="AC255" i="2" s="1"/>
  <c r="I54" i="6" s="1"/>
  <c r="P134" i="6" s="1"/>
  <c r="W260" i="2"/>
  <c r="AC249" i="2" s="1"/>
  <c r="X15" i="6" s="1"/>
  <c r="W258" i="2"/>
  <c r="G67" i="6"/>
  <c r="A20" i="1"/>
  <c r="W226" i="2"/>
  <c r="AC222" i="2" s="1"/>
  <c r="O14" i="6" s="1"/>
  <c r="W227" i="2"/>
  <c r="AC216" i="2" s="1"/>
  <c r="X14" i="6" s="1"/>
  <c r="W228" i="2"/>
  <c r="AC214" i="2" s="1"/>
  <c r="R14" i="6" s="1"/>
  <c r="D81" i="6"/>
  <c r="C71" i="6"/>
  <c r="D71" i="6"/>
  <c r="C80" i="6"/>
  <c r="H82" i="6"/>
  <c r="H81" i="6"/>
  <c r="C66" i="6"/>
  <c r="H77" i="6"/>
  <c r="H67" i="6"/>
  <c r="C82" i="6"/>
  <c r="H72" i="6"/>
  <c r="I71" i="6"/>
  <c r="F80" i="6"/>
  <c r="C81" i="6"/>
  <c r="H71" i="6"/>
  <c r="I77" i="6"/>
  <c r="C77" i="6"/>
  <c r="H69" i="6"/>
  <c r="H22" i="1" s="1"/>
  <c r="K10" i="9" s="1"/>
  <c r="AC177" i="2"/>
  <c r="G42" i="6" s="1"/>
  <c r="H73" i="6"/>
  <c r="I72" i="6"/>
  <c r="C67" i="6"/>
  <c r="F82" i="6"/>
  <c r="C72" i="6"/>
  <c r="D72" i="6"/>
  <c r="I81" i="6"/>
  <c r="H66" i="6"/>
  <c r="C69" i="6"/>
  <c r="B22" i="1" s="1"/>
  <c r="E10" i="9" s="1"/>
  <c r="I73" i="6"/>
  <c r="I80" i="6"/>
  <c r="W170" i="2"/>
  <c r="H80" i="6"/>
  <c r="D77" i="6"/>
  <c r="I82" i="6"/>
  <c r="C73" i="6"/>
  <c r="D82" i="6"/>
  <c r="D73" i="6"/>
  <c r="F81" i="6"/>
  <c r="W196" i="2"/>
  <c r="AC182" i="2" s="1"/>
  <c r="G47" i="6" s="1"/>
  <c r="W195" i="2"/>
  <c r="AC181" i="2" s="1"/>
  <c r="R13" i="6" s="1"/>
  <c r="W192" i="2"/>
  <c r="W193" i="2"/>
  <c r="AC189" i="2" s="1"/>
  <c r="O13" i="6" s="1"/>
  <c r="W194" i="2"/>
  <c r="AC183" i="2" s="1"/>
  <c r="G48" i="6" s="1"/>
  <c r="B112" i="6"/>
  <c r="B113" i="6" s="1"/>
  <c r="B114" i="6" s="1"/>
  <c r="B115" i="6" s="1"/>
  <c r="B116" i="6" s="1"/>
  <c r="I315" i="2"/>
  <c r="I315" i="7" s="1"/>
  <c r="L125" i="2"/>
  <c r="L125" i="7" s="1"/>
  <c r="D447" i="2"/>
  <c r="D447" i="7" s="1"/>
  <c r="T287" i="2"/>
  <c r="L381" i="2"/>
  <c r="L381" i="7" s="1"/>
  <c r="C22" i="6"/>
  <c r="K447" i="2"/>
  <c r="K447" i="7" s="1"/>
  <c r="K439" i="2"/>
  <c r="K439" i="7" s="1"/>
  <c r="D612" i="2"/>
  <c r="D612" i="7" s="1"/>
  <c r="K488" i="2"/>
  <c r="K488" i="7" s="1"/>
  <c r="L455" i="2"/>
  <c r="L455" i="7" s="1"/>
  <c r="K480" i="2"/>
  <c r="K480" i="7" s="1"/>
  <c r="E447" i="2"/>
  <c r="E447" i="7" s="1"/>
  <c r="K472" i="2"/>
  <c r="K472" i="7" s="1"/>
  <c r="D488" i="2"/>
  <c r="D488" i="7" s="1"/>
  <c r="S353" i="2"/>
  <c r="V354" i="2"/>
  <c r="L439" i="2"/>
  <c r="L439" i="7" s="1"/>
  <c r="K604" i="2"/>
  <c r="K604" i="7" s="1"/>
  <c r="D620" i="2"/>
  <c r="D620" i="7" s="1"/>
  <c r="B249" i="2"/>
  <c r="B249" i="7" s="1"/>
  <c r="I249" i="2"/>
  <c r="I249" i="7" s="1"/>
  <c r="R353" i="2"/>
  <c r="B290" i="2"/>
  <c r="B290" i="7" s="1"/>
  <c r="S287" i="2"/>
  <c r="U188" i="2"/>
  <c r="K579" i="2"/>
  <c r="K579" i="7" s="1"/>
  <c r="L389" i="2"/>
  <c r="L389" i="7" s="1"/>
  <c r="L447" i="2"/>
  <c r="L447" i="7" s="1"/>
  <c r="S354" i="2"/>
  <c r="P36" i="6"/>
  <c r="I323" i="2"/>
  <c r="I323" i="7" s="1"/>
  <c r="I307" i="2"/>
  <c r="I307" i="7" s="1"/>
  <c r="E125" i="2"/>
  <c r="E125" i="7" s="1"/>
  <c r="E117" i="2"/>
  <c r="E117" i="7" s="1"/>
  <c r="B323" i="2"/>
  <c r="B323" i="7" s="1"/>
  <c r="L117" i="2"/>
  <c r="L117" i="7" s="1"/>
  <c r="S452" i="2"/>
  <c r="U453" i="2"/>
  <c r="E323" i="2"/>
  <c r="E323" i="7" s="1"/>
  <c r="V453" i="2"/>
  <c r="L315" i="2"/>
  <c r="L315" i="7" s="1"/>
  <c r="E315" i="2"/>
  <c r="E315" i="7" s="1"/>
  <c r="U452" i="2"/>
  <c r="R452" i="2"/>
  <c r="T453" i="2"/>
  <c r="R288" i="2"/>
  <c r="V353" i="2"/>
  <c r="V189" i="2"/>
  <c r="S288" i="2"/>
  <c r="D579" i="2"/>
  <c r="D579" i="7" s="1"/>
  <c r="K315" i="2"/>
  <c r="K315" i="7" s="1"/>
  <c r="K587" i="2"/>
  <c r="K587" i="7" s="1"/>
  <c r="K323" i="2"/>
  <c r="K323" i="7" s="1"/>
  <c r="K307" i="2"/>
  <c r="K307" i="7" s="1"/>
  <c r="L307" i="2"/>
  <c r="L307" i="7" s="1"/>
  <c r="D315" i="2"/>
  <c r="D315" i="7" s="1"/>
  <c r="W28" i="2"/>
  <c r="AC24" i="2" s="1"/>
  <c r="B54" i="6" s="1"/>
  <c r="Q8" i="6"/>
  <c r="T8" i="6" s="1"/>
  <c r="W8" i="6" s="1"/>
  <c r="T353" i="2"/>
  <c r="I142" i="2"/>
  <c r="I142" i="7" s="1"/>
  <c r="R287" i="2"/>
  <c r="AC73" i="2"/>
  <c r="D37" i="6" s="1"/>
  <c r="V618" i="2"/>
  <c r="E36" i="6"/>
  <c r="D117" i="2"/>
  <c r="D117" i="7" s="1"/>
  <c r="C17" i="6"/>
  <c r="L150" i="2"/>
  <c r="L150" i="7" s="1"/>
  <c r="L158" i="2"/>
  <c r="L158" i="7" s="1"/>
  <c r="K36" i="6"/>
  <c r="E150" i="2"/>
  <c r="E150" i="7" s="1"/>
  <c r="K150" i="2"/>
  <c r="K150" i="7" s="1"/>
  <c r="L142" i="2"/>
  <c r="L142" i="7" s="1"/>
  <c r="U617" i="2"/>
  <c r="T617" i="2"/>
  <c r="B257" i="2"/>
  <c r="B257" i="7" s="1"/>
  <c r="I257" i="2"/>
  <c r="I257" i="7" s="1"/>
  <c r="R617" i="2"/>
  <c r="A11" i="1"/>
  <c r="C58" i="6"/>
  <c r="B90" i="6"/>
  <c r="B88" i="6"/>
  <c r="B89" i="6"/>
  <c r="B91" i="6"/>
  <c r="W31" i="2"/>
  <c r="AC17" i="2" s="1"/>
  <c r="U8" i="6" s="1"/>
  <c r="R519" i="2"/>
  <c r="U518" i="2"/>
  <c r="I117" i="2"/>
  <c r="I117" i="7" s="1"/>
  <c r="B125" i="2"/>
  <c r="B125" i="7" s="1"/>
  <c r="B117" i="2"/>
  <c r="B117" i="7" s="1"/>
  <c r="I109" i="2"/>
  <c r="I109" i="7" s="1"/>
  <c r="I125" i="2"/>
  <c r="I125" i="7" s="1"/>
  <c r="D125" i="2"/>
  <c r="D125" i="7" s="1"/>
  <c r="K117" i="2"/>
  <c r="K117" i="7" s="1"/>
  <c r="R188" i="2"/>
  <c r="K142" i="2"/>
  <c r="K142" i="7" s="1"/>
  <c r="F36" i="6"/>
  <c r="R189" i="2"/>
  <c r="V188" i="2"/>
  <c r="R618" i="2"/>
  <c r="S189" i="2"/>
  <c r="D587" i="2"/>
  <c r="D587" i="7" s="1"/>
  <c r="K109" i="2"/>
  <c r="K109" i="7" s="1"/>
  <c r="O36" i="6"/>
  <c r="I183" i="2"/>
  <c r="I183" i="7" s="1"/>
  <c r="I175" i="2"/>
  <c r="I175" i="7" s="1"/>
  <c r="I191" i="2"/>
  <c r="I191" i="7" s="1"/>
  <c r="B191" i="2"/>
  <c r="B191" i="7" s="1"/>
  <c r="B183" i="2"/>
  <c r="B183" i="7" s="1"/>
  <c r="K158" i="2"/>
  <c r="K158" i="7" s="1"/>
  <c r="D158" i="2"/>
  <c r="D158" i="7" s="1"/>
  <c r="T452" i="2"/>
  <c r="U618" i="2"/>
  <c r="K257" i="2"/>
  <c r="K257" i="7" s="1"/>
  <c r="K241" i="2"/>
  <c r="K241" i="7" s="1"/>
  <c r="D249" i="2"/>
  <c r="D249" i="7" s="1"/>
  <c r="K249" i="2"/>
  <c r="K249" i="7" s="1"/>
  <c r="D257" i="2"/>
  <c r="D257" i="7" s="1"/>
  <c r="B150" i="2"/>
  <c r="B150" i="7" s="1"/>
  <c r="I150" i="2"/>
  <c r="I150" i="7" s="1"/>
  <c r="B158" i="2"/>
  <c r="B158" i="7" s="1"/>
  <c r="L175" i="2"/>
  <c r="L175" i="7" s="1"/>
  <c r="E191" i="2"/>
  <c r="E191" i="7" s="1"/>
  <c r="L191" i="2"/>
  <c r="L191" i="7" s="1"/>
  <c r="L183" i="2"/>
  <c r="L183" i="7" s="1"/>
  <c r="E183" i="2"/>
  <c r="E183" i="7" s="1"/>
  <c r="R453" i="2"/>
  <c r="S453" i="2"/>
  <c r="K208" i="2"/>
  <c r="K208" i="7" s="1"/>
  <c r="K224" i="2"/>
  <c r="K224" i="7" s="1"/>
  <c r="D216" i="2"/>
  <c r="D216" i="7" s="1"/>
  <c r="D224" i="2"/>
  <c r="D224" i="7" s="1"/>
  <c r="K216" i="2"/>
  <c r="K216" i="7" s="1"/>
  <c r="V519" i="2"/>
  <c r="I224" i="2"/>
  <c r="I224" i="7" s="1"/>
  <c r="I208" i="2"/>
  <c r="I208" i="7" s="1"/>
  <c r="I216" i="2"/>
  <c r="I216" i="7" s="1"/>
  <c r="B224" i="2"/>
  <c r="B224" i="7" s="1"/>
  <c r="B216" i="2"/>
  <c r="B216" i="7" s="1"/>
  <c r="L224" i="2"/>
  <c r="L224" i="7" s="1"/>
  <c r="E224" i="2"/>
  <c r="E224" i="7" s="1"/>
  <c r="L208" i="2"/>
  <c r="L208" i="7" s="1"/>
  <c r="L216" i="2"/>
  <c r="L216" i="7" s="1"/>
  <c r="E216" i="2"/>
  <c r="E216" i="7" s="1"/>
  <c r="U189" i="2"/>
  <c r="T189" i="2"/>
  <c r="T188" i="2"/>
  <c r="H36" i="6"/>
  <c r="S650" i="2"/>
  <c r="T651" i="2"/>
  <c r="U651" i="2"/>
  <c r="U650" i="2"/>
  <c r="V650" i="2"/>
  <c r="S651" i="2"/>
  <c r="R650" i="2"/>
  <c r="V651" i="2"/>
  <c r="R651" i="2"/>
  <c r="T650" i="2"/>
  <c r="S618" i="2"/>
  <c r="S617" i="2"/>
  <c r="T618" i="2"/>
  <c r="L472" i="2"/>
  <c r="L472" i="7" s="1"/>
  <c r="L480" i="2"/>
  <c r="L480" i="7" s="1"/>
  <c r="L488" i="2"/>
  <c r="L488" i="7" s="1"/>
  <c r="E480" i="2"/>
  <c r="E480" i="7" s="1"/>
  <c r="E488" i="2"/>
  <c r="E488" i="7" s="1"/>
  <c r="T321" i="2"/>
  <c r="U321" i="2"/>
  <c r="R320" i="2"/>
  <c r="U320" i="2"/>
  <c r="V321" i="2"/>
  <c r="V320" i="2"/>
  <c r="S320" i="2"/>
  <c r="S321" i="2"/>
  <c r="T320" i="2"/>
  <c r="R321" i="2"/>
  <c r="S36" i="6"/>
  <c r="K414" i="2"/>
  <c r="K414" i="7" s="1"/>
  <c r="D422" i="2"/>
  <c r="D422" i="7" s="1"/>
  <c r="K406" i="2"/>
  <c r="K406" i="7" s="1"/>
  <c r="K422" i="2"/>
  <c r="K422" i="7" s="1"/>
  <c r="D414" i="2"/>
  <c r="D414" i="7" s="1"/>
  <c r="U287" i="2"/>
  <c r="S519" i="2"/>
  <c r="T354" i="2"/>
  <c r="D513" i="2"/>
  <c r="D513" i="7" s="1"/>
  <c r="K505" i="2"/>
  <c r="K505" i="7" s="1"/>
  <c r="D521" i="2"/>
  <c r="D521" i="7" s="1"/>
  <c r="K521" i="2"/>
  <c r="K521" i="7" s="1"/>
  <c r="K513" i="2"/>
  <c r="K513" i="7" s="1"/>
  <c r="B36" i="6"/>
  <c r="K10" i="2"/>
  <c r="K10" i="7" s="1"/>
  <c r="D26" i="2"/>
  <c r="D26" i="7" s="1"/>
  <c r="K18" i="2"/>
  <c r="K18" i="7" s="1"/>
  <c r="D18" i="2"/>
  <c r="D18" i="7" s="1"/>
  <c r="K26" i="2"/>
  <c r="K26" i="7" s="1"/>
  <c r="N36" i="6"/>
  <c r="E59" i="2"/>
  <c r="E59" i="7" s="1"/>
  <c r="E51" i="2"/>
  <c r="E51" i="7" s="1"/>
  <c r="L59" i="2"/>
  <c r="L59" i="7" s="1"/>
  <c r="L43" i="2"/>
  <c r="L43" i="7" s="1"/>
  <c r="L51" i="2"/>
  <c r="L51" i="7" s="1"/>
  <c r="E26" i="2"/>
  <c r="E26" i="7" s="1"/>
  <c r="L26" i="2"/>
  <c r="L26" i="7" s="1"/>
  <c r="E18" i="2"/>
  <c r="E18" i="7" s="1"/>
  <c r="L18" i="2"/>
  <c r="L18" i="7" s="1"/>
  <c r="L10" i="2"/>
  <c r="L10" i="7" s="1"/>
  <c r="U354" i="2"/>
  <c r="U353" i="2"/>
  <c r="V288" i="2"/>
  <c r="V287" i="2"/>
  <c r="T288" i="2"/>
  <c r="D59" i="2"/>
  <c r="D59" i="7" s="1"/>
  <c r="D51" i="2"/>
  <c r="D51" i="7" s="1"/>
  <c r="K51" i="2"/>
  <c r="K51" i="7" s="1"/>
  <c r="K59" i="2"/>
  <c r="K59" i="7" s="1"/>
  <c r="K43" i="2"/>
  <c r="K43" i="7" s="1"/>
  <c r="Q36" i="6"/>
  <c r="L406" i="2"/>
  <c r="L406" i="7" s="1"/>
  <c r="L414" i="2"/>
  <c r="L414" i="7" s="1"/>
  <c r="E414" i="2"/>
  <c r="E414" i="7" s="1"/>
  <c r="L422" i="2"/>
  <c r="L422" i="7" s="1"/>
  <c r="E422" i="2"/>
  <c r="E422" i="7" s="1"/>
  <c r="L604" i="2"/>
  <c r="L604" i="7" s="1"/>
  <c r="E620" i="2"/>
  <c r="E620" i="7" s="1"/>
  <c r="L612" i="2"/>
  <c r="L612" i="7" s="1"/>
  <c r="L620" i="2"/>
  <c r="L620" i="7" s="1"/>
  <c r="E612" i="2"/>
  <c r="E612" i="7" s="1"/>
  <c r="T36" i="6"/>
  <c r="U254" i="2"/>
  <c r="V255" i="2"/>
  <c r="S255" i="2"/>
  <c r="R255" i="2"/>
  <c r="V254" i="2"/>
  <c r="T254" i="2"/>
  <c r="S254" i="2"/>
  <c r="U255" i="2"/>
  <c r="T255" i="2"/>
  <c r="R254" i="2"/>
  <c r="B59" i="2"/>
  <c r="B59" i="7" s="1"/>
  <c r="I59" i="2"/>
  <c r="I59" i="7" s="1"/>
  <c r="B51" i="2"/>
  <c r="B51" i="7" s="1"/>
  <c r="I51" i="2"/>
  <c r="I51" i="7" s="1"/>
  <c r="I43" i="2"/>
  <c r="I43" i="7" s="1"/>
  <c r="E521" i="2"/>
  <c r="E521" i="7" s="1"/>
  <c r="L521" i="2"/>
  <c r="L521" i="7" s="1"/>
  <c r="L513" i="2"/>
  <c r="L513" i="7" s="1"/>
  <c r="L505" i="2"/>
  <c r="L505" i="7" s="1"/>
  <c r="E513" i="2"/>
  <c r="E513" i="7" s="1"/>
  <c r="I26" i="2"/>
  <c r="I26" i="7" s="1"/>
  <c r="I10" i="2"/>
  <c r="I10" i="7" s="1"/>
  <c r="I18" i="2"/>
  <c r="I18" i="7" s="1"/>
  <c r="B26" i="2"/>
  <c r="B26" i="7" s="1"/>
  <c r="B18" i="2"/>
  <c r="B18" i="7" s="1"/>
  <c r="I422" i="2"/>
  <c r="I422" i="7" s="1"/>
  <c r="B414" i="2"/>
  <c r="B414" i="7" s="1"/>
  <c r="I414" i="2"/>
  <c r="I414" i="7" s="1"/>
  <c r="I406" i="2"/>
  <c r="I406" i="7" s="1"/>
  <c r="B422" i="2"/>
  <c r="B422" i="7" s="1"/>
  <c r="C36" i="6"/>
  <c r="AC40" i="2"/>
  <c r="K274" i="2"/>
  <c r="K274" i="7" s="1"/>
  <c r="D290" i="2"/>
  <c r="D290" i="7" s="1"/>
  <c r="K290" i="2"/>
  <c r="K290" i="7" s="1"/>
  <c r="K282" i="2"/>
  <c r="K282" i="7" s="1"/>
  <c r="D282" i="2"/>
  <c r="D282" i="7" s="1"/>
  <c r="G36" i="6"/>
  <c r="R518" i="2"/>
  <c r="L36" i="6"/>
  <c r="E348" i="2"/>
  <c r="E348" i="7" s="1"/>
  <c r="L356" i="2"/>
  <c r="L356" i="7" s="1"/>
  <c r="E356" i="2"/>
  <c r="E356" i="7" s="1"/>
  <c r="L340" i="2"/>
  <c r="L340" i="7" s="1"/>
  <c r="L348" i="2"/>
  <c r="L348" i="7" s="1"/>
  <c r="M36" i="6"/>
  <c r="I76" i="2"/>
  <c r="I76" i="7" s="1"/>
  <c r="B92" i="2"/>
  <c r="B92" i="7" s="1"/>
  <c r="I84" i="2"/>
  <c r="I84" i="7" s="1"/>
  <c r="I92" i="2"/>
  <c r="I92" i="7" s="1"/>
  <c r="B84" i="2"/>
  <c r="B84" i="7" s="1"/>
  <c r="I348" i="2"/>
  <c r="I348" i="7" s="1"/>
  <c r="B348" i="2"/>
  <c r="B348" i="7" s="1"/>
  <c r="B356" i="2"/>
  <c r="B356" i="7" s="1"/>
  <c r="I340" i="2"/>
  <c r="I340" i="7" s="1"/>
  <c r="I356" i="2"/>
  <c r="I356" i="7" s="1"/>
  <c r="B653" i="2"/>
  <c r="B653" i="7" s="1"/>
  <c r="B645" i="2"/>
  <c r="B645" i="7" s="1"/>
  <c r="I637" i="2"/>
  <c r="I637" i="7" s="1"/>
  <c r="I645" i="2"/>
  <c r="I645" i="7" s="1"/>
  <c r="I653" i="2"/>
  <c r="I653" i="7" s="1"/>
  <c r="D381" i="2"/>
  <c r="D381" i="7" s="1"/>
  <c r="D389" i="2"/>
  <c r="D389" i="7" s="1"/>
  <c r="K373" i="2"/>
  <c r="K373" i="7" s="1"/>
  <c r="K381" i="2"/>
  <c r="K381" i="7" s="1"/>
  <c r="K389" i="2"/>
  <c r="K389" i="7" s="1"/>
  <c r="S419" i="2"/>
  <c r="T419" i="2"/>
  <c r="U420" i="2"/>
  <c r="T420" i="2"/>
  <c r="V420" i="2"/>
  <c r="V419" i="2"/>
  <c r="U419" i="2"/>
  <c r="R420" i="2"/>
  <c r="R419" i="2"/>
  <c r="S420" i="2"/>
  <c r="T519" i="2"/>
  <c r="U519" i="2"/>
  <c r="S518" i="2"/>
  <c r="T518" i="2"/>
  <c r="I554" i="2"/>
  <c r="I554" i="7" s="1"/>
  <c r="I546" i="2"/>
  <c r="I546" i="7" s="1"/>
  <c r="B546" i="2"/>
  <c r="B546" i="7" s="1"/>
  <c r="I538" i="2"/>
  <c r="I538" i="7" s="1"/>
  <c r="B554" i="2"/>
  <c r="B554" i="7" s="1"/>
  <c r="R36" i="6"/>
  <c r="K175" i="2"/>
  <c r="K175" i="7" s="1"/>
  <c r="K183" i="2"/>
  <c r="K183" i="7" s="1"/>
  <c r="D183" i="2"/>
  <c r="D183" i="7" s="1"/>
  <c r="K191" i="2"/>
  <c r="K191" i="7" s="1"/>
  <c r="D191" i="2"/>
  <c r="D191" i="7" s="1"/>
  <c r="K348" i="2"/>
  <c r="K348" i="7" s="1"/>
  <c r="D348" i="2"/>
  <c r="D348" i="7" s="1"/>
  <c r="K340" i="2"/>
  <c r="K340" i="7" s="1"/>
  <c r="K356" i="2"/>
  <c r="K356" i="7" s="1"/>
  <c r="D356" i="2"/>
  <c r="D356" i="7" s="1"/>
  <c r="U36" i="6"/>
  <c r="K653" i="2"/>
  <c r="K653" i="7" s="1"/>
  <c r="D645" i="2"/>
  <c r="D645" i="7" s="1"/>
  <c r="K645" i="2"/>
  <c r="K645" i="7" s="1"/>
  <c r="D653" i="2"/>
  <c r="D653" i="7" s="1"/>
  <c r="K637" i="2"/>
  <c r="K637" i="7" s="1"/>
  <c r="L653" i="2"/>
  <c r="L653" i="7" s="1"/>
  <c r="L645" i="2"/>
  <c r="L645" i="7" s="1"/>
  <c r="E653" i="2"/>
  <c r="E653" i="7" s="1"/>
  <c r="L637" i="2"/>
  <c r="L637" i="7" s="1"/>
  <c r="E645" i="2"/>
  <c r="E645" i="7" s="1"/>
  <c r="I389" i="2"/>
  <c r="I389" i="7" s="1"/>
  <c r="B381" i="2"/>
  <c r="B381" i="7" s="1"/>
  <c r="I373" i="2"/>
  <c r="I373" i="7" s="1"/>
  <c r="I381" i="2"/>
  <c r="I381" i="7" s="1"/>
  <c r="B389" i="2"/>
  <c r="B389" i="7" s="1"/>
  <c r="L571" i="2"/>
  <c r="L571" i="7" s="1"/>
  <c r="L587" i="2"/>
  <c r="L587" i="7" s="1"/>
  <c r="E587" i="2"/>
  <c r="E587" i="7" s="1"/>
  <c r="L579" i="2"/>
  <c r="L579" i="7" s="1"/>
  <c r="E579" i="2"/>
  <c r="E579" i="7" s="1"/>
  <c r="I571" i="2"/>
  <c r="I571" i="7" s="1"/>
  <c r="B579" i="2"/>
  <c r="B579" i="7" s="1"/>
  <c r="I579" i="2"/>
  <c r="I579" i="7" s="1"/>
  <c r="B587" i="2"/>
  <c r="B587" i="7" s="1"/>
  <c r="I587" i="2"/>
  <c r="I587" i="7" s="1"/>
  <c r="D554" i="2"/>
  <c r="D554" i="7" s="1"/>
  <c r="D546" i="2"/>
  <c r="D546" i="7" s="1"/>
  <c r="K538" i="2"/>
  <c r="K538" i="7" s="1"/>
  <c r="K554" i="2"/>
  <c r="K554" i="7" s="1"/>
  <c r="K546" i="2"/>
  <c r="K546" i="7" s="1"/>
  <c r="T585" i="2"/>
  <c r="V584" i="2"/>
  <c r="R584" i="2"/>
  <c r="U584" i="2"/>
  <c r="V585" i="2"/>
  <c r="S585" i="2"/>
  <c r="R585" i="2"/>
  <c r="U585" i="2"/>
  <c r="T584" i="2"/>
  <c r="S584" i="2"/>
  <c r="I36" i="6"/>
  <c r="E84" i="2"/>
  <c r="E84" i="7" s="1"/>
  <c r="E92" i="2"/>
  <c r="E92" i="7" s="1"/>
  <c r="L76" i="2"/>
  <c r="L76" i="7" s="1"/>
  <c r="L84" i="2"/>
  <c r="L84" i="7" s="1"/>
  <c r="L92" i="2"/>
  <c r="L92" i="7" s="1"/>
  <c r="K76" i="2"/>
  <c r="K76" i="7" s="1"/>
  <c r="D92" i="2"/>
  <c r="D92" i="7" s="1"/>
  <c r="K92" i="2"/>
  <c r="K92" i="7" s="1"/>
  <c r="K84" i="2"/>
  <c r="K84" i="7" s="1"/>
  <c r="D84" i="2"/>
  <c r="D84" i="7" s="1"/>
  <c r="E554" i="2"/>
  <c r="E554" i="7" s="1"/>
  <c r="L538" i="2"/>
  <c r="L538" i="7" s="1"/>
  <c r="L554" i="2"/>
  <c r="L554" i="7" s="1"/>
  <c r="E546" i="2"/>
  <c r="E546" i="7" s="1"/>
  <c r="L546" i="2"/>
  <c r="L546" i="7" s="1"/>
  <c r="I68" i="6" l="1"/>
  <c r="Y42" i="3"/>
  <c r="AC42" i="3" s="1"/>
  <c r="AD42" i="3" s="1"/>
  <c r="AA42" i="3" s="1"/>
  <c r="AC185" i="3"/>
  <c r="AD185" i="3" s="1"/>
  <c r="AA185" i="3" s="1"/>
  <c r="AC180" i="3"/>
  <c r="AD180" i="3" s="1"/>
  <c r="AA180" i="3" s="1"/>
  <c r="AC179" i="3"/>
  <c r="AD179" i="3" s="1"/>
  <c r="AA179" i="3" s="1"/>
  <c r="AC178" i="3"/>
  <c r="AD178" i="3" s="1"/>
  <c r="AA178" i="3" s="1"/>
  <c r="AC122" i="3"/>
  <c r="AD122" i="3" s="1"/>
  <c r="AA122" i="3" s="1"/>
  <c r="AC108" i="3"/>
  <c r="AD108" i="3" s="1"/>
  <c r="AA108" i="3" s="1"/>
  <c r="AA56" i="3"/>
  <c r="AC18" i="3"/>
  <c r="AD18" i="3" s="1"/>
  <c r="AA18" i="3" s="1"/>
  <c r="AC177" i="3"/>
  <c r="AD177" i="3" s="1"/>
  <c r="AA177" i="3" s="1"/>
  <c r="AC164" i="3"/>
  <c r="AD164" i="3" s="1"/>
  <c r="AA164" i="3" s="1"/>
  <c r="AC160" i="3"/>
  <c r="AD160" i="3" s="1"/>
  <c r="AA160" i="3" s="1"/>
  <c r="G68" i="6"/>
  <c r="D59" i="6"/>
  <c r="G59" i="6"/>
  <c r="C59" i="6"/>
  <c r="E59" i="6"/>
  <c r="AC32" i="3"/>
  <c r="AD32" i="3" s="1"/>
  <c r="AA32" i="3" s="1"/>
  <c r="W296" i="2"/>
  <c r="AC271" i="2" s="1"/>
  <c r="AC74" i="3"/>
  <c r="AD74" i="3" s="1"/>
  <c r="AA74" i="3" s="1"/>
  <c r="AC94" i="3"/>
  <c r="AD94" i="3" s="1"/>
  <c r="AA94" i="3" s="1"/>
  <c r="AD23" i="3"/>
  <c r="AA23" i="3" s="1"/>
  <c r="AD156" i="3"/>
  <c r="AA156" i="3" s="1"/>
  <c r="AD144" i="3"/>
  <c r="AA144" i="3" s="1"/>
  <c r="AD92" i="3"/>
  <c r="AA92" i="3" s="1"/>
  <c r="AD151" i="3"/>
  <c r="AA151" i="3" s="1"/>
  <c r="A12" i="1"/>
  <c r="F12" i="1" s="1"/>
  <c r="I2" i="9" s="1"/>
  <c r="B24" i="1"/>
  <c r="E12" i="9" s="1"/>
  <c r="H109" i="2"/>
  <c r="O85" i="2"/>
  <c r="O75" i="2"/>
  <c r="A158" i="2"/>
  <c r="O124" i="2"/>
  <c r="O114" i="2"/>
  <c r="A117" i="2"/>
  <c r="O87" i="2"/>
  <c r="O77" i="2"/>
  <c r="H150" i="2"/>
  <c r="O122" i="2"/>
  <c r="O112" i="2"/>
  <c r="A142" i="2"/>
  <c r="O116" i="2"/>
  <c r="O106" i="2"/>
  <c r="C16" i="6"/>
  <c r="H68" i="6"/>
  <c r="J68" i="6"/>
  <c r="A21" i="1"/>
  <c r="D9" i="9" s="1"/>
  <c r="D58" i="6"/>
  <c r="C11" i="1" s="1"/>
  <c r="F1" i="9" s="1"/>
  <c r="P87" i="6"/>
  <c r="AD61" i="3"/>
  <c r="AA61" i="3" s="1"/>
  <c r="AC143" i="3"/>
  <c r="AD143" i="3" s="1"/>
  <c r="AA143" i="3" s="1"/>
  <c r="AC140" i="3"/>
  <c r="AD140" i="3" s="1"/>
  <c r="AA140" i="3" s="1"/>
  <c r="AC131" i="3"/>
  <c r="AD131" i="3" s="1"/>
  <c r="AA131" i="3" s="1"/>
  <c r="AC124" i="3"/>
  <c r="AD124" i="3" s="1"/>
  <c r="AA124" i="3" s="1"/>
  <c r="AC102" i="3"/>
  <c r="AD102" i="3" s="1"/>
  <c r="AA102" i="3" s="1"/>
  <c r="AC80" i="3"/>
  <c r="AD80" i="3" s="1"/>
  <c r="AA80" i="3" s="1"/>
  <c r="Y321" i="3"/>
  <c r="AC87" i="3"/>
  <c r="AD87" i="3" s="1"/>
  <c r="AA87" i="3" s="1"/>
  <c r="AD224" i="3"/>
  <c r="AA224" i="3" s="1"/>
  <c r="AD174" i="3"/>
  <c r="AA174" i="3" s="1"/>
  <c r="AD146" i="3"/>
  <c r="AA146" i="3" s="1"/>
  <c r="AD112" i="3"/>
  <c r="AA112" i="3" s="1"/>
  <c r="AD130" i="3"/>
  <c r="AA130" i="3" s="1"/>
  <c r="AA195" i="3"/>
  <c r="AC114" i="3"/>
  <c r="AD114" i="3" s="1"/>
  <c r="AA114" i="3" s="1"/>
  <c r="AC100" i="3"/>
  <c r="AD100" i="3" s="1"/>
  <c r="AA100" i="3" s="1"/>
  <c r="AD90" i="3"/>
  <c r="AA90" i="3" s="1"/>
  <c r="AC93" i="3"/>
  <c r="AD93" i="3" s="1"/>
  <c r="AA93" i="3" s="1"/>
  <c r="AD25" i="3"/>
  <c r="AA25" i="3" s="1"/>
  <c r="AD117" i="3"/>
  <c r="AA117" i="3" s="1"/>
  <c r="AD96" i="3"/>
  <c r="AA96" i="3" s="1"/>
  <c r="AD227" i="3"/>
  <c r="AA227" i="3" s="1"/>
  <c r="AD21" i="3"/>
  <c r="AA21" i="3" s="1"/>
  <c r="AA241" i="3"/>
  <c r="AA197" i="3"/>
  <c r="AD15" i="3"/>
  <c r="AA15" i="3" s="1"/>
  <c r="AD48" i="3"/>
  <c r="AA48" i="3" s="1"/>
  <c r="AC223" i="3"/>
  <c r="AD223" i="3" s="1"/>
  <c r="AA223" i="3" s="1"/>
  <c r="AC271" i="3"/>
  <c r="AD271" i="3" s="1"/>
  <c r="AA271" i="3" s="1"/>
  <c r="AC170" i="3"/>
  <c r="AD170" i="3" s="1"/>
  <c r="AA170" i="3" s="1"/>
  <c r="Y309" i="3"/>
  <c r="AD309" i="3" s="1"/>
  <c r="AA309" i="3" s="1"/>
  <c r="AA67" i="3"/>
  <c r="AA118" i="3"/>
  <c r="AD172" i="3"/>
  <c r="AA172" i="3" s="1"/>
  <c r="AA40" i="3"/>
  <c r="Y291" i="3"/>
  <c r="AD291" i="3" s="1"/>
  <c r="AA291" i="3" s="1"/>
  <c r="AC83" i="3"/>
  <c r="AD83" i="3" s="1"/>
  <c r="AA83" i="3" s="1"/>
  <c r="AC79" i="3"/>
  <c r="AD79" i="3" s="1"/>
  <c r="AA79" i="3" s="1"/>
  <c r="AD63" i="3"/>
  <c r="AA63" i="3" s="1"/>
  <c r="AC62" i="3"/>
  <c r="AD62" i="3" s="1"/>
  <c r="AA62" i="3" s="1"/>
  <c r="AC59" i="3"/>
  <c r="AD59" i="3" s="1"/>
  <c r="AA59" i="3" s="1"/>
  <c r="R22" i="6"/>
  <c r="X21" i="6"/>
  <c r="AC235" i="3"/>
  <c r="AD235" i="3" s="1"/>
  <c r="AA235" i="3" s="1"/>
  <c r="AC233" i="3"/>
  <c r="AD233" i="3" s="1"/>
  <c r="AA233" i="3" s="1"/>
  <c r="O9" i="6"/>
  <c r="O22" i="6"/>
  <c r="C47" i="6"/>
  <c r="P108" i="6" s="1"/>
  <c r="Q47" i="6"/>
  <c r="S54" i="6"/>
  <c r="P144" i="6" s="1"/>
  <c r="R10" i="6"/>
  <c r="R46" i="6"/>
  <c r="P123" i="6" s="1"/>
  <c r="X22" i="6"/>
  <c r="D54" i="6"/>
  <c r="U24" i="6"/>
  <c r="N46" i="6"/>
  <c r="P119" i="6" s="1"/>
  <c r="P47" i="6"/>
  <c r="E54" i="6"/>
  <c r="S46" i="6"/>
  <c r="P124" i="6" s="1"/>
  <c r="U10" i="6"/>
  <c r="U25" i="6"/>
  <c r="O54" i="6"/>
  <c r="P140" i="6" s="1"/>
  <c r="R26" i="6"/>
  <c r="O20" i="6"/>
  <c r="U47" i="6"/>
  <c r="O23" i="6"/>
  <c r="N48" i="6"/>
  <c r="R21" i="6"/>
  <c r="R19" i="6"/>
  <c r="X26" i="6"/>
  <c r="M54" i="6"/>
  <c r="P138" i="6" s="1"/>
  <c r="X9" i="6"/>
  <c r="U20" i="6"/>
  <c r="AB232" i="3"/>
  <c r="AA232" i="3" s="1"/>
  <c r="U26" i="6"/>
  <c r="Q48" i="6"/>
  <c r="R23" i="6"/>
  <c r="R54" i="6"/>
  <c r="P143" i="6" s="1"/>
  <c r="C46" i="6"/>
  <c r="M47" i="6"/>
  <c r="M48" i="6"/>
  <c r="T54" i="6"/>
  <c r="P145" i="6" s="1"/>
  <c r="X10" i="6"/>
  <c r="R48" i="6"/>
  <c r="O47" i="6"/>
  <c r="S48" i="6"/>
  <c r="AD214" i="3"/>
  <c r="AA214" i="3" s="1"/>
  <c r="AD209" i="3"/>
  <c r="AA209" i="3" s="1"/>
  <c r="AD216" i="3"/>
  <c r="AA216" i="3" s="1"/>
  <c r="AD208" i="3"/>
  <c r="AA208" i="3" s="1"/>
  <c r="AC200" i="3"/>
  <c r="AD200" i="3" s="1"/>
  <c r="AA200" i="3" s="1"/>
  <c r="AC202" i="3"/>
  <c r="AD202" i="3" s="1"/>
  <c r="AA202" i="3" s="1"/>
  <c r="AC206" i="3"/>
  <c r="AD206" i="3" s="1"/>
  <c r="AA206" i="3" s="1"/>
  <c r="AC207" i="3"/>
  <c r="AD207" i="3" s="1"/>
  <c r="AA207" i="3" s="1"/>
  <c r="AC212" i="3"/>
  <c r="AD212" i="3" s="1"/>
  <c r="AA212" i="3" s="1"/>
  <c r="AC201" i="3"/>
  <c r="AD201" i="3" s="1"/>
  <c r="AA201" i="3" s="1"/>
  <c r="AC203" i="3"/>
  <c r="AD203" i="3" s="1"/>
  <c r="AA203" i="3" s="1"/>
  <c r="AC211" i="3"/>
  <c r="AD211" i="3" s="1"/>
  <c r="AA211" i="3" s="1"/>
  <c r="AD199" i="3"/>
  <c r="AA199" i="3" s="1"/>
  <c r="AC213" i="3"/>
  <c r="AD213" i="3" s="1"/>
  <c r="AA213" i="3" s="1"/>
  <c r="AC215" i="3"/>
  <c r="AD215" i="3" s="1"/>
  <c r="AA215" i="3" s="1"/>
  <c r="AC198" i="3"/>
  <c r="AD198" i="3" s="1"/>
  <c r="AA198" i="3" s="1"/>
  <c r="AC230" i="3"/>
  <c r="AD230" i="3" s="1"/>
  <c r="AA230" i="3" s="1"/>
  <c r="AC229" i="3"/>
  <c r="AD229" i="3" s="1"/>
  <c r="AA229" i="3" s="1"/>
  <c r="AC228" i="3"/>
  <c r="AD228" i="3" s="1"/>
  <c r="AA228" i="3" s="1"/>
  <c r="AC226" i="3"/>
  <c r="AD226" i="3" s="1"/>
  <c r="AA226" i="3" s="1"/>
  <c r="AC225" i="3"/>
  <c r="AD225" i="3" s="1"/>
  <c r="AA225" i="3" s="1"/>
  <c r="AC169" i="3"/>
  <c r="AD169" i="3" s="1"/>
  <c r="AA169" i="3" s="1"/>
  <c r="AC167" i="3"/>
  <c r="AD167" i="3" s="1"/>
  <c r="AA167" i="3" s="1"/>
  <c r="AC161" i="3"/>
  <c r="AD161" i="3" s="1"/>
  <c r="AA161" i="3" s="1"/>
  <c r="J12" i="8" s="1"/>
  <c r="F28" i="8" s="1"/>
  <c r="AC157" i="3"/>
  <c r="AD157" i="3" s="1"/>
  <c r="AA157" i="3" s="1"/>
  <c r="AC155" i="3"/>
  <c r="AD155" i="3" s="1"/>
  <c r="AA155" i="3" s="1"/>
  <c r="AC154" i="3"/>
  <c r="AD154" i="3" s="1"/>
  <c r="AA154" i="3" s="1"/>
  <c r="AC153" i="3"/>
  <c r="AD153" i="3" s="1"/>
  <c r="AA153" i="3" s="1"/>
  <c r="AC152" i="3"/>
  <c r="AD152" i="3" s="1"/>
  <c r="AA152" i="3" s="1"/>
  <c r="AC150" i="3"/>
  <c r="AD150" i="3" s="1"/>
  <c r="AA150" i="3" s="1"/>
  <c r="AC149" i="3"/>
  <c r="AD149" i="3" s="1"/>
  <c r="AA149" i="3" s="1"/>
  <c r="AC148" i="3"/>
  <c r="AD148" i="3" s="1"/>
  <c r="AA148" i="3" s="1"/>
  <c r="AC147" i="3"/>
  <c r="AD147" i="3" s="1"/>
  <c r="AA147" i="3" s="1"/>
  <c r="AC175" i="3"/>
  <c r="AD175" i="3" s="1"/>
  <c r="AA175" i="3" s="1"/>
  <c r="AC222" i="3"/>
  <c r="AD222" i="3" s="1"/>
  <c r="AA222" i="3" s="1"/>
  <c r="AC220" i="3"/>
  <c r="AD220" i="3" s="1"/>
  <c r="AA220" i="3" s="1"/>
  <c r="AC219" i="3"/>
  <c r="AD219" i="3" s="1"/>
  <c r="AA219" i="3" s="1"/>
  <c r="L46" i="6"/>
  <c r="P117" i="6" s="1"/>
  <c r="X18" i="6"/>
  <c r="I26" i="1"/>
  <c r="L14" i="9" s="1"/>
  <c r="D14" i="9"/>
  <c r="U18" i="6"/>
  <c r="R11" i="6"/>
  <c r="G19" i="1"/>
  <c r="J7" i="9" s="1"/>
  <c r="D7" i="9"/>
  <c r="G25" i="1"/>
  <c r="J13" i="9" s="1"/>
  <c r="D13" i="9"/>
  <c r="G30" i="1"/>
  <c r="J18" i="9" s="1"/>
  <c r="D18" i="9"/>
  <c r="G20" i="1"/>
  <c r="J8" i="9" s="1"/>
  <c r="D8" i="9"/>
  <c r="G24" i="1"/>
  <c r="J12" i="9" s="1"/>
  <c r="D12" i="9"/>
  <c r="AC138" i="3"/>
  <c r="AD138" i="3" s="1"/>
  <c r="AA138" i="3" s="1"/>
  <c r="AC158" i="3"/>
  <c r="AD158" i="3" s="1"/>
  <c r="AA158" i="3" s="1"/>
  <c r="Y288" i="3"/>
  <c r="AD288" i="3" s="1"/>
  <c r="AA288" i="3" s="1"/>
  <c r="AA98" i="3"/>
  <c r="AA22" i="3"/>
  <c r="AD45" i="3"/>
  <c r="AA45" i="3" s="1"/>
  <c r="X11" i="6"/>
  <c r="U11" i="6"/>
  <c r="Y290" i="3"/>
  <c r="AC290" i="3" s="1"/>
  <c r="AD290" i="3" s="1"/>
  <c r="AA290" i="3" s="1"/>
  <c r="AD165" i="3"/>
  <c r="AA165" i="3" s="1"/>
  <c r="O18" i="6"/>
  <c r="AC121" i="3"/>
  <c r="AD121" i="3" s="1"/>
  <c r="AA121" i="3" s="1"/>
  <c r="AC36" i="3"/>
  <c r="AD36" i="3" s="1"/>
  <c r="AA36" i="3" s="1"/>
  <c r="AC35" i="3"/>
  <c r="AD35" i="3" s="1"/>
  <c r="AA35" i="3" s="1"/>
  <c r="G11" i="1"/>
  <c r="J1" i="9" s="1"/>
  <c r="D1" i="9"/>
  <c r="AC111" i="3"/>
  <c r="AD111" i="3" s="1"/>
  <c r="AA111" i="3" s="1"/>
  <c r="AC81" i="3"/>
  <c r="AD81" i="3" s="1"/>
  <c r="AA81" i="3" s="1"/>
  <c r="AC16" i="3"/>
  <c r="AD16" i="3" s="1"/>
  <c r="AA16" i="3" s="1"/>
  <c r="H24" i="1"/>
  <c r="K12" i="9" s="1"/>
  <c r="F24" i="1"/>
  <c r="I12" i="9" s="1"/>
  <c r="I24" i="1"/>
  <c r="L12" i="9" s="1"/>
  <c r="E24" i="1"/>
  <c r="H12" i="9" s="1"/>
  <c r="AD89" i="3"/>
  <c r="AA89" i="3" s="1"/>
  <c r="Y280" i="3"/>
  <c r="AC280" i="3" s="1"/>
  <c r="AD280" i="3" s="1"/>
  <c r="AA280" i="3" s="1"/>
  <c r="AD187" i="3"/>
  <c r="AA187" i="3" s="1"/>
  <c r="Y281" i="3"/>
  <c r="D24" i="1"/>
  <c r="E26" i="1"/>
  <c r="H14" i="9" s="1"/>
  <c r="D26" i="1"/>
  <c r="G14" i="9" s="1"/>
  <c r="C26" i="1"/>
  <c r="F14" i="9" s="1"/>
  <c r="AC99" i="3"/>
  <c r="AD99" i="3" s="1"/>
  <c r="AA99" i="3" s="1"/>
  <c r="AC88" i="3"/>
  <c r="AD88" i="3" s="1"/>
  <c r="AA88" i="3" s="1"/>
  <c r="AD107" i="3"/>
  <c r="AA107" i="3" s="1"/>
  <c r="Y278" i="3"/>
  <c r="Y284" i="3"/>
  <c r="AC284" i="3" s="1"/>
  <c r="AD284" i="3" s="1"/>
  <c r="AA284" i="3" s="1"/>
  <c r="Y282" i="3"/>
  <c r="AC265" i="3"/>
  <c r="AD265" i="3" s="1"/>
  <c r="AA265" i="3" s="1"/>
  <c r="AC221" i="3"/>
  <c r="AD221" i="3" s="1"/>
  <c r="AA221" i="3" s="1"/>
  <c r="F19" i="1"/>
  <c r="I7" i="9" s="1"/>
  <c r="I19" i="1"/>
  <c r="L7" i="9" s="1"/>
  <c r="H19" i="1"/>
  <c r="K7" i="9" s="1"/>
  <c r="B19" i="1"/>
  <c r="E7" i="9" s="1"/>
  <c r="AA54" i="3"/>
  <c r="AC142" i="3"/>
  <c r="AD142" i="3" s="1"/>
  <c r="AA142" i="3" s="1"/>
  <c r="AC278" i="3"/>
  <c r="AC252" i="3"/>
  <c r="AD252" i="3" s="1"/>
  <c r="AA252" i="3" s="1"/>
  <c r="F75" i="6"/>
  <c r="J75" i="6"/>
  <c r="B26" i="1"/>
  <c r="E14" i="9" s="1"/>
  <c r="G26" i="1"/>
  <c r="J14" i="9" s="1"/>
  <c r="J79" i="6"/>
  <c r="D74" i="6"/>
  <c r="J74" i="6"/>
  <c r="J70" i="6"/>
  <c r="J62" i="6"/>
  <c r="C61" i="6"/>
  <c r="J61" i="6"/>
  <c r="F78" i="6"/>
  <c r="J78" i="6"/>
  <c r="I60" i="6"/>
  <c r="J60" i="6"/>
  <c r="F76" i="6"/>
  <c r="J76" i="6"/>
  <c r="J65" i="6"/>
  <c r="G65" i="6"/>
  <c r="I65" i="6"/>
  <c r="H65" i="6"/>
  <c r="J21" i="8" s="1"/>
  <c r="F11" i="1"/>
  <c r="I1" i="9" s="1"/>
  <c r="H26" i="1"/>
  <c r="K14" i="9" s="1"/>
  <c r="F26" i="1"/>
  <c r="I14" i="9" s="1"/>
  <c r="AC275" i="3"/>
  <c r="AD275" i="3" s="1"/>
  <c r="AA275" i="3" s="1"/>
  <c r="AD24" i="3"/>
  <c r="AA24" i="3" s="1"/>
  <c r="AD166" i="3"/>
  <c r="AA166" i="3" s="1"/>
  <c r="AC243" i="3"/>
  <c r="AD243" i="3" s="1"/>
  <c r="AA243" i="3" s="1"/>
  <c r="AC163" i="3"/>
  <c r="AD163" i="3" s="1"/>
  <c r="AA163" i="3" s="1"/>
  <c r="AC162" i="3"/>
  <c r="AD162" i="3" s="1"/>
  <c r="AA162" i="3" s="1"/>
  <c r="AC145" i="3"/>
  <c r="AD145" i="3" s="1"/>
  <c r="AA145" i="3" s="1"/>
  <c r="J64" i="4" s="1"/>
  <c r="K64" i="4" s="1"/>
  <c r="M64" i="4" s="1"/>
  <c r="AC141" i="3"/>
  <c r="AD141" i="3" s="1"/>
  <c r="AA141" i="3" s="1"/>
  <c r="D61" i="6"/>
  <c r="AC105" i="3"/>
  <c r="AD105" i="3" s="1"/>
  <c r="AA105" i="3" s="1"/>
  <c r="AC82" i="3"/>
  <c r="AD82" i="3" s="1"/>
  <c r="AA82" i="3" s="1"/>
  <c r="AC231" i="3"/>
  <c r="AD231" i="3" s="1"/>
  <c r="AA231" i="3" s="1"/>
  <c r="AC43" i="3"/>
  <c r="AD43" i="3" s="1"/>
  <c r="AA43" i="3" s="1"/>
  <c r="AC20" i="3"/>
  <c r="AD20" i="3" s="1"/>
  <c r="AA20" i="3" s="1"/>
  <c r="Y279" i="3"/>
  <c r="AD168" i="3"/>
  <c r="AA168" i="3" s="1"/>
  <c r="C60" i="6"/>
  <c r="I17" i="8"/>
  <c r="F60" i="6"/>
  <c r="AA66" i="3"/>
  <c r="D60" i="6"/>
  <c r="AC127" i="3"/>
  <c r="AD127" i="3" s="1"/>
  <c r="AA127" i="3" s="1"/>
  <c r="AD125" i="3"/>
  <c r="AA125" i="3" s="1"/>
  <c r="AC85" i="3"/>
  <c r="AD85" i="3" s="1"/>
  <c r="AA85" i="3" s="1"/>
  <c r="AC60" i="3"/>
  <c r="AD60" i="3" s="1"/>
  <c r="AA60" i="3" s="1"/>
  <c r="AC47" i="3"/>
  <c r="AD47" i="3" s="1"/>
  <c r="AA47" i="3" s="1"/>
  <c r="U46" i="6"/>
  <c r="P126" i="6" s="1"/>
  <c r="U48" i="6"/>
  <c r="Y277" i="3"/>
  <c r="Y276" i="3"/>
  <c r="AC276" i="3" s="1"/>
  <c r="AD276" i="3" s="1"/>
  <c r="AA276" i="3" s="1"/>
  <c r="I62" i="6"/>
  <c r="AC272" i="3"/>
  <c r="AD272" i="3" s="1"/>
  <c r="AA272" i="3" s="1"/>
  <c r="AC270" i="3"/>
  <c r="AD270" i="3" s="1"/>
  <c r="AA270" i="3" s="1"/>
  <c r="O27" i="6"/>
  <c r="AC268" i="3"/>
  <c r="AD268" i="3" s="1"/>
  <c r="AA268" i="3" s="1"/>
  <c r="AC267" i="3"/>
  <c r="AD267" i="3" s="1"/>
  <c r="AA267" i="3" s="1"/>
  <c r="AC266" i="3"/>
  <c r="AD266" i="3" s="1"/>
  <c r="AA266" i="3" s="1"/>
  <c r="AC262" i="3"/>
  <c r="AD262" i="3" s="1"/>
  <c r="AA262" i="3" s="1"/>
  <c r="AC258" i="3"/>
  <c r="AD258" i="3" s="1"/>
  <c r="AA258" i="3" s="1"/>
  <c r="AC196" i="3"/>
  <c r="AD196" i="3" s="1"/>
  <c r="AA196" i="3" s="1"/>
  <c r="J5" i="4"/>
  <c r="K5" i="4" s="1"/>
  <c r="M5" i="4" s="1"/>
  <c r="F11" i="6"/>
  <c r="Y234" i="3"/>
  <c r="AC234" i="3" s="1"/>
  <c r="AD234" i="3" s="1"/>
  <c r="AA234" i="3" s="1"/>
  <c r="D78" i="6"/>
  <c r="C76" i="6"/>
  <c r="H78" i="6"/>
  <c r="I78" i="6"/>
  <c r="C78" i="6"/>
  <c r="G78" i="6"/>
  <c r="A31" i="1"/>
  <c r="D76" i="6"/>
  <c r="I76" i="6"/>
  <c r="H76" i="6"/>
  <c r="H60" i="6"/>
  <c r="H62" i="6"/>
  <c r="J17" i="8" s="1"/>
  <c r="I61" i="6"/>
  <c r="H61" i="6"/>
  <c r="I58" i="6"/>
  <c r="I11" i="1" s="1"/>
  <c r="L1" i="9" s="1"/>
  <c r="I79" i="6"/>
  <c r="H11" i="1"/>
  <c r="K1" i="9" s="1"/>
  <c r="L22" i="1"/>
  <c r="N10" i="9" s="1"/>
  <c r="I25" i="1"/>
  <c r="L13" i="9" s="1"/>
  <c r="H25" i="1"/>
  <c r="K13" i="9" s="1"/>
  <c r="E25" i="1"/>
  <c r="H13" i="9" s="1"/>
  <c r="D25" i="1"/>
  <c r="G13" i="9" s="1"/>
  <c r="F25" i="1"/>
  <c r="I13" i="9" s="1"/>
  <c r="D30" i="1"/>
  <c r="G18" i="9" s="1"/>
  <c r="E30" i="1"/>
  <c r="H18" i="9" s="1"/>
  <c r="I30" i="1"/>
  <c r="L18" i="9" s="1"/>
  <c r="F30" i="1"/>
  <c r="I18" i="9" s="1"/>
  <c r="H30" i="1"/>
  <c r="K18" i="9" s="1"/>
  <c r="F20" i="1"/>
  <c r="I8" i="9" s="1"/>
  <c r="H20" i="1"/>
  <c r="K8" i="9" s="1"/>
  <c r="I20" i="1"/>
  <c r="L8" i="9" s="1"/>
  <c r="AC256" i="3"/>
  <c r="AD256" i="3" s="1"/>
  <c r="AA256" i="3" s="1"/>
  <c r="AC253" i="3"/>
  <c r="AD253" i="3" s="1"/>
  <c r="AA253" i="3" s="1"/>
  <c r="AC251" i="3"/>
  <c r="AD251" i="3" s="1"/>
  <c r="AA251" i="3" s="1"/>
  <c r="AC249" i="3"/>
  <c r="AD249" i="3" s="1"/>
  <c r="AA249" i="3" s="1"/>
  <c r="AC248" i="3"/>
  <c r="AD248" i="3" s="1"/>
  <c r="AA248" i="3" s="1"/>
  <c r="AC246" i="3"/>
  <c r="AD246" i="3" s="1"/>
  <c r="AA246" i="3" s="1"/>
  <c r="AC245" i="3"/>
  <c r="AD245" i="3" s="1"/>
  <c r="AA245" i="3" s="1"/>
  <c r="AC236" i="3"/>
  <c r="AD236" i="3" s="1"/>
  <c r="AA236" i="3" s="1"/>
  <c r="AC194" i="3"/>
  <c r="AD194" i="3" s="1"/>
  <c r="AA194" i="3" s="1"/>
  <c r="AC192" i="3"/>
  <c r="AD192" i="3" s="1"/>
  <c r="AA192" i="3" s="1"/>
  <c r="AD31" i="3"/>
  <c r="AA31" i="3" s="1"/>
  <c r="AA104" i="3"/>
  <c r="AA64" i="3"/>
  <c r="AD136" i="3"/>
  <c r="AA136" i="3" s="1"/>
  <c r="AD210" i="3"/>
  <c r="AA210" i="3" s="1"/>
  <c r="AD44" i="3"/>
  <c r="AA44" i="3" s="1"/>
  <c r="Y239" i="3"/>
  <c r="Y237" i="3"/>
  <c r="AC237" i="3" s="1"/>
  <c r="AD237" i="3" s="1"/>
  <c r="AA237" i="3" s="1"/>
  <c r="AD37" i="3"/>
  <c r="AA37" i="3" s="1"/>
  <c r="Y318" i="3"/>
  <c r="AD318" i="3" s="1"/>
  <c r="AA318" i="3" s="1"/>
  <c r="Y320" i="3"/>
  <c r="AC320" i="3" s="1"/>
  <c r="AD320" i="3" s="1"/>
  <c r="AA320" i="3" s="1"/>
  <c r="Y292" i="3"/>
  <c r="Y329" i="3"/>
  <c r="AD72" i="3"/>
  <c r="AA72" i="3" s="1"/>
  <c r="AD293" i="3"/>
  <c r="AA293" i="3" s="1"/>
  <c r="AA33" i="3"/>
  <c r="Y328" i="3"/>
  <c r="Y330" i="3"/>
  <c r="AC330" i="3" s="1"/>
  <c r="AD330" i="3" s="1"/>
  <c r="AA330" i="3" s="1"/>
  <c r="Y305" i="3"/>
  <c r="AD305" i="3" s="1"/>
  <c r="AA305" i="3" s="1"/>
  <c r="Y159" i="3"/>
  <c r="AC159" i="3" s="1"/>
  <c r="AD159" i="3" s="1"/>
  <c r="AA159" i="3" s="1"/>
  <c r="AD71" i="3"/>
  <c r="AA71" i="3" s="1"/>
  <c r="AD17" i="3"/>
  <c r="AA17" i="3" s="1"/>
  <c r="AD69" i="3"/>
  <c r="AA69" i="3" s="1"/>
  <c r="Y302" i="3"/>
  <c r="Y295" i="3"/>
  <c r="AD295" i="3" s="1"/>
  <c r="AA295" i="3" s="1"/>
  <c r="Y304" i="3"/>
  <c r="AD304" i="3" s="1"/>
  <c r="AA304" i="3" s="1"/>
  <c r="AD30" i="3"/>
  <c r="AA30" i="3" s="1"/>
  <c r="Y113" i="3"/>
  <c r="AC113" i="3" s="1"/>
  <c r="AD113" i="3" s="1"/>
  <c r="AA113" i="3" s="1"/>
  <c r="Y311" i="3"/>
  <c r="AC311" i="3" s="1"/>
  <c r="AD311" i="3" s="1"/>
  <c r="AA311" i="3" s="1"/>
  <c r="Y298" i="3"/>
  <c r="AD298" i="3" s="1"/>
  <c r="AA298" i="3" s="1"/>
  <c r="Y285" i="3"/>
  <c r="AD285" i="3" s="1"/>
  <c r="AA285" i="3" s="1"/>
  <c r="Y317" i="3"/>
  <c r="Y297" i="3"/>
  <c r="Y300" i="3"/>
  <c r="AC300" i="3" s="1"/>
  <c r="AD300" i="3" s="1"/>
  <c r="AA300" i="3" s="1"/>
  <c r="Y325" i="3"/>
  <c r="AD325" i="3" s="1"/>
  <c r="AA325" i="3" s="1"/>
  <c r="Y303" i="3"/>
  <c r="AC303" i="3" s="1"/>
  <c r="AD303" i="3" s="1"/>
  <c r="AA303" i="3" s="1"/>
  <c r="Y331" i="3"/>
  <c r="AD331" i="3" s="1"/>
  <c r="AA331" i="3" s="1"/>
  <c r="Y296" i="3"/>
  <c r="AC296" i="3" s="1"/>
  <c r="AD296" i="3" s="1"/>
  <c r="AA296" i="3" s="1"/>
  <c r="Y313" i="3"/>
  <c r="AC313" i="3" s="1"/>
  <c r="AD313" i="3" s="1"/>
  <c r="AA313" i="3" s="1"/>
  <c r="AD171" i="3"/>
  <c r="AA171" i="3" s="1"/>
  <c r="AC51" i="3"/>
  <c r="AD51" i="3" s="1"/>
  <c r="AA51" i="3" s="1"/>
  <c r="AC129" i="3"/>
  <c r="AD129" i="3" s="1"/>
  <c r="AA129" i="3" s="1"/>
  <c r="AC58" i="3"/>
  <c r="AD58" i="3" s="1"/>
  <c r="AA58" i="3" s="1"/>
  <c r="J4" i="4" s="1"/>
  <c r="K4" i="4" s="1"/>
  <c r="M4" i="4" s="1"/>
  <c r="I70" i="6"/>
  <c r="H70" i="6"/>
  <c r="AC242" i="3"/>
  <c r="AD242" i="3" s="1"/>
  <c r="AA242" i="3" s="1"/>
  <c r="AC239" i="3"/>
  <c r="AC218" i="3"/>
  <c r="AD218" i="3" s="1"/>
  <c r="AA218" i="3" s="1"/>
  <c r="AC217" i="3"/>
  <c r="AD217" i="3" s="1"/>
  <c r="AA217" i="3" s="1"/>
  <c r="AC128" i="3"/>
  <c r="AD128" i="3" s="1"/>
  <c r="AA128" i="3" s="1"/>
  <c r="Y301" i="3"/>
  <c r="Y289" i="3"/>
  <c r="Y307" i="3"/>
  <c r="AC307" i="3" s="1"/>
  <c r="AD307" i="3" s="1"/>
  <c r="AA307" i="3" s="1"/>
  <c r="Y322" i="3"/>
  <c r="AD322" i="3" s="1"/>
  <c r="AA322" i="3" s="1"/>
  <c r="Y184" i="3"/>
  <c r="AC184" i="3" s="1"/>
  <c r="AD184" i="3" s="1"/>
  <c r="AA184" i="3" s="1"/>
  <c r="Y332" i="3"/>
  <c r="AD332" i="3" s="1"/>
  <c r="AA332" i="3" s="1"/>
  <c r="Y333" i="3"/>
  <c r="AC333" i="3" s="1"/>
  <c r="AD333" i="3" s="1"/>
  <c r="AA333" i="3" s="1"/>
  <c r="Y310" i="3"/>
  <c r="AC310" i="3" s="1"/>
  <c r="AD310" i="3" s="1"/>
  <c r="AA310" i="3" s="1"/>
  <c r="Y308" i="3"/>
  <c r="AD308" i="3" s="1"/>
  <c r="AA308" i="3" s="1"/>
  <c r="Y312" i="3"/>
  <c r="AD312" i="3" s="1"/>
  <c r="AA312" i="3" s="1"/>
  <c r="Y326" i="3"/>
  <c r="AC326" i="3" s="1"/>
  <c r="AD326" i="3" s="1"/>
  <c r="AA326" i="3" s="1"/>
  <c r="Y327" i="3"/>
  <c r="C70" i="6"/>
  <c r="AA264" i="3"/>
  <c r="Y316" i="3"/>
  <c r="AD316" i="3" s="1"/>
  <c r="AA316" i="3" s="1"/>
  <c r="Y323" i="3"/>
  <c r="AD323" i="3" s="1"/>
  <c r="AA323" i="3" s="1"/>
  <c r="Y314" i="3"/>
  <c r="AC314" i="3" s="1"/>
  <c r="AD314" i="3" s="1"/>
  <c r="AA314" i="3" s="1"/>
  <c r="Y286" i="3"/>
  <c r="Y306" i="3"/>
  <c r="Y315" i="3"/>
  <c r="AC315" i="3" s="1"/>
  <c r="AD315" i="3" s="1"/>
  <c r="AA315" i="3" s="1"/>
  <c r="Y299" i="3"/>
  <c r="AC299" i="3" s="1"/>
  <c r="AD299" i="3" s="1"/>
  <c r="AA299" i="3" s="1"/>
  <c r="Y287" i="3"/>
  <c r="Y294" i="3"/>
  <c r="AC193" i="3"/>
  <c r="AD193" i="3" s="1"/>
  <c r="AA193" i="3" s="1"/>
  <c r="Y190" i="3"/>
  <c r="AC183" i="3"/>
  <c r="AD183" i="3" s="1"/>
  <c r="AA183" i="3" s="1"/>
  <c r="AC181" i="3"/>
  <c r="AD181" i="3" s="1"/>
  <c r="AA181" i="3" s="1"/>
  <c r="O12" i="6"/>
  <c r="X12" i="6"/>
  <c r="F12" i="6"/>
  <c r="U12" i="6"/>
  <c r="AC109" i="3"/>
  <c r="AD109" i="3" s="1"/>
  <c r="AA109" i="3" s="1"/>
  <c r="J197" i="4" s="1"/>
  <c r="K197" i="4" s="1"/>
  <c r="M197" i="4" s="1"/>
  <c r="R12" i="6"/>
  <c r="AC132" i="3"/>
  <c r="AD132" i="3" s="1"/>
  <c r="AA132" i="3" s="1"/>
  <c r="AC123" i="3"/>
  <c r="AD123" i="3" s="1"/>
  <c r="AA123" i="3" s="1"/>
  <c r="AC120" i="3"/>
  <c r="AD120" i="3" s="1"/>
  <c r="AA120" i="3" s="1"/>
  <c r="AC119" i="3"/>
  <c r="AD119" i="3" s="1"/>
  <c r="AA119" i="3" s="1"/>
  <c r="AD86" i="3"/>
  <c r="AA86" i="3" s="1"/>
  <c r="F74" i="6"/>
  <c r="G76" i="6"/>
  <c r="A29" i="1"/>
  <c r="AA46" i="3"/>
  <c r="Y106" i="3"/>
  <c r="H74" i="6"/>
  <c r="D62" i="6"/>
  <c r="F17" i="8" s="1"/>
  <c r="C62" i="6"/>
  <c r="E17" i="8" s="1"/>
  <c r="AC57" i="3"/>
  <c r="AD57" i="3" s="1"/>
  <c r="AA57" i="3" s="1"/>
  <c r="AC52" i="3"/>
  <c r="AD52" i="3" s="1"/>
  <c r="AA52" i="3" s="1"/>
  <c r="W486" i="2"/>
  <c r="W494" i="2" s="1"/>
  <c r="AC469" i="2" s="1"/>
  <c r="P37" i="6" s="1"/>
  <c r="P101" i="6" s="1"/>
  <c r="U487" i="2"/>
  <c r="U488" i="2" s="1"/>
  <c r="R487" i="2"/>
  <c r="R488" i="2" s="1"/>
  <c r="T487" i="2"/>
  <c r="T488" i="2" s="1"/>
  <c r="Y26" i="3"/>
  <c r="S487" i="2"/>
  <c r="S488" i="2" s="1"/>
  <c r="AA13" i="3"/>
  <c r="C79" i="6"/>
  <c r="A13" i="1"/>
  <c r="G60" i="6"/>
  <c r="A14" i="1"/>
  <c r="G61" i="6"/>
  <c r="I74" i="6"/>
  <c r="H79" i="6"/>
  <c r="AA263" i="3"/>
  <c r="R553" i="2"/>
  <c r="R554" i="2" s="1"/>
  <c r="V520" i="2"/>
  <c r="V521" i="2" s="1"/>
  <c r="I12" i="6"/>
  <c r="V454" i="2"/>
  <c r="V455" i="2" s="1"/>
  <c r="U553" i="2"/>
  <c r="U554" i="2" s="1"/>
  <c r="V553" i="2"/>
  <c r="V554" i="2" s="1"/>
  <c r="AA247" i="3"/>
  <c r="AD110" i="3"/>
  <c r="AA110" i="3" s="1"/>
  <c r="C74" i="6"/>
  <c r="C30" i="1"/>
  <c r="F18" i="9" s="1"/>
  <c r="B30" i="1"/>
  <c r="E18" i="9" s="1"/>
  <c r="U223" i="2"/>
  <c r="U224" i="2" s="1"/>
  <c r="AD188" i="3"/>
  <c r="AA188" i="3" s="1"/>
  <c r="AD84" i="3"/>
  <c r="AA84" i="3" s="1"/>
  <c r="H75" i="6"/>
  <c r="V223" i="2"/>
  <c r="V224" i="2" s="1"/>
  <c r="T388" i="2"/>
  <c r="T389" i="2" s="1"/>
  <c r="T553" i="2"/>
  <c r="T554" i="2" s="1"/>
  <c r="W552" i="2"/>
  <c r="W560" i="2" s="1"/>
  <c r="AC535" i="2" s="1"/>
  <c r="R37" i="6" s="1"/>
  <c r="P103" i="6" s="1"/>
  <c r="U388" i="2"/>
  <c r="U389" i="2" s="1"/>
  <c r="V619" i="2"/>
  <c r="V620" i="2" s="1"/>
  <c r="R388" i="2"/>
  <c r="R389" i="2" s="1"/>
  <c r="S223" i="2"/>
  <c r="S224" i="2" s="1"/>
  <c r="S388" i="2"/>
  <c r="S389" i="2" s="1"/>
  <c r="S190" i="2"/>
  <c r="S191" i="2" s="1"/>
  <c r="W222" i="2"/>
  <c r="W230" i="2" s="1"/>
  <c r="AC205" i="2" s="1"/>
  <c r="F14" i="6" s="1"/>
  <c r="R223" i="2"/>
  <c r="R224" i="2" s="1"/>
  <c r="W387" i="2"/>
  <c r="W395" i="2" s="1"/>
  <c r="AC370" i="2" s="1"/>
  <c r="F19" i="6" s="1"/>
  <c r="R355" i="2"/>
  <c r="R356" i="2" s="1"/>
  <c r="U289" i="2"/>
  <c r="U290" i="2" s="1"/>
  <c r="AD116" i="3"/>
  <c r="AA116" i="3" s="1"/>
  <c r="C44" i="6"/>
  <c r="D75" i="6"/>
  <c r="C75" i="6"/>
  <c r="I75" i="6"/>
  <c r="I11" i="6"/>
  <c r="G79" i="6"/>
  <c r="A32" i="1"/>
  <c r="G75" i="6"/>
  <c r="A28" i="1"/>
  <c r="B48" i="6"/>
  <c r="P127" i="6" s="1"/>
  <c r="X17" i="6"/>
  <c r="U16" i="6"/>
  <c r="J54" i="6"/>
  <c r="P135" i="6" s="1"/>
  <c r="F68" i="6"/>
  <c r="S355" i="2"/>
  <c r="S356" i="2" s="1"/>
  <c r="P43" i="6"/>
  <c r="H157" i="6" s="1"/>
  <c r="R17" i="6"/>
  <c r="O17" i="6"/>
  <c r="I8" i="6"/>
  <c r="A15" i="1"/>
  <c r="G62" i="6"/>
  <c r="I46" i="6"/>
  <c r="P114" i="6" s="1"/>
  <c r="H48" i="6"/>
  <c r="I48" i="6"/>
  <c r="U619" i="2"/>
  <c r="U620" i="2" s="1"/>
  <c r="O8" i="6"/>
  <c r="H54" i="6"/>
  <c r="P133" i="6" s="1"/>
  <c r="O15" i="6"/>
  <c r="U15" i="6"/>
  <c r="I10" i="6"/>
  <c r="D44" i="6"/>
  <c r="R16" i="6"/>
  <c r="A23" i="1"/>
  <c r="G70" i="6"/>
  <c r="R289" i="2"/>
  <c r="R290" i="2" s="1"/>
  <c r="C25" i="1"/>
  <c r="F13" i="9" s="1"/>
  <c r="B25" i="1"/>
  <c r="E13" i="9" s="1"/>
  <c r="A27" i="1"/>
  <c r="G74" i="6"/>
  <c r="U14" i="6"/>
  <c r="H46" i="6"/>
  <c r="P113" i="6" s="1"/>
  <c r="K47" i="6"/>
  <c r="S289" i="2"/>
  <c r="S290" i="2" s="1"/>
  <c r="J48" i="6"/>
  <c r="X16" i="6"/>
  <c r="B20" i="1"/>
  <c r="E8" i="9" s="1"/>
  <c r="U13" i="6"/>
  <c r="G54" i="6"/>
  <c r="P132" i="6" s="1"/>
  <c r="G46" i="6"/>
  <c r="P112" i="6" s="1"/>
  <c r="X13" i="6"/>
  <c r="U190" i="2"/>
  <c r="U191" i="2" s="1"/>
  <c r="I21" i="8"/>
  <c r="A18" i="1"/>
  <c r="D6" i="9" s="1"/>
  <c r="K21" i="8"/>
  <c r="C65" i="6"/>
  <c r="E21" i="8" s="1"/>
  <c r="T289" i="2"/>
  <c r="T290" i="2" s="1"/>
  <c r="R454" i="2"/>
  <c r="R455" i="2" s="1"/>
  <c r="V355" i="2"/>
  <c r="V356" i="2" s="1"/>
  <c r="T454" i="2"/>
  <c r="T455" i="2" s="1"/>
  <c r="V190" i="2"/>
  <c r="V191" i="2" s="1"/>
  <c r="U520" i="2"/>
  <c r="U521" i="2" s="1"/>
  <c r="T355" i="2"/>
  <c r="T356" i="2" s="1"/>
  <c r="S454" i="2"/>
  <c r="S455" i="2" s="1"/>
  <c r="U454" i="2"/>
  <c r="U455" i="2" s="1"/>
  <c r="F10" i="6"/>
  <c r="C10" i="6"/>
  <c r="R619" i="2"/>
  <c r="R620" i="2" s="1"/>
  <c r="T619" i="2"/>
  <c r="T620" i="2" s="1"/>
  <c r="R8" i="6"/>
  <c r="R190" i="2"/>
  <c r="R191" i="2" s="1"/>
  <c r="R520" i="2"/>
  <c r="R521" i="2" s="1"/>
  <c r="B11" i="1"/>
  <c r="E1" i="9" s="1"/>
  <c r="B47" i="6"/>
  <c r="P107" i="6" s="1"/>
  <c r="T256" i="2"/>
  <c r="T257" i="2" s="1"/>
  <c r="U322" i="2"/>
  <c r="U323" i="2" s="1"/>
  <c r="C11" i="6"/>
  <c r="C12" i="6"/>
  <c r="F43" i="6"/>
  <c r="H107" i="6" s="1"/>
  <c r="S520" i="2"/>
  <c r="S521" i="2" s="1"/>
  <c r="V652" i="2"/>
  <c r="V653" i="2" s="1"/>
  <c r="T190" i="2"/>
  <c r="T191" i="2" s="1"/>
  <c r="C21" i="6"/>
  <c r="O43" i="6"/>
  <c r="H152" i="6" s="1"/>
  <c r="W354" i="2"/>
  <c r="W362" i="2" s="1"/>
  <c r="AC337" i="2" s="1"/>
  <c r="L37" i="6" s="1"/>
  <c r="S322" i="2"/>
  <c r="S323" i="2" s="1"/>
  <c r="W519" i="2"/>
  <c r="W527" i="2" s="1"/>
  <c r="AC502" i="2" s="1"/>
  <c r="Q37" i="6" s="1"/>
  <c r="P102" i="6" s="1"/>
  <c r="W321" i="2"/>
  <c r="W329" i="2" s="1"/>
  <c r="AC304" i="2" s="1"/>
  <c r="K37" i="6" s="1"/>
  <c r="R322" i="2"/>
  <c r="T520" i="2"/>
  <c r="T521" i="2" s="1"/>
  <c r="V322" i="2"/>
  <c r="V323" i="2" s="1"/>
  <c r="T322" i="2"/>
  <c r="T323" i="2" s="1"/>
  <c r="S619" i="2"/>
  <c r="S620" i="2" s="1"/>
  <c r="U652" i="2"/>
  <c r="U653" i="2" s="1"/>
  <c r="H43" i="6"/>
  <c r="F66" i="6" s="1"/>
  <c r="E19" i="1" s="1"/>
  <c r="H7" i="9" s="1"/>
  <c r="C14" i="6"/>
  <c r="W288" i="2"/>
  <c r="W453" i="2"/>
  <c r="W461" i="2" s="1"/>
  <c r="AC436" i="2" s="1"/>
  <c r="F21" i="6" s="1"/>
  <c r="W618" i="2"/>
  <c r="W626" i="2" s="1"/>
  <c r="AC601" i="2" s="1"/>
  <c r="F26" i="6" s="1"/>
  <c r="W189" i="2"/>
  <c r="W197" i="2" s="1"/>
  <c r="AC172" i="2" s="1"/>
  <c r="T652" i="2"/>
  <c r="T653" i="2" s="1"/>
  <c r="R652" i="2"/>
  <c r="W651" i="2"/>
  <c r="W659" i="2" s="1"/>
  <c r="AC634" i="2" s="1"/>
  <c r="F27" i="6" s="1"/>
  <c r="S652" i="2"/>
  <c r="S653" i="2" s="1"/>
  <c r="U256" i="2"/>
  <c r="U257" i="2" s="1"/>
  <c r="R256" i="2"/>
  <c r="W255" i="2"/>
  <c r="W263" i="2" s="1"/>
  <c r="AC238" i="2" s="1"/>
  <c r="F15" i="6" s="1"/>
  <c r="C8" i="6"/>
  <c r="B43" i="6"/>
  <c r="F58" i="6" s="1"/>
  <c r="E11" i="1" s="1"/>
  <c r="H1" i="9" s="1"/>
  <c r="F9" i="6"/>
  <c r="C37" i="6"/>
  <c r="S256" i="2"/>
  <c r="S257" i="2" s="1"/>
  <c r="V289" i="2"/>
  <c r="V290" i="2" s="1"/>
  <c r="F8" i="6"/>
  <c r="B37" i="6"/>
  <c r="C9" i="6"/>
  <c r="C43" i="6"/>
  <c r="V256" i="2"/>
  <c r="V257" i="2" s="1"/>
  <c r="T43" i="6"/>
  <c r="H177" i="6" s="1"/>
  <c r="C26" i="6"/>
  <c r="Q43" i="6"/>
  <c r="H162" i="6" s="1"/>
  <c r="C23" i="6"/>
  <c r="N43" i="6"/>
  <c r="H147" i="6" s="1"/>
  <c r="C20" i="6"/>
  <c r="S43" i="6"/>
  <c r="H172" i="6" s="1"/>
  <c r="C25" i="6"/>
  <c r="U355" i="2"/>
  <c r="U356" i="2" s="1"/>
  <c r="R43" i="6"/>
  <c r="H167" i="6" s="1"/>
  <c r="C24" i="6"/>
  <c r="R421" i="2"/>
  <c r="R422" i="2" s="1"/>
  <c r="W420" i="2"/>
  <c r="W428" i="2" s="1"/>
  <c r="AC403" i="2" s="1"/>
  <c r="F20" i="6" s="1"/>
  <c r="T421" i="2"/>
  <c r="T422" i="2" s="1"/>
  <c r="U421" i="2"/>
  <c r="U422" i="2" s="1"/>
  <c r="C18" i="6"/>
  <c r="L43" i="6"/>
  <c r="H137" i="6" s="1"/>
  <c r="U43" i="6"/>
  <c r="H182" i="6" s="1"/>
  <c r="C27" i="6"/>
  <c r="S421" i="2"/>
  <c r="S422" i="2" s="1"/>
  <c r="C19" i="6"/>
  <c r="M43" i="6"/>
  <c r="H142" i="6" s="1"/>
  <c r="V421" i="2"/>
  <c r="V422" i="2" s="1"/>
  <c r="G43" i="6"/>
  <c r="F65" i="6" s="1"/>
  <c r="C13" i="6"/>
  <c r="S586" i="2"/>
  <c r="S587" i="2" s="1"/>
  <c r="V586" i="2"/>
  <c r="V587" i="2" s="1"/>
  <c r="T586" i="2"/>
  <c r="T587" i="2" s="1"/>
  <c r="U586" i="2"/>
  <c r="U587" i="2" s="1"/>
  <c r="C15" i="6"/>
  <c r="I43" i="6"/>
  <c r="F67" i="6" s="1"/>
  <c r="E20" i="1" s="1"/>
  <c r="H8" i="9" s="1"/>
  <c r="R586" i="2"/>
  <c r="W585" i="2"/>
  <c r="W593" i="2" s="1"/>
  <c r="AC568" i="2" s="1"/>
  <c r="S37" i="6" s="1"/>
  <c r="P104" i="6" s="1"/>
  <c r="J210" i="4" l="1"/>
  <c r="K210" i="4" s="1"/>
  <c r="M210" i="4" s="1"/>
  <c r="J8" i="4"/>
  <c r="K8" i="4" s="1"/>
  <c r="M8" i="4" s="1"/>
  <c r="E67" i="6" s="1"/>
  <c r="J6" i="4"/>
  <c r="K6" i="4" s="1"/>
  <c r="M6" i="4" s="1"/>
  <c r="J7" i="4"/>
  <c r="K7" i="4" s="1"/>
  <c r="M7" i="4" s="1"/>
  <c r="D12" i="1"/>
  <c r="G2" i="9" s="1"/>
  <c r="D2" i="9"/>
  <c r="G12" i="1"/>
  <c r="J2" i="9" s="1"/>
  <c r="C12" i="1"/>
  <c r="F2" i="9" s="1"/>
  <c r="I12" i="1"/>
  <c r="L2" i="9" s="1"/>
  <c r="H12" i="1"/>
  <c r="K2" i="9" s="1"/>
  <c r="B12" i="1"/>
  <c r="E2" i="9" s="1"/>
  <c r="J208" i="4"/>
  <c r="K208" i="4" s="1"/>
  <c r="M208" i="4" s="1"/>
  <c r="F16" i="6"/>
  <c r="J206" i="4"/>
  <c r="K206" i="4" s="1"/>
  <c r="M206" i="4" s="1"/>
  <c r="J209" i="4"/>
  <c r="K209" i="4" s="1"/>
  <c r="M209" i="4" s="1"/>
  <c r="J18" i="4"/>
  <c r="K18" i="4" s="1"/>
  <c r="M18" i="4" s="1"/>
  <c r="J17" i="4"/>
  <c r="K17" i="4" s="1"/>
  <c r="M17" i="4" s="1"/>
  <c r="B21" i="1"/>
  <c r="E9" i="9" s="1"/>
  <c r="A175" i="2"/>
  <c r="A208" i="2" s="1"/>
  <c r="A241" i="2" s="1"/>
  <c r="A274" i="2" s="1"/>
  <c r="A307" i="2" s="1"/>
  <c r="A340" i="2" s="1"/>
  <c r="A373" i="2" s="1"/>
  <c r="A406" i="2" s="1"/>
  <c r="A439" i="2" s="1"/>
  <c r="A472" i="2" s="1"/>
  <c r="A505" i="2" s="1"/>
  <c r="A538" i="2" s="1"/>
  <c r="A571" i="2" s="1"/>
  <c r="A604" i="2" s="1"/>
  <c r="A637" i="2" s="1"/>
  <c r="O139" i="2"/>
  <c r="O149" i="2"/>
  <c r="F21" i="1"/>
  <c r="I9" i="9" s="1"/>
  <c r="I21" i="1"/>
  <c r="L9" i="9" s="1"/>
  <c r="H183" i="2"/>
  <c r="H216" i="2" s="1"/>
  <c r="H249" i="2" s="1"/>
  <c r="H282" i="2" s="1"/>
  <c r="H315" i="2" s="1"/>
  <c r="H348" i="2" s="1"/>
  <c r="H381" i="2" s="1"/>
  <c r="H414" i="2" s="1"/>
  <c r="H447" i="2" s="1"/>
  <c r="H480" i="2" s="1"/>
  <c r="H513" i="2" s="1"/>
  <c r="H546" i="2" s="1"/>
  <c r="H579" i="2" s="1"/>
  <c r="H612" i="2" s="1"/>
  <c r="H645" i="2" s="1"/>
  <c r="O145" i="2"/>
  <c r="O155" i="2"/>
  <c r="A150" i="2"/>
  <c r="O120" i="2"/>
  <c r="O110" i="2"/>
  <c r="A191" i="2"/>
  <c r="A224" i="2" s="1"/>
  <c r="A257" i="2" s="1"/>
  <c r="A290" i="2" s="1"/>
  <c r="A323" i="2" s="1"/>
  <c r="A356" i="2" s="1"/>
  <c r="A389" i="2" s="1"/>
  <c r="A422" i="2" s="1"/>
  <c r="A455" i="2" s="1"/>
  <c r="A488" i="2" s="1"/>
  <c r="A521" i="2" s="1"/>
  <c r="A554" i="2" s="1"/>
  <c r="A587" i="2" s="1"/>
  <c r="A620" i="2" s="1"/>
  <c r="A653" i="2" s="1"/>
  <c r="O147" i="2"/>
  <c r="O157" i="2"/>
  <c r="G21" i="1"/>
  <c r="J9" i="9" s="1"/>
  <c r="E21" i="1"/>
  <c r="H142" i="2"/>
  <c r="O118" i="2"/>
  <c r="O108" i="2"/>
  <c r="H21" i="1"/>
  <c r="K9" i="9" s="1"/>
  <c r="D70" i="6"/>
  <c r="P97" i="6"/>
  <c r="D69" i="6"/>
  <c r="C22" i="1" s="1"/>
  <c r="F10" i="9" s="1"/>
  <c r="P96" i="6"/>
  <c r="AC321" i="3"/>
  <c r="AD321" i="3" s="1"/>
  <c r="AA321" i="3" s="1"/>
  <c r="J122" i="4"/>
  <c r="K122" i="4" s="1"/>
  <c r="M122" i="4" s="1"/>
  <c r="J105" i="4"/>
  <c r="K105" i="4" s="1"/>
  <c r="M105" i="4" s="1"/>
  <c r="J194" i="4"/>
  <c r="K194" i="4" s="1"/>
  <c r="M194" i="4" s="1"/>
  <c r="J124" i="4"/>
  <c r="K124" i="4" s="1"/>
  <c r="M124" i="4" s="1"/>
  <c r="J134" i="4"/>
  <c r="K134" i="4" s="1"/>
  <c r="M134" i="4" s="1"/>
  <c r="H92" i="6"/>
  <c r="F59" i="6"/>
  <c r="E12" i="1" s="1"/>
  <c r="H2" i="9" s="1"/>
  <c r="J202" i="4"/>
  <c r="K202" i="4" s="1"/>
  <c r="M202" i="4" s="1"/>
  <c r="J205" i="4"/>
  <c r="K205" i="4" s="1"/>
  <c r="M205" i="4" s="1"/>
  <c r="J212" i="4"/>
  <c r="K212" i="4" s="1"/>
  <c r="M212" i="4" s="1"/>
  <c r="J200" i="4"/>
  <c r="K200" i="4" s="1"/>
  <c r="M200" i="4" s="1"/>
  <c r="J207" i="4"/>
  <c r="K207" i="4" s="1"/>
  <c r="M207" i="4" s="1"/>
  <c r="J204" i="4"/>
  <c r="K204" i="4" s="1"/>
  <c r="M204" i="4" s="1"/>
  <c r="J211" i="4"/>
  <c r="K211" i="4" s="1"/>
  <c r="M211" i="4" s="1"/>
  <c r="J24" i="4"/>
  <c r="K24" i="4" s="1"/>
  <c r="M24" i="4" s="1"/>
  <c r="J199" i="4"/>
  <c r="K199" i="4" s="1"/>
  <c r="M199" i="4" s="1"/>
  <c r="J23" i="4"/>
  <c r="K23" i="4" s="1"/>
  <c r="M23" i="4" s="1"/>
  <c r="J138" i="4"/>
  <c r="K138" i="4" s="1"/>
  <c r="M138" i="4" s="1"/>
  <c r="N37" i="6"/>
  <c r="P99" i="6" s="1"/>
  <c r="F25" i="6"/>
  <c r="M37" i="6"/>
  <c r="P98" i="6" s="1"/>
  <c r="T37" i="6"/>
  <c r="P105" i="6" s="1"/>
  <c r="O37" i="6"/>
  <c r="P100" i="6" s="1"/>
  <c r="F22" i="6"/>
  <c r="F18" i="6"/>
  <c r="F23" i="6"/>
  <c r="F24" i="6"/>
  <c r="U37" i="6"/>
  <c r="J193" i="4"/>
  <c r="K193" i="4" s="1"/>
  <c r="M193" i="4" s="1"/>
  <c r="W455" i="2"/>
  <c r="AC443" i="2" s="1"/>
  <c r="O44" i="6" s="1"/>
  <c r="W521" i="2"/>
  <c r="AC509" i="2" s="1"/>
  <c r="Q44" i="6" s="1"/>
  <c r="W389" i="2"/>
  <c r="AC377" i="2" s="1"/>
  <c r="I19" i="6" s="1"/>
  <c r="J80" i="4"/>
  <c r="K80" i="4" s="1"/>
  <c r="M80" i="4" s="1"/>
  <c r="W620" i="2"/>
  <c r="AC608" i="2" s="1"/>
  <c r="I26" i="6" s="1"/>
  <c r="W422" i="2"/>
  <c r="AC410" i="2" s="1"/>
  <c r="N44" i="6" s="1"/>
  <c r="W554" i="2"/>
  <c r="AC542" i="2" s="1"/>
  <c r="I24" i="6" s="1"/>
  <c r="W488" i="2"/>
  <c r="AC476" i="2" s="1"/>
  <c r="I22" i="6" s="1"/>
  <c r="J22" i="4"/>
  <c r="K22" i="4" s="1"/>
  <c r="M22" i="4" s="1"/>
  <c r="AC327" i="3"/>
  <c r="AD327" i="3" s="1"/>
  <c r="AA327" i="3" s="1"/>
  <c r="J67" i="4"/>
  <c r="K67" i="4" s="1"/>
  <c r="M67" i="4" s="1"/>
  <c r="C31" i="1"/>
  <c r="F19" i="9" s="1"/>
  <c r="D19" i="9"/>
  <c r="G27" i="1"/>
  <c r="J15" i="9" s="1"/>
  <c r="D15" i="9"/>
  <c r="G13" i="1"/>
  <c r="J3" i="9" s="1"/>
  <c r="D3" i="9"/>
  <c r="G28" i="1"/>
  <c r="J16" i="9" s="1"/>
  <c r="D16" i="9"/>
  <c r="G29" i="1"/>
  <c r="J17" i="9" s="1"/>
  <c r="D17" i="9"/>
  <c r="G32" i="1"/>
  <c r="J20" i="9" s="1"/>
  <c r="D20" i="9"/>
  <c r="J52" i="4"/>
  <c r="K52" i="4" s="1"/>
  <c r="M52" i="4" s="1"/>
  <c r="J183" i="4"/>
  <c r="K183" i="4" s="1"/>
  <c r="M183" i="4" s="1"/>
  <c r="J175" i="4"/>
  <c r="K175" i="4" s="1"/>
  <c r="M175" i="4" s="1"/>
  <c r="J178" i="4"/>
  <c r="K178" i="4" s="1"/>
  <c r="M178" i="4" s="1"/>
  <c r="J15" i="4"/>
  <c r="K15" i="4" s="1"/>
  <c r="M15" i="4" s="1"/>
  <c r="G14" i="1"/>
  <c r="J4" i="9" s="1"/>
  <c r="D4" i="9"/>
  <c r="AC329" i="3"/>
  <c r="AD329" i="3" s="1"/>
  <c r="AA329" i="3" s="1"/>
  <c r="AC328" i="3"/>
  <c r="AD328" i="3" s="1"/>
  <c r="AA328" i="3" s="1"/>
  <c r="J158" i="4" s="1"/>
  <c r="K158" i="4" s="1"/>
  <c r="M158" i="4" s="1"/>
  <c r="AC317" i="3"/>
  <c r="AD317" i="3" s="1"/>
  <c r="AA317" i="3" s="1"/>
  <c r="J190" i="4" s="1"/>
  <c r="K190" i="4" s="1"/>
  <c r="M190" i="4" s="1"/>
  <c r="AC306" i="3"/>
  <c r="AD306" i="3" s="1"/>
  <c r="AA306" i="3" s="1"/>
  <c r="J99" i="4" s="1"/>
  <c r="K99" i="4" s="1"/>
  <c r="M99" i="4" s="1"/>
  <c r="AC302" i="3"/>
  <c r="AD302" i="3" s="1"/>
  <c r="AA302" i="3" s="1"/>
  <c r="F70" i="6"/>
  <c r="E23" i="1" s="1"/>
  <c r="H11" i="9" s="1"/>
  <c r="W356" i="2"/>
  <c r="AC344" i="2" s="1"/>
  <c r="L44" i="6" s="1"/>
  <c r="G23" i="1"/>
  <c r="J11" i="9" s="1"/>
  <c r="D11" i="9"/>
  <c r="G15" i="1"/>
  <c r="J5" i="9" s="1"/>
  <c r="D5" i="9"/>
  <c r="K24" i="1"/>
  <c r="M24" i="1" s="1"/>
  <c r="G12" i="9"/>
  <c r="L24" i="1"/>
  <c r="N12" i="9" s="1"/>
  <c r="AC301" i="3"/>
  <c r="AD301" i="3" s="1"/>
  <c r="AA301" i="3" s="1"/>
  <c r="J196" i="4" s="1"/>
  <c r="K196" i="4" s="1"/>
  <c r="M196" i="4" s="1"/>
  <c r="AC297" i="3"/>
  <c r="AD297" i="3" s="1"/>
  <c r="AA297" i="3" s="1"/>
  <c r="J87" i="4" s="1"/>
  <c r="K87" i="4" s="1"/>
  <c r="M87" i="4" s="1"/>
  <c r="J63" i="4"/>
  <c r="K63" i="4" s="1"/>
  <c r="M63" i="4" s="1"/>
  <c r="J10" i="4"/>
  <c r="K10" i="4" s="1"/>
  <c r="M10" i="4" s="1"/>
  <c r="J126" i="4"/>
  <c r="K126" i="4" s="1"/>
  <c r="M126" i="4" s="1"/>
  <c r="J148" i="4"/>
  <c r="K148" i="4" s="1"/>
  <c r="M148" i="4" s="1"/>
  <c r="J115" i="4"/>
  <c r="K115" i="4" s="1"/>
  <c r="M115" i="4" s="1"/>
  <c r="J65" i="4"/>
  <c r="K65" i="4" s="1"/>
  <c r="M65" i="4" s="1"/>
  <c r="J116" i="4"/>
  <c r="K116" i="4" s="1"/>
  <c r="M116" i="4" s="1"/>
  <c r="J103" i="4"/>
  <c r="K103" i="4" s="1"/>
  <c r="M103" i="4" s="1"/>
  <c r="J25" i="4"/>
  <c r="K25" i="4" s="1"/>
  <c r="M25" i="4" s="1"/>
  <c r="AC294" i="3"/>
  <c r="AD294" i="3" s="1"/>
  <c r="AA294" i="3" s="1"/>
  <c r="AC292" i="3"/>
  <c r="AD292" i="3" s="1"/>
  <c r="AA292" i="3" s="1"/>
  <c r="AD278" i="3"/>
  <c r="AA278" i="3" s="1"/>
  <c r="K26" i="1"/>
  <c r="M26" i="1" s="1"/>
  <c r="AC289" i="3"/>
  <c r="AD289" i="3" s="1"/>
  <c r="AA289" i="3" s="1"/>
  <c r="J61" i="4" s="1"/>
  <c r="K61" i="4" s="1"/>
  <c r="M61" i="4" s="1"/>
  <c r="AC281" i="3"/>
  <c r="AD281" i="3" s="1"/>
  <c r="AA281" i="3" s="1"/>
  <c r="L26" i="1"/>
  <c r="N14" i="9" s="1"/>
  <c r="AC287" i="3"/>
  <c r="AD287" i="3" s="1"/>
  <c r="AA287" i="3" s="1"/>
  <c r="J41" i="4" s="1"/>
  <c r="K41" i="4" s="1"/>
  <c r="M41" i="4" s="1"/>
  <c r="L19" i="1"/>
  <c r="N7" i="9" s="1"/>
  <c r="J20" i="4"/>
  <c r="K20" i="4" s="1"/>
  <c r="M20" i="4" s="1"/>
  <c r="J51" i="4"/>
  <c r="K51" i="4" s="1"/>
  <c r="M51" i="4" s="1"/>
  <c r="J83" i="4"/>
  <c r="K83" i="4" s="1"/>
  <c r="M83" i="4" s="1"/>
  <c r="AC286" i="3"/>
  <c r="AD286" i="3" s="1"/>
  <c r="AA286" i="3" s="1"/>
  <c r="J69" i="4" s="1"/>
  <c r="K69" i="4" s="1"/>
  <c r="M69" i="4" s="1"/>
  <c r="AC282" i="3"/>
  <c r="AD282" i="3" s="1"/>
  <c r="AA282" i="3" s="1"/>
  <c r="E31" i="1"/>
  <c r="H19" i="9" s="1"/>
  <c r="G31" i="1"/>
  <c r="J19" i="9" s="1"/>
  <c r="G18" i="1"/>
  <c r="J6" i="9" s="1"/>
  <c r="F18" i="1"/>
  <c r="I6" i="9" s="1"/>
  <c r="F31" i="1"/>
  <c r="I19" i="9" s="1"/>
  <c r="J56" i="4"/>
  <c r="K56" i="4" s="1"/>
  <c r="M56" i="4" s="1"/>
  <c r="J28" i="4"/>
  <c r="K28" i="4" s="1"/>
  <c r="M28" i="4" s="1"/>
  <c r="J19" i="4"/>
  <c r="K19" i="4" s="1"/>
  <c r="M19" i="4" s="1"/>
  <c r="J145" i="4"/>
  <c r="K145" i="4" s="1"/>
  <c r="M145" i="4" s="1"/>
  <c r="J39" i="4"/>
  <c r="K39" i="4" s="1"/>
  <c r="M39" i="4" s="1"/>
  <c r="J48" i="4"/>
  <c r="K48" i="4" s="1"/>
  <c r="M48" i="4" s="1"/>
  <c r="J34" i="4"/>
  <c r="K34" i="4" s="1"/>
  <c r="M34" i="4" s="1"/>
  <c r="J153" i="4"/>
  <c r="K153" i="4" s="1"/>
  <c r="M153" i="4" s="1"/>
  <c r="J58" i="4"/>
  <c r="K58" i="4" s="1"/>
  <c r="M58" i="4" s="1"/>
  <c r="J139" i="4"/>
  <c r="K139" i="4" s="1"/>
  <c r="M139" i="4" s="1"/>
  <c r="J137" i="4"/>
  <c r="K137" i="4" s="1"/>
  <c r="M137" i="4" s="1"/>
  <c r="J12" i="4"/>
  <c r="K12" i="4" s="1"/>
  <c r="M12" i="4" s="1"/>
  <c r="J130" i="4"/>
  <c r="K130" i="4" s="1"/>
  <c r="M130" i="4" s="1"/>
  <c r="K17" i="8"/>
  <c r="K24" i="8" s="1"/>
  <c r="J24" i="8"/>
  <c r="I24" i="8"/>
  <c r="H21" i="8"/>
  <c r="J88" i="4"/>
  <c r="K88" i="4" s="1"/>
  <c r="M88" i="4" s="1"/>
  <c r="AD239" i="3"/>
  <c r="AA239" i="3" s="1"/>
  <c r="J113" i="4" s="1"/>
  <c r="K113" i="4" s="1"/>
  <c r="M113" i="4" s="1"/>
  <c r="AC279" i="3"/>
  <c r="AD279" i="3" s="1"/>
  <c r="AA279" i="3" s="1"/>
  <c r="J13" i="4" s="1"/>
  <c r="K13" i="4" s="1"/>
  <c r="M13" i="4" s="1"/>
  <c r="AC277" i="3"/>
  <c r="AD277" i="3" s="1"/>
  <c r="AA277" i="3" s="1"/>
  <c r="J62" i="4" s="1"/>
  <c r="K62" i="4" s="1"/>
  <c r="M62" i="4" s="1"/>
  <c r="E24" i="8"/>
  <c r="J104" i="4"/>
  <c r="K104" i="4" s="1"/>
  <c r="M104" i="4" s="1"/>
  <c r="J107" i="4"/>
  <c r="K107" i="4" s="1"/>
  <c r="M107" i="4" s="1"/>
  <c r="J101" i="4"/>
  <c r="K101" i="4" s="1"/>
  <c r="M101" i="4" s="1"/>
  <c r="J165" i="4"/>
  <c r="K165" i="4" s="1"/>
  <c r="M165" i="4" s="1"/>
  <c r="J127" i="4"/>
  <c r="K127" i="4" s="1"/>
  <c r="M127" i="4" s="1"/>
  <c r="J46" i="4"/>
  <c r="K46" i="4" s="1"/>
  <c r="M46" i="4" s="1"/>
  <c r="J68" i="4"/>
  <c r="K68" i="4" s="1"/>
  <c r="M68" i="4" s="1"/>
  <c r="J112" i="4"/>
  <c r="K112" i="4" s="1"/>
  <c r="M112" i="4" s="1"/>
  <c r="J54" i="4"/>
  <c r="K54" i="4" s="1"/>
  <c r="M54" i="4" s="1"/>
  <c r="J38" i="4"/>
  <c r="K38" i="4" s="1"/>
  <c r="M38" i="4" s="1"/>
  <c r="J89" i="4"/>
  <c r="K89" i="4" s="1"/>
  <c r="M89" i="4" s="1"/>
  <c r="J86" i="4"/>
  <c r="K86" i="4" s="1"/>
  <c r="M86" i="4" s="1"/>
  <c r="J21" i="4"/>
  <c r="K21" i="4" s="1"/>
  <c r="M21" i="4" s="1"/>
  <c r="J119" i="4"/>
  <c r="K119" i="4" s="1"/>
  <c r="M119" i="4" s="1"/>
  <c r="J110" i="4"/>
  <c r="K110" i="4" s="1"/>
  <c r="M110" i="4" s="1"/>
  <c r="J36" i="4"/>
  <c r="K36" i="4" s="1"/>
  <c r="M36" i="4" s="1"/>
  <c r="J27" i="4"/>
  <c r="K27" i="4" s="1"/>
  <c r="M27" i="4" s="1"/>
  <c r="J149" i="4"/>
  <c r="K149" i="4" s="1"/>
  <c r="M149" i="4" s="1"/>
  <c r="J117" i="4"/>
  <c r="K117" i="4" s="1"/>
  <c r="M117" i="4" s="1"/>
  <c r="I31" i="1"/>
  <c r="L19" i="9" s="1"/>
  <c r="B31" i="1"/>
  <c r="E19" i="9" s="1"/>
  <c r="H31" i="1"/>
  <c r="K19" i="9" s="1"/>
  <c r="D31" i="1"/>
  <c r="L11" i="1"/>
  <c r="N1" i="9" s="1"/>
  <c r="F79" i="6"/>
  <c r="E32" i="1" s="1"/>
  <c r="H20" i="9" s="1"/>
  <c r="L30" i="1"/>
  <c r="N18" i="9" s="1"/>
  <c r="E18" i="1"/>
  <c r="H6" i="9" s="1"/>
  <c r="I18" i="1"/>
  <c r="L6" i="9" s="1"/>
  <c r="H18" i="1"/>
  <c r="K6" i="9" s="1"/>
  <c r="D28" i="1"/>
  <c r="G16" i="9" s="1"/>
  <c r="H28" i="1"/>
  <c r="K16" i="9" s="1"/>
  <c r="E28" i="1"/>
  <c r="H16" i="9" s="1"/>
  <c r="F28" i="1"/>
  <c r="I16" i="9" s="1"/>
  <c r="I28" i="1"/>
  <c r="L16" i="9" s="1"/>
  <c r="F15" i="1"/>
  <c r="I5" i="9" s="1"/>
  <c r="H15" i="1"/>
  <c r="K5" i="9" s="1"/>
  <c r="I15" i="1"/>
  <c r="L5" i="9" s="1"/>
  <c r="F29" i="1"/>
  <c r="I17" i="9" s="1"/>
  <c r="H29" i="1"/>
  <c r="K17" i="9" s="1"/>
  <c r="I29" i="1"/>
  <c r="L17" i="9" s="1"/>
  <c r="D29" i="1"/>
  <c r="G17" i="9" s="1"/>
  <c r="E29" i="1"/>
  <c r="H17" i="9" s="1"/>
  <c r="K30" i="1"/>
  <c r="M30" i="1" s="1"/>
  <c r="H27" i="1"/>
  <c r="K15" i="9" s="1"/>
  <c r="I27" i="1"/>
  <c r="L15" i="9" s="1"/>
  <c r="D27" i="1"/>
  <c r="G15" i="9" s="1"/>
  <c r="E27" i="1"/>
  <c r="H15" i="9" s="1"/>
  <c r="F27" i="1"/>
  <c r="I15" i="9" s="1"/>
  <c r="F13" i="1"/>
  <c r="I3" i="9" s="1"/>
  <c r="D13" i="1"/>
  <c r="G3" i="9" s="1"/>
  <c r="E13" i="1"/>
  <c r="H3" i="9" s="1"/>
  <c r="H13" i="1"/>
  <c r="K3" i="9" s="1"/>
  <c r="I13" i="1"/>
  <c r="L3" i="9" s="1"/>
  <c r="D32" i="1"/>
  <c r="G20" i="9" s="1"/>
  <c r="F32" i="1"/>
  <c r="I20" i="9" s="1"/>
  <c r="H32" i="1"/>
  <c r="K20" i="9" s="1"/>
  <c r="I32" i="1"/>
  <c r="L20" i="9" s="1"/>
  <c r="I14" i="1"/>
  <c r="L4" i="9" s="1"/>
  <c r="H14" i="1"/>
  <c r="K4" i="9" s="1"/>
  <c r="E14" i="1"/>
  <c r="H4" i="9" s="1"/>
  <c r="F14" i="1"/>
  <c r="I4" i="9" s="1"/>
  <c r="L25" i="1"/>
  <c r="N13" i="9" s="1"/>
  <c r="L20" i="1"/>
  <c r="N8" i="9" s="1"/>
  <c r="K25" i="1"/>
  <c r="M25" i="1" s="1"/>
  <c r="I23" i="1"/>
  <c r="L11" i="9" s="1"/>
  <c r="H23" i="1"/>
  <c r="K11" i="9" s="1"/>
  <c r="D23" i="1"/>
  <c r="G11" i="9" s="1"/>
  <c r="F23" i="1"/>
  <c r="I11" i="9" s="1"/>
  <c r="J49" i="4"/>
  <c r="K49" i="4" s="1"/>
  <c r="M49" i="4" s="1"/>
  <c r="J135" i="4"/>
  <c r="K135" i="4" s="1"/>
  <c r="M135" i="4" s="1"/>
  <c r="J191" i="4"/>
  <c r="K191" i="4" s="1"/>
  <c r="M191" i="4" s="1"/>
  <c r="J45" i="4"/>
  <c r="K45" i="4" s="1"/>
  <c r="M45" i="4" s="1"/>
  <c r="J108" i="4"/>
  <c r="K108" i="4" s="1"/>
  <c r="M108" i="4" s="1"/>
  <c r="J201" i="4"/>
  <c r="K201" i="4" s="1"/>
  <c r="M201" i="4" s="1"/>
  <c r="J144" i="4"/>
  <c r="K144" i="4" s="1"/>
  <c r="M144" i="4" s="1"/>
  <c r="J97" i="4"/>
  <c r="K97" i="4" s="1"/>
  <c r="M97" i="4" s="1"/>
  <c r="J186" i="4"/>
  <c r="K186" i="4" s="1"/>
  <c r="M186" i="4" s="1"/>
  <c r="AC190" i="3"/>
  <c r="AD190" i="3" s="1"/>
  <c r="AA190" i="3" s="1"/>
  <c r="J123" i="4" s="1"/>
  <c r="K123" i="4" s="1"/>
  <c r="M123" i="4" s="1"/>
  <c r="B15" i="1"/>
  <c r="E5" i="9" s="1"/>
  <c r="F62" i="6"/>
  <c r="J29" i="4"/>
  <c r="K29" i="4" s="1"/>
  <c r="M29" i="4" s="1"/>
  <c r="J146" i="4"/>
  <c r="K146" i="4" s="1"/>
  <c r="M146" i="4" s="1"/>
  <c r="J172" i="4"/>
  <c r="K172" i="4" s="1"/>
  <c r="M172" i="4" s="1"/>
  <c r="J111" i="4"/>
  <c r="K111" i="4" s="1"/>
  <c r="M111" i="4" s="1"/>
  <c r="J189" i="4"/>
  <c r="K189" i="4" s="1"/>
  <c r="M189" i="4" s="1"/>
  <c r="J26" i="4"/>
  <c r="K26" i="4" s="1"/>
  <c r="M26" i="4" s="1"/>
  <c r="J31" i="4"/>
  <c r="K31" i="4" s="1"/>
  <c r="M31" i="4" s="1"/>
  <c r="J40" i="4"/>
  <c r="K40" i="4" s="1"/>
  <c r="M40" i="4" s="1"/>
  <c r="J11" i="4"/>
  <c r="K11" i="4" s="1"/>
  <c r="M11" i="4" s="1"/>
  <c r="B29" i="1"/>
  <c r="E17" i="9" s="1"/>
  <c r="C29" i="1"/>
  <c r="F17" i="9" s="1"/>
  <c r="I37" i="6"/>
  <c r="J92" i="4"/>
  <c r="K92" i="4" s="1"/>
  <c r="M92" i="4" s="1"/>
  <c r="J157" i="4"/>
  <c r="K157" i="4" s="1"/>
  <c r="M157" i="4" s="1"/>
  <c r="W224" i="2"/>
  <c r="AC212" i="2" s="1"/>
  <c r="I14" i="6" s="1"/>
  <c r="F13" i="6"/>
  <c r="G37" i="6"/>
  <c r="AC106" i="3"/>
  <c r="AD106" i="3" s="1"/>
  <c r="AA106" i="3" s="1"/>
  <c r="J156" i="4" s="1"/>
  <c r="K156" i="4" s="1"/>
  <c r="M156" i="4" s="1"/>
  <c r="AC26" i="3"/>
  <c r="AD26" i="3" s="1"/>
  <c r="AA26" i="3" s="1"/>
  <c r="J133" i="4" s="1"/>
  <c r="K133" i="4" s="1"/>
  <c r="M133" i="4" s="1"/>
  <c r="W487" i="2"/>
  <c r="AC477" i="2" s="1"/>
  <c r="P45" i="6" s="1"/>
  <c r="J100" i="4"/>
  <c r="K100" i="4" s="1"/>
  <c r="M100" i="4" s="1"/>
  <c r="J129" i="4"/>
  <c r="K129" i="4" s="1"/>
  <c r="M129" i="4" s="1"/>
  <c r="J37" i="4"/>
  <c r="K37" i="4" s="1"/>
  <c r="M37" i="4" s="1"/>
  <c r="C13" i="1"/>
  <c r="F3" i="9" s="1"/>
  <c r="B13" i="1"/>
  <c r="E3" i="9" s="1"/>
  <c r="C14" i="1"/>
  <c r="F4" i="9" s="1"/>
  <c r="B14" i="1"/>
  <c r="E4" i="9" s="1"/>
  <c r="J35" i="4"/>
  <c r="K35" i="4" s="1"/>
  <c r="M35" i="4" s="1"/>
  <c r="W553" i="2"/>
  <c r="AC543" i="2" s="1"/>
  <c r="L24" i="6" s="1"/>
  <c r="W223" i="2"/>
  <c r="AC213" i="2" s="1"/>
  <c r="H45" i="6" s="1"/>
  <c r="W388" i="2"/>
  <c r="AC378" i="2" s="1"/>
  <c r="M45" i="6" s="1"/>
  <c r="H37" i="6"/>
  <c r="C32" i="1"/>
  <c r="F20" i="9" s="1"/>
  <c r="B32" i="1"/>
  <c r="E20" i="9" s="1"/>
  <c r="C28" i="1"/>
  <c r="F16" i="9" s="1"/>
  <c r="B28" i="1"/>
  <c r="E16" i="9" s="1"/>
  <c r="H127" i="6"/>
  <c r="H122" i="6"/>
  <c r="H117" i="6"/>
  <c r="H87" i="6"/>
  <c r="H112" i="6"/>
  <c r="C15" i="1"/>
  <c r="F5" i="9" s="1"/>
  <c r="B27" i="1"/>
  <c r="E15" i="9" s="1"/>
  <c r="C27" i="1"/>
  <c r="F15" i="9" s="1"/>
  <c r="B23" i="1"/>
  <c r="E11" i="9" s="1"/>
  <c r="C23" i="1"/>
  <c r="F11" i="9" s="1"/>
  <c r="W290" i="2"/>
  <c r="AC278" i="2" s="1"/>
  <c r="J44" i="6" s="1"/>
  <c r="F17" i="6"/>
  <c r="J37" i="6"/>
  <c r="P95" i="6" s="1"/>
  <c r="W191" i="2"/>
  <c r="AC179" i="2" s="1"/>
  <c r="I13" i="6" s="1"/>
  <c r="B18" i="1"/>
  <c r="E6" i="9" s="1"/>
  <c r="W454" i="2"/>
  <c r="AC444" i="2" s="1"/>
  <c r="O45" i="6" s="1"/>
  <c r="W520" i="2"/>
  <c r="AC510" i="2" s="1"/>
  <c r="Q45" i="6" s="1"/>
  <c r="W190" i="2"/>
  <c r="AC180" i="2" s="1"/>
  <c r="W289" i="2"/>
  <c r="AC279" i="2" s="1"/>
  <c r="L16" i="6" s="1"/>
  <c r="W619" i="2"/>
  <c r="AC609" i="2" s="1"/>
  <c r="L26" i="6" s="1"/>
  <c r="W355" i="2"/>
  <c r="AC345" i="2" s="1"/>
  <c r="L18" i="6" s="1"/>
  <c r="R653" i="2"/>
  <c r="W653" i="2" s="1"/>
  <c r="AC641" i="2" s="1"/>
  <c r="W652" i="2"/>
  <c r="AC642" i="2" s="1"/>
  <c r="W586" i="2"/>
  <c r="AC576" i="2" s="1"/>
  <c r="S45" i="6" s="1"/>
  <c r="R323" i="2"/>
  <c r="W323" i="2" s="1"/>
  <c r="AC311" i="2" s="1"/>
  <c r="W322" i="2"/>
  <c r="AC312" i="2" s="1"/>
  <c r="R257" i="2"/>
  <c r="W257" i="2" s="1"/>
  <c r="AC245" i="2" s="1"/>
  <c r="W256" i="2"/>
  <c r="AC246" i="2" s="1"/>
  <c r="W421" i="2"/>
  <c r="AC411" i="2" s="1"/>
  <c r="R587" i="2"/>
  <c r="W587" i="2" s="1"/>
  <c r="AC575" i="2" s="1"/>
  <c r="J57" i="4" l="1"/>
  <c r="K57" i="4" s="1"/>
  <c r="M57" i="4" s="1"/>
  <c r="J109" i="4"/>
  <c r="K109" i="4" s="1"/>
  <c r="M109" i="4" s="1"/>
  <c r="J136" i="4"/>
  <c r="K136" i="4" s="1"/>
  <c r="M136" i="4" s="1"/>
  <c r="J60" i="4"/>
  <c r="K60" i="4" s="1"/>
  <c r="M60" i="4" s="1"/>
  <c r="J106" i="4"/>
  <c r="K106" i="4" s="1"/>
  <c r="M106" i="4" s="1"/>
  <c r="J131" i="4"/>
  <c r="K131" i="4" s="1"/>
  <c r="M131" i="4" s="1"/>
  <c r="J71" i="4"/>
  <c r="K71" i="4" s="1"/>
  <c r="M71" i="4" s="1"/>
  <c r="J91" i="4"/>
  <c r="K91" i="4" s="1"/>
  <c r="M91" i="4" s="1"/>
  <c r="J180" i="4"/>
  <c r="K180" i="4" s="1"/>
  <c r="M180" i="4" s="1"/>
  <c r="J173" i="4"/>
  <c r="K173" i="4" s="1"/>
  <c r="M173" i="4" s="1"/>
  <c r="E61" i="6" s="1"/>
  <c r="D14" i="1" s="1"/>
  <c r="G4" i="9" s="1"/>
  <c r="J141" i="4"/>
  <c r="K141" i="4" s="1"/>
  <c r="M141" i="4" s="1"/>
  <c r="K12" i="1"/>
  <c r="M2" i="9" s="1"/>
  <c r="J94" i="4"/>
  <c r="K94" i="4" s="1"/>
  <c r="M94" i="4" s="1"/>
  <c r="J121" i="4"/>
  <c r="K121" i="4" s="1"/>
  <c r="M121" i="4" s="1"/>
  <c r="J179" i="4"/>
  <c r="K179" i="4" s="1"/>
  <c r="M179" i="4" s="1"/>
  <c r="J187" i="4"/>
  <c r="K187" i="4" s="1"/>
  <c r="M187" i="4" s="1"/>
  <c r="D19" i="1"/>
  <c r="G7" i="9" s="1"/>
  <c r="J44" i="4"/>
  <c r="K44" i="4" s="1"/>
  <c r="M44" i="4" s="1"/>
  <c r="E58" i="6" s="1"/>
  <c r="J47" i="4"/>
  <c r="K47" i="4" s="1"/>
  <c r="M47" i="4" s="1"/>
  <c r="J96" i="4"/>
  <c r="K96" i="4" s="1"/>
  <c r="M96" i="4" s="1"/>
  <c r="J77" i="4"/>
  <c r="K77" i="4" s="1"/>
  <c r="M77" i="4" s="1"/>
  <c r="J184" i="4"/>
  <c r="K184" i="4" s="1"/>
  <c r="M184" i="4" s="1"/>
  <c r="J159" i="4"/>
  <c r="K159" i="4" s="1"/>
  <c r="M159" i="4" s="1"/>
  <c r="J152" i="4"/>
  <c r="K152" i="4" s="1"/>
  <c r="M152" i="4" s="1"/>
  <c r="L21" i="1"/>
  <c r="N9" i="9" s="1"/>
  <c r="A183" i="2"/>
  <c r="A216" i="2" s="1"/>
  <c r="A249" i="2" s="1"/>
  <c r="A282" i="2" s="1"/>
  <c r="A315" i="2" s="1"/>
  <c r="A348" i="2" s="1"/>
  <c r="A381" i="2" s="1"/>
  <c r="A414" i="2" s="1"/>
  <c r="A447" i="2" s="1"/>
  <c r="A480" i="2" s="1"/>
  <c r="A513" i="2" s="1"/>
  <c r="A546" i="2" s="1"/>
  <c r="A579" i="2" s="1"/>
  <c r="A612" i="2" s="1"/>
  <c r="A645" i="2" s="1"/>
  <c r="O153" i="2"/>
  <c r="O143" i="2"/>
  <c r="H9" i="9"/>
  <c r="K22" i="1"/>
  <c r="M22" i="1" s="1"/>
  <c r="H175" i="2"/>
  <c r="H208" i="2" s="1"/>
  <c r="H241" i="2" s="1"/>
  <c r="H274" i="2" s="1"/>
  <c r="H307" i="2" s="1"/>
  <c r="H340" i="2" s="1"/>
  <c r="H373" i="2" s="1"/>
  <c r="H406" i="2" s="1"/>
  <c r="H439" i="2" s="1"/>
  <c r="H472" i="2" s="1"/>
  <c r="H505" i="2" s="1"/>
  <c r="H538" i="2" s="1"/>
  <c r="H571" i="2" s="1"/>
  <c r="H604" i="2" s="1"/>
  <c r="H637" i="2" s="1"/>
  <c r="O151" i="2"/>
  <c r="O141" i="2"/>
  <c r="D79" i="6"/>
  <c r="P106" i="6"/>
  <c r="D65" i="6"/>
  <c r="C18" i="1" s="1"/>
  <c r="F6" i="9" s="1"/>
  <c r="P92" i="6"/>
  <c r="D66" i="6"/>
  <c r="C19" i="1" s="1"/>
  <c r="F7" i="9" s="1"/>
  <c r="P93" i="6"/>
  <c r="D67" i="6"/>
  <c r="C20" i="1" s="1"/>
  <c r="F8" i="9" s="1"/>
  <c r="P94" i="6"/>
  <c r="D68" i="6"/>
  <c r="C21" i="1" s="1"/>
  <c r="F9" i="9" s="1"/>
  <c r="J169" i="4"/>
  <c r="K169" i="4" s="1"/>
  <c r="M169" i="4" s="1"/>
  <c r="J16" i="4"/>
  <c r="K16" i="4" s="1"/>
  <c r="M16" i="4" s="1"/>
  <c r="E68" i="6"/>
  <c r="D21" i="1" s="1"/>
  <c r="G9" i="9" s="1"/>
  <c r="J182" i="4"/>
  <c r="K182" i="4" s="1"/>
  <c r="M182" i="4" s="1"/>
  <c r="J50" i="4"/>
  <c r="K50" i="4" s="1"/>
  <c r="M50" i="4" s="1"/>
  <c r="J70" i="4"/>
  <c r="K70" i="4" s="1"/>
  <c r="M70" i="4" s="1"/>
  <c r="J95" i="4"/>
  <c r="K95" i="4" s="1"/>
  <c r="M95" i="4" s="1"/>
  <c r="J177" i="4"/>
  <c r="K177" i="4" s="1"/>
  <c r="M177" i="4" s="1"/>
  <c r="J74" i="4"/>
  <c r="K74" i="4" s="1"/>
  <c r="M74" i="4" s="1"/>
  <c r="J181" i="4"/>
  <c r="K181" i="4" s="1"/>
  <c r="M181" i="4" s="1"/>
  <c r="J198" i="4"/>
  <c r="K198" i="4" s="1"/>
  <c r="M198" i="4" s="1"/>
  <c r="J155" i="4"/>
  <c r="K155" i="4" s="1"/>
  <c r="M155" i="4" s="1"/>
  <c r="L12" i="1"/>
  <c r="N2" i="9" s="1"/>
  <c r="J203" i="4"/>
  <c r="K203" i="4" s="1"/>
  <c r="M203" i="4" s="1"/>
  <c r="J14" i="4"/>
  <c r="K14" i="4" s="1"/>
  <c r="M14" i="4" s="1"/>
  <c r="J73" i="4"/>
  <c r="K73" i="4" s="1"/>
  <c r="M73" i="4" s="1"/>
  <c r="J188" i="4"/>
  <c r="K188" i="4" s="1"/>
  <c r="M188" i="4" s="1"/>
  <c r="J75" i="4"/>
  <c r="K75" i="4" s="1"/>
  <c r="M75" i="4" s="1"/>
  <c r="I21" i="6"/>
  <c r="M44" i="6"/>
  <c r="P44" i="6"/>
  <c r="I23" i="6"/>
  <c r="T44" i="6"/>
  <c r="I20" i="6"/>
  <c r="R44" i="6"/>
  <c r="J185" i="4"/>
  <c r="K185" i="4" s="1"/>
  <c r="M185" i="4" s="1"/>
  <c r="J59" i="4"/>
  <c r="K59" i="4" s="1"/>
  <c r="M59" i="4" s="1"/>
  <c r="J84" i="4"/>
  <c r="K84" i="4" s="1"/>
  <c r="M84" i="4" s="1"/>
  <c r="J78" i="4"/>
  <c r="K78" i="4" s="1"/>
  <c r="M78" i="4" s="1"/>
  <c r="J162" i="4"/>
  <c r="K162" i="4" s="1"/>
  <c r="M162" i="4" s="1"/>
  <c r="J192" i="4"/>
  <c r="K192" i="4" s="1"/>
  <c r="M192" i="4" s="1"/>
  <c r="J43" i="4"/>
  <c r="K43" i="4" s="1"/>
  <c r="M43" i="4" s="1"/>
  <c r="J33" i="4"/>
  <c r="K33" i="4" s="1"/>
  <c r="M33" i="4" s="1"/>
  <c r="J114" i="4"/>
  <c r="K114" i="4" s="1"/>
  <c r="M114" i="4" s="1"/>
  <c r="J55" i="4"/>
  <c r="K55" i="4" s="1"/>
  <c r="M55" i="4" s="1"/>
  <c r="J118" i="4"/>
  <c r="K118" i="4" s="1"/>
  <c r="M118" i="4" s="1"/>
  <c r="J168" i="4"/>
  <c r="K168" i="4" s="1"/>
  <c r="M168" i="4" s="1"/>
  <c r="J140" i="4"/>
  <c r="K140" i="4" s="1"/>
  <c r="M140" i="4" s="1"/>
  <c r="J32" i="4"/>
  <c r="K32" i="4" s="1"/>
  <c r="M32" i="4" s="1"/>
  <c r="J53" i="4"/>
  <c r="K53" i="4" s="1"/>
  <c r="M53" i="4" s="1"/>
  <c r="J42" i="4"/>
  <c r="K42" i="4" s="1"/>
  <c r="M42" i="4" s="1"/>
  <c r="J76" i="4"/>
  <c r="K76" i="4" s="1"/>
  <c r="M76" i="4" s="1"/>
  <c r="I18" i="6"/>
  <c r="M18" i="9"/>
  <c r="M13" i="9"/>
  <c r="M14" i="9"/>
  <c r="K31" i="1"/>
  <c r="M31" i="1" s="1"/>
  <c r="G19" i="9"/>
  <c r="M12" i="9"/>
  <c r="J170" i="4"/>
  <c r="K170" i="4" s="1"/>
  <c r="M170" i="4" s="1"/>
  <c r="E65" i="6"/>
  <c r="J9" i="4"/>
  <c r="K9" i="4" s="1"/>
  <c r="M9" i="4" s="1"/>
  <c r="J174" i="4"/>
  <c r="K174" i="4" s="1"/>
  <c r="M174" i="4" s="1"/>
  <c r="J66" i="4"/>
  <c r="K66" i="4" s="1"/>
  <c r="M66" i="4" s="1"/>
  <c r="J128" i="4"/>
  <c r="K128" i="4" s="1"/>
  <c r="M128" i="4" s="1"/>
  <c r="J93" i="4"/>
  <c r="K93" i="4" s="1"/>
  <c r="M93" i="4" s="1"/>
  <c r="J30" i="4"/>
  <c r="K30" i="4" s="1"/>
  <c r="M30" i="4" s="1"/>
  <c r="J3" i="4"/>
  <c r="K3" i="4" s="1"/>
  <c r="M3" i="4" s="1"/>
  <c r="J163" i="4"/>
  <c r="K163" i="4" s="1"/>
  <c r="M163" i="4" s="1"/>
  <c r="L31" i="1"/>
  <c r="N19" i="9" s="1"/>
  <c r="J151" i="4"/>
  <c r="K151" i="4" s="1"/>
  <c r="M151" i="4" s="1"/>
  <c r="J132" i="4"/>
  <c r="K132" i="4" s="1"/>
  <c r="M132" i="4" s="1"/>
  <c r="J125" i="4"/>
  <c r="K125" i="4" s="1"/>
  <c r="M125" i="4" s="1"/>
  <c r="J154" i="4"/>
  <c r="K154" i="4" s="1"/>
  <c r="M154" i="4" s="1"/>
  <c r="J164" i="4"/>
  <c r="K164" i="4" s="1"/>
  <c r="M164" i="4" s="1"/>
  <c r="J81" i="4"/>
  <c r="K81" i="4" s="1"/>
  <c r="M81" i="4" s="1"/>
  <c r="J120" i="4"/>
  <c r="K120" i="4" s="1"/>
  <c r="M120" i="4" s="1"/>
  <c r="D20" i="1"/>
  <c r="G21" i="8"/>
  <c r="J98" i="4"/>
  <c r="K98" i="4" s="1"/>
  <c r="M98" i="4" s="1"/>
  <c r="J143" i="4"/>
  <c r="K143" i="4" s="1"/>
  <c r="M143" i="4" s="1"/>
  <c r="J147" i="4"/>
  <c r="K147" i="4" s="1"/>
  <c r="M147" i="4" s="1"/>
  <c r="J176" i="4"/>
  <c r="K176" i="4" s="1"/>
  <c r="M176" i="4" s="1"/>
  <c r="E15" i="1"/>
  <c r="H17" i="8"/>
  <c r="F21" i="8"/>
  <c r="J150" i="4"/>
  <c r="K150" i="4" s="1"/>
  <c r="M150" i="4" s="1"/>
  <c r="J85" i="4"/>
  <c r="K85" i="4" s="1"/>
  <c r="M85" i="4" s="1"/>
  <c r="J82" i="4"/>
  <c r="K82" i="4" s="1"/>
  <c r="M82" i="4" s="1"/>
  <c r="J72" i="4"/>
  <c r="K72" i="4" s="1"/>
  <c r="M72" i="4" s="1"/>
  <c r="J167" i="4"/>
  <c r="K167" i="4" s="1"/>
  <c r="M167" i="4" s="1"/>
  <c r="J142" i="4"/>
  <c r="K142" i="4" s="1"/>
  <c r="M142" i="4" s="1"/>
  <c r="L23" i="1"/>
  <c r="N11" i="9" s="1"/>
  <c r="L14" i="1"/>
  <c r="N4" i="9" s="1"/>
  <c r="L28" i="1"/>
  <c r="N16" i="9" s="1"/>
  <c r="L13" i="1"/>
  <c r="N3" i="9" s="1"/>
  <c r="K32" i="1"/>
  <c r="M32" i="1" s="1"/>
  <c r="K29" i="1"/>
  <c r="M29" i="1" s="1"/>
  <c r="K28" i="1"/>
  <c r="M28" i="1" s="1"/>
  <c r="K23" i="1"/>
  <c r="M23" i="1" s="1"/>
  <c r="K13" i="1"/>
  <c r="L29" i="1"/>
  <c r="N17" i="9" s="1"/>
  <c r="L18" i="1"/>
  <c r="N6" i="9" s="1"/>
  <c r="L27" i="1"/>
  <c r="N15" i="9" s="1"/>
  <c r="K27" i="1"/>
  <c r="M27" i="1" s="1"/>
  <c r="L32" i="1"/>
  <c r="N20" i="9" s="1"/>
  <c r="J102" i="4"/>
  <c r="K102" i="4" s="1"/>
  <c r="M102" i="4" s="1"/>
  <c r="J195" i="4"/>
  <c r="K195" i="4" s="1"/>
  <c r="M195" i="4" s="1"/>
  <c r="J166" i="4"/>
  <c r="K166" i="4" s="1"/>
  <c r="M166" i="4" s="1"/>
  <c r="E62" i="6" s="1"/>
  <c r="J161" i="4"/>
  <c r="K161" i="4" s="1"/>
  <c r="M161" i="4" s="1"/>
  <c r="J90" i="4"/>
  <c r="K90" i="4" s="1"/>
  <c r="M90" i="4" s="1"/>
  <c r="J79" i="4"/>
  <c r="K79" i="4" s="1"/>
  <c r="M79" i="4" s="1"/>
  <c r="J160" i="4"/>
  <c r="K160" i="4" s="1"/>
  <c r="M160" i="4" s="1"/>
  <c r="J171" i="4"/>
  <c r="K171" i="4" s="1"/>
  <c r="M171" i="4" s="1"/>
  <c r="H44" i="6"/>
  <c r="L22" i="6"/>
  <c r="L14" i="6"/>
  <c r="L19" i="6"/>
  <c r="R45" i="6"/>
  <c r="I16" i="6"/>
  <c r="G44" i="6"/>
  <c r="L21" i="6"/>
  <c r="L23" i="6"/>
  <c r="J45" i="6"/>
  <c r="T45" i="6"/>
  <c r="L25" i="6"/>
  <c r="L45" i="6"/>
  <c r="L13" i="6"/>
  <c r="G45" i="6"/>
  <c r="L17" i="6"/>
  <c r="K45" i="6"/>
  <c r="U44" i="6"/>
  <c r="I27" i="6"/>
  <c r="K44" i="6"/>
  <c r="I17" i="6"/>
  <c r="U45" i="6"/>
  <c r="L27" i="6"/>
  <c r="I45" i="6"/>
  <c r="L15" i="6"/>
  <c r="I15" i="6"/>
  <c r="I44" i="6"/>
  <c r="N45" i="6"/>
  <c r="L20" i="6"/>
  <c r="I25" i="6"/>
  <c r="S44" i="6"/>
  <c r="M12" i="1" l="1"/>
  <c r="N12" i="1" s="1"/>
  <c r="P2" i="9" s="1"/>
  <c r="K14" i="1"/>
  <c r="M4" i="9" s="1"/>
  <c r="D11" i="1"/>
  <c r="G1" i="9" s="1"/>
  <c r="M10" i="9"/>
  <c r="K19" i="1"/>
  <c r="M19" i="1" s="1"/>
  <c r="K21" i="1"/>
  <c r="M21" i="1" s="1"/>
  <c r="K20" i="1"/>
  <c r="M20" i="1" s="1"/>
  <c r="G8" i="9"/>
  <c r="M19" i="9"/>
  <c r="M13" i="1"/>
  <c r="M3" i="9"/>
  <c r="N26" i="1"/>
  <c r="P14" i="9" s="1"/>
  <c r="O14" i="9"/>
  <c r="M20" i="9"/>
  <c r="M11" i="9"/>
  <c r="M16" i="9"/>
  <c r="N25" i="1"/>
  <c r="P13" i="9" s="1"/>
  <c r="O13" i="9"/>
  <c r="M17" i="9"/>
  <c r="M15" i="9"/>
  <c r="L15" i="1"/>
  <c r="N5" i="9" s="1"/>
  <c r="H5" i="9"/>
  <c r="O10" i="9"/>
  <c r="N22" i="1"/>
  <c r="P10" i="9" s="1"/>
  <c r="N24" i="1"/>
  <c r="P12" i="9" s="1"/>
  <c r="O12" i="9"/>
  <c r="N30" i="1"/>
  <c r="P18" i="9" s="1"/>
  <c r="O18" i="9"/>
  <c r="F24" i="8"/>
  <c r="F31" i="8" s="1"/>
  <c r="H24" i="8"/>
  <c r="H27" i="8" s="1"/>
  <c r="D15" i="1"/>
  <c r="G17" i="8"/>
  <c r="G24" i="8" s="1"/>
  <c r="D18" i="1"/>
  <c r="O2" i="9" l="1"/>
  <c r="M14" i="1"/>
  <c r="O4" i="9" s="1"/>
  <c r="K11" i="1"/>
  <c r="M11" i="1" s="1"/>
  <c r="M7" i="9"/>
  <c r="M9" i="9"/>
  <c r="N19" i="1"/>
  <c r="P7" i="9" s="1"/>
  <c r="O7" i="9"/>
  <c r="N32" i="1"/>
  <c r="P20" i="9" s="1"/>
  <c r="O20" i="9"/>
  <c r="N13" i="1"/>
  <c r="P3" i="9" s="1"/>
  <c r="O3" i="9"/>
  <c r="N21" i="1"/>
  <c r="P9" i="9" s="1"/>
  <c r="O9" i="9"/>
  <c r="K15" i="1"/>
  <c r="G5" i="9"/>
  <c r="N28" i="1"/>
  <c r="P16" i="9" s="1"/>
  <c r="O16" i="9"/>
  <c r="N31" i="1"/>
  <c r="P19" i="9" s="1"/>
  <c r="O19" i="9"/>
  <c r="N27" i="1"/>
  <c r="P15" i="9" s="1"/>
  <c r="O15" i="9"/>
  <c r="K18" i="1"/>
  <c r="M18" i="1" s="1"/>
  <c r="N18" i="1" s="1"/>
  <c r="G6" i="9"/>
  <c r="N29" i="1"/>
  <c r="P17" i="9" s="1"/>
  <c r="O17" i="9"/>
  <c r="N23" i="1"/>
  <c r="P11" i="9" s="1"/>
  <c r="O11" i="9"/>
  <c r="M8" i="9"/>
  <c r="F30" i="8"/>
  <c r="F32" i="8" s="1"/>
  <c r="F34" i="8" s="1"/>
  <c r="N14" i="1" l="1"/>
  <c r="P4" i="9" s="1"/>
  <c r="M1" i="9"/>
  <c r="M6" i="9"/>
  <c r="N20" i="1"/>
  <c r="P8" i="9" s="1"/>
  <c r="O8" i="9"/>
  <c r="M15" i="1"/>
  <c r="M5" i="9"/>
  <c r="N11" i="1"/>
  <c r="P1" i="9" s="1"/>
  <c r="O1" i="9"/>
  <c r="G34" i="8"/>
  <c r="N15" i="1" l="1"/>
  <c r="P5" i="9" s="1"/>
  <c r="O5" i="9"/>
  <c r="P6" i="9"/>
  <c r="O6" i="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Auteur</author>
  </authors>
  <commentList>
    <comment ref="C5" authorId="0" shapeId="0" xr:uid="{00000000-0006-0000-0000-000001000000}">
      <text>
        <r>
          <rPr>
            <b/>
            <sz val="9"/>
            <color indexed="81"/>
            <rFont val="Tahoma"/>
            <family val="2"/>
          </rPr>
          <t>Auteur:</t>
        </r>
        <r>
          <rPr>
            <sz val="9"/>
            <color indexed="81"/>
            <rFont val="Tahoma"/>
            <family val="2"/>
          </rPr>
          <t xml:space="preserve">
Uniquement au format : 01/01/ANNE
(1er janvier uniquement)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Auteur</author>
  </authors>
  <commentList>
    <comment ref="C10" authorId="0" shapeId="0" xr:uid="{00000000-0006-0000-0100-000001000000}">
      <text>
        <r>
          <rPr>
            <b/>
            <sz val="9"/>
            <color indexed="81"/>
            <rFont val="Tahoma"/>
            <family val="2"/>
          </rPr>
          <t>Auteur:</t>
        </r>
        <r>
          <rPr>
            <sz val="9"/>
            <color indexed="81"/>
            <rFont val="Tahoma"/>
            <family val="2"/>
          </rPr>
          <t xml:space="preserve">
Employé : saisir le nombre d'heures réalisées sur un jour férier.
Cadre : saisir en demi journée et indiquer le nombre d'heures à droite.</t>
        </r>
      </text>
    </comment>
    <comment ref="D10" authorId="0" shapeId="0" xr:uid="{00000000-0006-0000-0100-000002000000}">
      <text>
        <r>
          <rPr>
            <b/>
            <sz val="9"/>
            <color indexed="81"/>
            <rFont val="Tahoma"/>
            <family val="2"/>
          </rPr>
          <t>Auteur:</t>
        </r>
        <r>
          <rPr>
            <sz val="9"/>
            <color indexed="81"/>
            <rFont val="Tahoma"/>
            <family val="2"/>
          </rPr>
          <t xml:space="preserve">
Ne pas saisir de CP sur un jours férier</t>
        </r>
      </text>
    </comment>
    <comment ref="E10" authorId="0" shapeId="0" xr:uid="{00000000-0006-0000-0100-000003000000}">
      <text>
        <r>
          <rPr>
            <b/>
            <sz val="9"/>
            <color indexed="81"/>
            <rFont val="Tahoma"/>
            <family val="2"/>
          </rPr>
          <t>Auteur:</t>
        </r>
        <r>
          <rPr>
            <sz val="9"/>
            <color indexed="81"/>
            <rFont val="Tahoma"/>
            <family val="2"/>
          </rPr>
          <t xml:space="preserve">
En cas de congé d'ancienneté saisir 7h par jour. (hors Cat. cadre).
En cas d'absence ne pas saisir d'heures réalisées.</t>
        </r>
      </text>
    </comment>
    <comment ref="C43" authorId="0" shapeId="0" xr:uid="{5C80C462-29AD-41B4-AEAD-65FA19167EAE}">
      <text>
        <r>
          <rPr>
            <b/>
            <sz val="9"/>
            <color indexed="81"/>
            <rFont val="Tahoma"/>
            <family val="2"/>
          </rPr>
          <t>Auteur:</t>
        </r>
        <r>
          <rPr>
            <sz val="9"/>
            <color indexed="81"/>
            <rFont val="Tahoma"/>
            <family val="2"/>
          </rPr>
          <t xml:space="preserve">
Employé : saisir le nombre d'heures réalisées sur un jour férier.
Cadre : saisir en demi journée et indiquer le nombre d'heures à droite.</t>
        </r>
      </text>
    </comment>
    <comment ref="D43" authorId="0" shapeId="0" xr:uid="{00000000-0006-0000-0100-000005000000}">
      <text>
        <r>
          <rPr>
            <b/>
            <sz val="9"/>
            <color indexed="81"/>
            <rFont val="Tahoma"/>
            <family val="2"/>
          </rPr>
          <t>Auteur:</t>
        </r>
        <r>
          <rPr>
            <sz val="9"/>
            <color indexed="81"/>
            <rFont val="Tahoma"/>
            <family val="2"/>
          </rPr>
          <t xml:space="preserve">
Ne pas saisir de CP sur un jours férier</t>
        </r>
      </text>
    </comment>
    <comment ref="E43" authorId="0" shapeId="0" xr:uid="{00000000-0006-0000-0100-000006000000}">
      <text>
        <r>
          <rPr>
            <b/>
            <sz val="9"/>
            <color indexed="81"/>
            <rFont val="Tahoma"/>
            <family val="2"/>
          </rPr>
          <t>Auteur:</t>
        </r>
        <r>
          <rPr>
            <sz val="9"/>
            <color indexed="81"/>
            <rFont val="Tahoma"/>
            <family val="2"/>
          </rPr>
          <t xml:space="preserve">
En cas de congé d'ancienneté saisir 7h par jour. (hors Cat. cadre)</t>
        </r>
      </text>
    </comment>
    <comment ref="C76" authorId="0" shapeId="0" xr:uid="{BE7D19AC-55D8-46CA-A84E-D35F1C7F9136}">
      <text>
        <r>
          <rPr>
            <b/>
            <sz val="9"/>
            <color indexed="81"/>
            <rFont val="Tahoma"/>
            <family val="2"/>
          </rPr>
          <t>Auteur:</t>
        </r>
        <r>
          <rPr>
            <sz val="9"/>
            <color indexed="81"/>
            <rFont val="Tahoma"/>
            <family val="2"/>
          </rPr>
          <t xml:space="preserve">
Employé : saisir le nombre d'heures réalisées sur un jour férier.
Cadre : saisir en demi journée et indiquer le nombre d'heures à droite.</t>
        </r>
      </text>
    </comment>
    <comment ref="D76" authorId="0" shapeId="0" xr:uid="{00000000-0006-0000-0100-000008000000}">
      <text>
        <r>
          <rPr>
            <b/>
            <sz val="9"/>
            <color indexed="81"/>
            <rFont val="Tahoma"/>
            <family val="2"/>
          </rPr>
          <t>Auteur:</t>
        </r>
        <r>
          <rPr>
            <sz val="9"/>
            <color indexed="81"/>
            <rFont val="Tahoma"/>
            <family val="2"/>
          </rPr>
          <t xml:space="preserve">
Ne pas saisir de CP sur un jours férier</t>
        </r>
      </text>
    </comment>
    <comment ref="E76" authorId="0" shapeId="0" xr:uid="{00000000-0006-0000-0100-000009000000}">
      <text>
        <r>
          <rPr>
            <b/>
            <sz val="9"/>
            <color indexed="81"/>
            <rFont val="Tahoma"/>
            <family val="2"/>
          </rPr>
          <t>Auteur:</t>
        </r>
        <r>
          <rPr>
            <sz val="9"/>
            <color indexed="81"/>
            <rFont val="Tahoma"/>
            <family val="2"/>
          </rPr>
          <t xml:space="preserve">
En cas de congé d'ancienneté saisir 7h par jour. (hors Cat. cadre)</t>
        </r>
      </text>
    </comment>
    <comment ref="C109" authorId="0" shapeId="0" xr:uid="{8A131712-8B59-4AAE-AA08-29919E99509F}">
      <text>
        <r>
          <rPr>
            <b/>
            <sz val="9"/>
            <color indexed="81"/>
            <rFont val="Tahoma"/>
            <family val="2"/>
          </rPr>
          <t>Auteur:</t>
        </r>
        <r>
          <rPr>
            <sz val="9"/>
            <color indexed="81"/>
            <rFont val="Tahoma"/>
            <family val="2"/>
          </rPr>
          <t xml:space="preserve">
Employé : saisir le nombre d'heures réalisées sur un jour férier.
Cadre : saisir en demi journée et indiquer le nombre d'heures à droite.</t>
        </r>
      </text>
    </comment>
    <comment ref="D109" authorId="0" shapeId="0" xr:uid="{00000000-0006-0000-0100-00000B000000}">
      <text>
        <r>
          <rPr>
            <b/>
            <sz val="9"/>
            <color indexed="81"/>
            <rFont val="Tahoma"/>
            <family val="2"/>
          </rPr>
          <t>Auteur:</t>
        </r>
        <r>
          <rPr>
            <sz val="9"/>
            <color indexed="81"/>
            <rFont val="Tahoma"/>
            <family val="2"/>
          </rPr>
          <t xml:space="preserve">
Ne pas saisir de CP sur un jours férier</t>
        </r>
      </text>
    </comment>
    <comment ref="E109" authorId="0" shapeId="0" xr:uid="{00000000-0006-0000-0100-00000C000000}">
      <text>
        <r>
          <rPr>
            <b/>
            <sz val="9"/>
            <color indexed="81"/>
            <rFont val="Tahoma"/>
            <family val="2"/>
          </rPr>
          <t>Auteur:</t>
        </r>
        <r>
          <rPr>
            <sz val="9"/>
            <color indexed="81"/>
            <rFont val="Tahoma"/>
            <family val="2"/>
          </rPr>
          <t xml:space="preserve">
En cas de congé d'ancienneté saisir 7h par jour. (hors Cat. cadre)</t>
        </r>
      </text>
    </comment>
    <comment ref="C142" authorId="0" shapeId="0" xr:uid="{C51A4498-CD0E-43AB-A875-498424701068}">
      <text>
        <r>
          <rPr>
            <b/>
            <sz val="9"/>
            <color indexed="81"/>
            <rFont val="Tahoma"/>
            <family val="2"/>
          </rPr>
          <t>Auteur:</t>
        </r>
        <r>
          <rPr>
            <sz val="9"/>
            <color indexed="81"/>
            <rFont val="Tahoma"/>
            <family val="2"/>
          </rPr>
          <t xml:space="preserve">
Employé : saisir le nombre d'heures réalisées sur un jour férier.
Cadre : saisir en demi journée et indiquer le nombre d'heures à droite.</t>
        </r>
      </text>
    </comment>
    <comment ref="D142" authorId="0" shapeId="0" xr:uid="{00000000-0006-0000-0100-00000E000000}">
      <text>
        <r>
          <rPr>
            <b/>
            <sz val="9"/>
            <color indexed="81"/>
            <rFont val="Tahoma"/>
            <family val="2"/>
          </rPr>
          <t>Auteur:</t>
        </r>
        <r>
          <rPr>
            <sz val="9"/>
            <color indexed="81"/>
            <rFont val="Tahoma"/>
            <family val="2"/>
          </rPr>
          <t xml:space="preserve">
Ne pas saisir de CP sur un jours férier</t>
        </r>
      </text>
    </comment>
    <comment ref="E142" authorId="0" shapeId="0" xr:uid="{00000000-0006-0000-0100-00000F000000}">
      <text>
        <r>
          <rPr>
            <b/>
            <sz val="9"/>
            <color indexed="81"/>
            <rFont val="Tahoma"/>
            <family val="2"/>
          </rPr>
          <t>Auteur:</t>
        </r>
        <r>
          <rPr>
            <sz val="9"/>
            <color indexed="81"/>
            <rFont val="Tahoma"/>
            <family val="2"/>
          </rPr>
          <t xml:space="preserve">
En cas de congé d'ancienneté saisir 7h par jour. (hors Cat. cadre)</t>
        </r>
      </text>
    </comment>
    <comment ref="C175" authorId="0" shapeId="0" xr:uid="{00000000-0006-0000-0100-000010000000}">
      <text>
        <r>
          <rPr>
            <b/>
            <sz val="9"/>
            <color indexed="81"/>
            <rFont val="Tahoma"/>
            <family val="2"/>
          </rPr>
          <t>Auteur:</t>
        </r>
        <r>
          <rPr>
            <sz val="9"/>
            <color indexed="81"/>
            <rFont val="Tahoma"/>
            <family val="2"/>
          </rPr>
          <t xml:space="preserve">
Employé : saisir le nombre d'heures réalisées sur un jour férier.</t>
        </r>
      </text>
    </comment>
    <comment ref="D175" authorId="0" shapeId="0" xr:uid="{00000000-0006-0000-0100-000011000000}">
      <text>
        <r>
          <rPr>
            <b/>
            <sz val="9"/>
            <color indexed="81"/>
            <rFont val="Tahoma"/>
            <family val="2"/>
          </rPr>
          <t>Auteur:</t>
        </r>
        <r>
          <rPr>
            <sz val="9"/>
            <color indexed="81"/>
            <rFont val="Tahoma"/>
            <family val="2"/>
          </rPr>
          <t xml:space="preserve">
Ne pas saisir de CP sur un jours férier</t>
        </r>
      </text>
    </comment>
    <comment ref="E175" authorId="0" shapeId="0" xr:uid="{00000000-0006-0000-0100-000012000000}">
      <text>
        <r>
          <rPr>
            <b/>
            <sz val="9"/>
            <color indexed="81"/>
            <rFont val="Tahoma"/>
            <family val="2"/>
          </rPr>
          <t>Auteur:</t>
        </r>
        <r>
          <rPr>
            <sz val="9"/>
            <color indexed="81"/>
            <rFont val="Tahoma"/>
            <family val="2"/>
          </rPr>
          <t xml:space="preserve">
En cas de congé d'ancienneté saisir 7h par jour. (hors Cat. cadre)</t>
        </r>
      </text>
    </comment>
    <comment ref="C208" authorId="0" shapeId="0" xr:uid="{CFE0A2E2-780D-4970-A8BC-2E39A23E246F}">
      <text>
        <r>
          <rPr>
            <b/>
            <sz val="9"/>
            <color indexed="81"/>
            <rFont val="Tahoma"/>
            <family val="2"/>
          </rPr>
          <t>Auteur:</t>
        </r>
        <r>
          <rPr>
            <sz val="9"/>
            <color indexed="81"/>
            <rFont val="Tahoma"/>
            <family val="2"/>
          </rPr>
          <t xml:space="preserve">
Employé : saisir le nombre d'heures réalisées sur un jour férier.</t>
        </r>
      </text>
    </comment>
    <comment ref="D208" authorId="0" shapeId="0" xr:uid="{00000000-0006-0000-0100-000014000000}">
      <text>
        <r>
          <rPr>
            <b/>
            <sz val="9"/>
            <color indexed="81"/>
            <rFont val="Tahoma"/>
            <family val="2"/>
          </rPr>
          <t>Auteur:</t>
        </r>
        <r>
          <rPr>
            <sz val="9"/>
            <color indexed="81"/>
            <rFont val="Tahoma"/>
            <family val="2"/>
          </rPr>
          <t xml:space="preserve">
Ne pas saisir de CP sur un jours férier</t>
        </r>
      </text>
    </comment>
    <comment ref="E208" authorId="0" shapeId="0" xr:uid="{00000000-0006-0000-0100-000015000000}">
      <text>
        <r>
          <rPr>
            <b/>
            <sz val="9"/>
            <color indexed="81"/>
            <rFont val="Tahoma"/>
            <family val="2"/>
          </rPr>
          <t>Auteur:</t>
        </r>
        <r>
          <rPr>
            <sz val="9"/>
            <color indexed="81"/>
            <rFont val="Tahoma"/>
            <family val="2"/>
          </rPr>
          <t xml:space="preserve">
En cas de congé d'ancienneté saisir 7h par jour. (hors Cat. cadre)</t>
        </r>
      </text>
    </comment>
    <comment ref="C241" authorId="0" shapeId="0" xr:uid="{4046D746-E88A-4CD6-B76F-0EDDD4AD9384}">
      <text>
        <r>
          <rPr>
            <b/>
            <sz val="9"/>
            <color indexed="81"/>
            <rFont val="Tahoma"/>
            <family val="2"/>
          </rPr>
          <t>Auteur:</t>
        </r>
        <r>
          <rPr>
            <sz val="9"/>
            <color indexed="81"/>
            <rFont val="Tahoma"/>
            <family val="2"/>
          </rPr>
          <t xml:space="preserve">
Employé : saisir le nombre d'heures réalisées sur un jour férier.</t>
        </r>
      </text>
    </comment>
    <comment ref="D241" authorId="0" shapeId="0" xr:uid="{00000000-0006-0000-0100-000017000000}">
      <text>
        <r>
          <rPr>
            <b/>
            <sz val="9"/>
            <color indexed="81"/>
            <rFont val="Tahoma"/>
            <family val="2"/>
          </rPr>
          <t>Auteur:</t>
        </r>
        <r>
          <rPr>
            <sz val="9"/>
            <color indexed="81"/>
            <rFont val="Tahoma"/>
            <family val="2"/>
          </rPr>
          <t xml:space="preserve">
Ne pas saisir de CP sur un jours férier</t>
        </r>
      </text>
    </comment>
    <comment ref="E241" authorId="0" shapeId="0" xr:uid="{00000000-0006-0000-0100-000018000000}">
      <text>
        <r>
          <rPr>
            <b/>
            <sz val="9"/>
            <color indexed="81"/>
            <rFont val="Tahoma"/>
            <family val="2"/>
          </rPr>
          <t>Auteur:</t>
        </r>
        <r>
          <rPr>
            <sz val="9"/>
            <color indexed="81"/>
            <rFont val="Tahoma"/>
            <family val="2"/>
          </rPr>
          <t xml:space="preserve">
En cas de congé d'ancienneté saisir 7h par jour. (hors Cat. cadre)</t>
        </r>
      </text>
    </comment>
    <comment ref="C274" authorId="0" shapeId="0" xr:uid="{3FA5AFC1-0A1E-4EB2-AE6C-8C7EA9918960}">
      <text>
        <r>
          <rPr>
            <b/>
            <sz val="9"/>
            <color indexed="81"/>
            <rFont val="Tahoma"/>
            <family val="2"/>
          </rPr>
          <t>Auteur:</t>
        </r>
        <r>
          <rPr>
            <sz val="9"/>
            <color indexed="81"/>
            <rFont val="Tahoma"/>
            <family val="2"/>
          </rPr>
          <t xml:space="preserve">
Employé : saisir le nombre d'heures réalisées sur un jour férier.</t>
        </r>
      </text>
    </comment>
    <comment ref="D274" authorId="0" shapeId="0" xr:uid="{00000000-0006-0000-0100-00001A000000}">
      <text>
        <r>
          <rPr>
            <b/>
            <sz val="9"/>
            <color indexed="81"/>
            <rFont val="Tahoma"/>
            <family val="2"/>
          </rPr>
          <t>Auteur:</t>
        </r>
        <r>
          <rPr>
            <sz val="9"/>
            <color indexed="81"/>
            <rFont val="Tahoma"/>
            <family val="2"/>
          </rPr>
          <t xml:space="preserve">
Ne pas saisir de CP sur un jours férier</t>
        </r>
      </text>
    </comment>
    <comment ref="E274" authorId="0" shapeId="0" xr:uid="{00000000-0006-0000-0100-00001B000000}">
      <text>
        <r>
          <rPr>
            <b/>
            <sz val="9"/>
            <color indexed="81"/>
            <rFont val="Tahoma"/>
            <family val="2"/>
          </rPr>
          <t>Auteur:</t>
        </r>
        <r>
          <rPr>
            <sz val="9"/>
            <color indexed="81"/>
            <rFont val="Tahoma"/>
            <family val="2"/>
          </rPr>
          <t xml:space="preserve">
En cas de congé d'ancienneté saisir 7h par jour. (hors Cat. cadre)</t>
        </r>
      </text>
    </comment>
    <comment ref="C307" authorId="0" shapeId="0" xr:uid="{FBE86BDF-AD68-49BE-AC5F-F25D46D9D77D}">
      <text>
        <r>
          <rPr>
            <b/>
            <sz val="9"/>
            <color indexed="81"/>
            <rFont val="Tahoma"/>
            <family val="2"/>
          </rPr>
          <t>Auteur:</t>
        </r>
        <r>
          <rPr>
            <sz val="9"/>
            <color indexed="81"/>
            <rFont val="Tahoma"/>
            <family val="2"/>
          </rPr>
          <t xml:space="preserve">
Employé : saisir le nombre d'heures réalisées sur un jour férier.</t>
        </r>
      </text>
    </comment>
    <comment ref="D307" authorId="0" shapeId="0" xr:uid="{00000000-0006-0000-0100-00001D000000}">
      <text>
        <r>
          <rPr>
            <b/>
            <sz val="9"/>
            <color indexed="81"/>
            <rFont val="Tahoma"/>
            <family val="2"/>
          </rPr>
          <t>Auteur:</t>
        </r>
        <r>
          <rPr>
            <sz val="9"/>
            <color indexed="81"/>
            <rFont val="Tahoma"/>
            <family val="2"/>
          </rPr>
          <t xml:space="preserve">
Ne pas saisir de CP sur un jours férier</t>
        </r>
      </text>
    </comment>
    <comment ref="E307" authorId="0" shapeId="0" xr:uid="{00000000-0006-0000-0100-00001E000000}">
      <text>
        <r>
          <rPr>
            <b/>
            <sz val="9"/>
            <color indexed="81"/>
            <rFont val="Tahoma"/>
            <family val="2"/>
          </rPr>
          <t>Auteur:</t>
        </r>
        <r>
          <rPr>
            <sz val="9"/>
            <color indexed="81"/>
            <rFont val="Tahoma"/>
            <family val="2"/>
          </rPr>
          <t xml:space="preserve">
En cas de congé d'ancienneté saisir 7h par jour. (hors Cat. cadre)</t>
        </r>
      </text>
    </comment>
    <comment ref="C340" authorId="0" shapeId="0" xr:uid="{C0AB8481-99D0-4283-A80E-ADE3E7AB4F13}">
      <text>
        <r>
          <rPr>
            <b/>
            <sz val="9"/>
            <color indexed="81"/>
            <rFont val="Tahoma"/>
            <family val="2"/>
          </rPr>
          <t>Auteur:</t>
        </r>
        <r>
          <rPr>
            <sz val="9"/>
            <color indexed="81"/>
            <rFont val="Tahoma"/>
            <family val="2"/>
          </rPr>
          <t xml:space="preserve">
Employé : saisir le nombre d'heures réalisées sur un jour férier.</t>
        </r>
      </text>
    </comment>
    <comment ref="D340" authorId="0" shapeId="0" xr:uid="{00000000-0006-0000-0100-000020000000}">
      <text>
        <r>
          <rPr>
            <b/>
            <sz val="9"/>
            <color indexed="81"/>
            <rFont val="Tahoma"/>
            <family val="2"/>
          </rPr>
          <t>Auteur:</t>
        </r>
        <r>
          <rPr>
            <sz val="9"/>
            <color indexed="81"/>
            <rFont val="Tahoma"/>
            <family val="2"/>
          </rPr>
          <t xml:space="preserve">
Ne pas saisir de CP sur un jours férier</t>
        </r>
      </text>
    </comment>
    <comment ref="E340" authorId="0" shapeId="0" xr:uid="{00000000-0006-0000-0100-000021000000}">
      <text>
        <r>
          <rPr>
            <b/>
            <sz val="9"/>
            <color indexed="81"/>
            <rFont val="Tahoma"/>
            <family val="2"/>
          </rPr>
          <t>Auteur:</t>
        </r>
        <r>
          <rPr>
            <sz val="9"/>
            <color indexed="81"/>
            <rFont val="Tahoma"/>
            <family val="2"/>
          </rPr>
          <t xml:space="preserve">
En cas de congé d'ancienneté saisir 7h par jour. (hors Cat. cadre)</t>
        </r>
      </text>
    </comment>
    <comment ref="C373" authorId="0" shapeId="0" xr:uid="{B41A7AE4-CCA7-4564-B1C6-33CF20EA84F2}">
      <text>
        <r>
          <rPr>
            <b/>
            <sz val="9"/>
            <color indexed="81"/>
            <rFont val="Tahoma"/>
            <family val="2"/>
          </rPr>
          <t>Auteur:</t>
        </r>
        <r>
          <rPr>
            <sz val="9"/>
            <color indexed="81"/>
            <rFont val="Tahoma"/>
            <family val="2"/>
          </rPr>
          <t xml:space="preserve">
Employé : saisir le nombre d'heures réalisées sur un jour férier.</t>
        </r>
      </text>
    </comment>
    <comment ref="D373" authorId="0" shapeId="0" xr:uid="{00000000-0006-0000-0100-000023000000}">
      <text>
        <r>
          <rPr>
            <b/>
            <sz val="9"/>
            <color indexed="81"/>
            <rFont val="Tahoma"/>
            <family val="2"/>
          </rPr>
          <t>Auteur:</t>
        </r>
        <r>
          <rPr>
            <sz val="9"/>
            <color indexed="81"/>
            <rFont val="Tahoma"/>
            <family val="2"/>
          </rPr>
          <t xml:space="preserve">
Ne pas saisir de CP sur un jours férier</t>
        </r>
      </text>
    </comment>
    <comment ref="E373" authorId="0" shapeId="0" xr:uid="{00000000-0006-0000-0100-000024000000}">
      <text>
        <r>
          <rPr>
            <b/>
            <sz val="9"/>
            <color indexed="81"/>
            <rFont val="Tahoma"/>
            <family val="2"/>
          </rPr>
          <t>Auteur:</t>
        </r>
        <r>
          <rPr>
            <sz val="9"/>
            <color indexed="81"/>
            <rFont val="Tahoma"/>
            <family val="2"/>
          </rPr>
          <t xml:space="preserve">
En cas de congé d'ancienneté saisir 7h par jour. (hors Cat. cadre)</t>
        </r>
      </text>
    </comment>
    <comment ref="C406" authorId="0" shapeId="0" xr:uid="{8EF42F6A-778B-40B1-809A-53345FAC2458}">
      <text>
        <r>
          <rPr>
            <b/>
            <sz val="9"/>
            <color indexed="81"/>
            <rFont val="Tahoma"/>
            <family val="2"/>
          </rPr>
          <t>Auteur:</t>
        </r>
        <r>
          <rPr>
            <sz val="9"/>
            <color indexed="81"/>
            <rFont val="Tahoma"/>
            <family val="2"/>
          </rPr>
          <t xml:space="preserve">
Employé : saisir le nombre d'heures réalisées sur un jour férier.</t>
        </r>
      </text>
    </comment>
    <comment ref="D406" authorId="0" shapeId="0" xr:uid="{00000000-0006-0000-0100-000026000000}">
      <text>
        <r>
          <rPr>
            <b/>
            <sz val="9"/>
            <color indexed="81"/>
            <rFont val="Tahoma"/>
            <family val="2"/>
          </rPr>
          <t>Auteur:</t>
        </r>
        <r>
          <rPr>
            <sz val="9"/>
            <color indexed="81"/>
            <rFont val="Tahoma"/>
            <family val="2"/>
          </rPr>
          <t xml:space="preserve">
Ne pas saisir de CP sur un jours férier</t>
        </r>
      </text>
    </comment>
    <comment ref="E406" authorId="0" shapeId="0" xr:uid="{00000000-0006-0000-0100-000027000000}">
      <text>
        <r>
          <rPr>
            <b/>
            <sz val="9"/>
            <color indexed="81"/>
            <rFont val="Tahoma"/>
            <family val="2"/>
          </rPr>
          <t>Auteur:</t>
        </r>
        <r>
          <rPr>
            <sz val="9"/>
            <color indexed="81"/>
            <rFont val="Tahoma"/>
            <family val="2"/>
          </rPr>
          <t xml:space="preserve">
En cas de congé d'ancienneté saisir 7h par jour. (hors Cat. cadre)</t>
        </r>
      </text>
    </comment>
    <comment ref="C439" authorId="0" shapeId="0" xr:uid="{1EA2FED7-7DD1-404A-BE03-C959060CB774}">
      <text>
        <r>
          <rPr>
            <b/>
            <sz val="9"/>
            <color indexed="81"/>
            <rFont val="Tahoma"/>
            <family val="2"/>
          </rPr>
          <t>Auteur:</t>
        </r>
        <r>
          <rPr>
            <sz val="9"/>
            <color indexed="81"/>
            <rFont val="Tahoma"/>
            <family val="2"/>
          </rPr>
          <t xml:space="preserve">
Employé : saisir le nombre d'heures réalisées sur un jour férier.</t>
        </r>
      </text>
    </comment>
    <comment ref="D439" authorId="0" shapeId="0" xr:uid="{00000000-0006-0000-0100-000029000000}">
      <text>
        <r>
          <rPr>
            <b/>
            <sz val="9"/>
            <color indexed="81"/>
            <rFont val="Tahoma"/>
            <family val="2"/>
          </rPr>
          <t>Auteur:</t>
        </r>
        <r>
          <rPr>
            <sz val="9"/>
            <color indexed="81"/>
            <rFont val="Tahoma"/>
            <family val="2"/>
          </rPr>
          <t xml:space="preserve">
Ne pas saisir de CP sur un jours férier</t>
        </r>
      </text>
    </comment>
    <comment ref="E439" authorId="0" shapeId="0" xr:uid="{00000000-0006-0000-0100-00002A000000}">
      <text>
        <r>
          <rPr>
            <b/>
            <sz val="9"/>
            <color indexed="81"/>
            <rFont val="Tahoma"/>
            <family val="2"/>
          </rPr>
          <t>Auteur:</t>
        </r>
        <r>
          <rPr>
            <sz val="9"/>
            <color indexed="81"/>
            <rFont val="Tahoma"/>
            <family val="2"/>
          </rPr>
          <t xml:space="preserve">
En cas de congé d'ancienneté saisir 7h par jour. (hors Cat. cadre)</t>
        </r>
      </text>
    </comment>
    <comment ref="C472" authorId="0" shapeId="0" xr:uid="{BB8653A3-182F-4CF4-95F5-E15D0781F220}">
      <text>
        <r>
          <rPr>
            <b/>
            <sz val="9"/>
            <color indexed="81"/>
            <rFont val="Tahoma"/>
            <family val="2"/>
          </rPr>
          <t>Auteur:</t>
        </r>
        <r>
          <rPr>
            <sz val="9"/>
            <color indexed="81"/>
            <rFont val="Tahoma"/>
            <family val="2"/>
          </rPr>
          <t xml:space="preserve">
Employé : saisir le nombre d'heures réalisées sur un jour férier.</t>
        </r>
      </text>
    </comment>
    <comment ref="D472" authorId="0" shapeId="0" xr:uid="{00000000-0006-0000-0100-00002C000000}">
      <text>
        <r>
          <rPr>
            <b/>
            <sz val="9"/>
            <color indexed="81"/>
            <rFont val="Tahoma"/>
            <family val="2"/>
          </rPr>
          <t>Auteur:</t>
        </r>
        <r>
          <rPr>
            <sz val="9"/>
            <color indexed="81"/>
            <rFont val="Tahoma"/>
            <family val="2"/>
          </rPr>
          <t xml:space="preserve">
Ne pas saisir de CP sur un jours férier</t>
        </r>
      </text>
    </comment>
    <comment ref="E472" authorId="0" shapeId="0" xr:uid="{00000000-0006-0000-0100-00002D000000}">
      <text>
        <r>
          <rPr>
            <b/>
            <sz val="9"/>
            <color indexed="81"/>
            <rFont val="Tahoma"/>
            <family val="2"/>
          </rPr>
          <t>Auteur:</t>
        </r>
        <r>
          <rPr>
            <sz val="9"/>
            <color indexed="81"/>
            <rFont val="Tahoma"/>
            <family val="2"/>
          </rPr>
          <t xml:space="preserve">
En cas de congé d'ancienneté saisir 7h par jour. (hors Cat. cadre)</t>
        </r>
      </text>
    </comment>
    <comment ref="C505" authorId="0" shapeId="0" xr:uid="{9C2A043C-EC9D-44CD-B0F9-0AD47A77E12E}">
      <text>
        <r>
          <rPr>
            <b/>
            <sz val="9"/>
            <color indexed="81"/>
            <rFont val="Tahoma"/>
            <family val="2"/>
          </rPr>
          <t>Auteur:</t>
        </r>
        <r>
          <rPr>
            <sz val="9"/>
            <color indexed="81"/>
            <rFont val="Tahoma"/>
            <family val="2"/>
          </rPr>
          <t xml:space="preserve">
Employé : saisir le nombre d'heures réalisées sur un jour férier.</t>
        </r>
      </text>
    </comment>
    <comment ref="D505" authorId="0" shapeId="0" xr:uid="{00000000-0006-0000-0100-00002F000000}">
      <text>
        <r>
          <rPr>
            <b/>
            <sz val="9"/>
            <color indexed="81"/>
            <rFont val="Tahoma"/>
            <family val="2"/>
          </rPr>
          <t>Auteur:</t>
        </r>
        <r>
          <rPr>
            <sz val="9"/>
            <color indexed="81"/>
            <rFont val="Tahoma"/>
            <family val="2"/>
          </rPr>
          <t xml:space="preserve">
Ne pas saisir de CP sur un jours férier</t>
        </r>
      </text>
    </comment>
    <comment ref="E505" authorId="0" shapeId="0" xr:uid="{00000000-0006-0000-0100-000030000000}">
      <text>
        <r>
          <rPr>
            <b/>
            <sz val="9"/>
            <color indexed="81"/>
            <rFont val="Tahoma"/>
            <family val="2"/>
          </rPr>
          <t>Auteur:</t>
        </r>
        <r>
          <rPr>
            <sz val="9"/>
            <color indexed="81"/>
            <rFont val="Tahoma"/>
            <family val="2"/>
          </rPr>
          <t xml:space="preserve">
En cas de congé d'ancienneté saisir 7h par jour. (hors Cat. cadre)</t>
        </r>
      </text>
    </comment>
    <comment ref="C538" authorId="0" shapeId="0" xr:uid="{2C87125F-2677-4D34-ADBA-523EA6D8C538}">
      <text>
        <r>
          <rPr>
            <b/>
            <sz val="9"/>
            <color indexed="81"/>
            <rFont val="Tahoma"/>
            <family val="2"/>
          </rPr>
          <t>Auteur:</t>
        </r>
        <r>
          <rPr>
            <sz val="9"/>
            <color indexed="81"/>
            <rFont val="Tahoma"/>
            <family val="2"/>
          </rPr>
          <t xml:space="preserve">
Employé : saisir le nombre d'heures réalisées sur un jour férier.</t>
        </r>
      </text>
    </comment>
    <comment ref="D538" authorId="0" shapeId="0" xr:uid="{00000000-0006-0000-0100-000032000000}">
      <text>
        <r>
          <rPr>
            <b/>
            <sz val="9"/>
            <color indexed="81"/>
            <rFont val="Tahoma"/>
            <family val="2"/>
          </rPr>
          <t>Auteur:</t>
        </r>
        <r>
          <rPr>
            <sz val="9"/>
            <color indexed="81"/>
            <rFont val="Tahoma"/>
            <family val="2"/>
          </rPr>
          <t xml:space="preserve">
Ne pas saisir de CP sur un jours férier</t>
        </r>
      </text>
    </comment>
    <comment ref="E538" authorId="0" shapeId="0" xr:uid="{00000000-0006-0000-0100-000033000000}">
      <text>
        <r>
          <rPr>
            <b/>
            <sz val="9"/>
            <color indexed="81"/>
            <rFont val="Tahoma"/>
            <family val="2"/>
          </rPr>
          <t>Auteur:</t>
        </r>
        <r>
          <rPr>
            <sz val="9"/>
            <color indexed="81"/>
            <rFont val="Tahoma"/>
            <family val="2"/>
          </rPr>
          <t xml:space="preserve">
En cas de congé d'ancienneté saisir 7h par jour. (hors Cat. cadre)</t>
        </r>
      </text>
    </comment>
    <comment ref="C571" authorId="0" shapeId="0" xr:uid="{21FBA095-B9B1-486D-824D-44D59B79DD72}">
      <text>
        <r>
          <rPr>
            <b/>
            <sz val="9"/>
            <color indexed="81"/>
            <rFont val="Tahoma"/>
            <family val="2"/>
          </rPr>
          <t>Auteur:</t>
        </r>
        <r>
          <rPr>
            <sz val="9"/>
            <color indexed="81"/>
            <rFont val="Tahoma"/>
            <family val="2"/>
          </rPr>
          <t xml:space="preserve">
Employé : saisir le nombre d'heures réalisées sur un jour férier.</t>
        </r>
      </text>
    </comment>
    <comment ref="D571" authorId="0" shapeId="0" xr:uid="{00000000-0006-0000-0100-000035000000}">
      <text>
        <r>
          <rPr>
            <b/>
            <sz val="9"/>
            <color indexed="81"/>
            <rFont val="Tahoma"/>
            <family val="2"/>
          </rPr>
          <t>Auteur:</t>
        </r>
        <r>
          <rPr>
            <sz val="9"/>
            <color indexed="81"/>
            <rFont val="Tahoma"/>
            <family val="2"/>
          </rPr>
          <t xml:space="preserve">
Ne pas saisir de CP sur un jours férier</t>
        </r>
      </text>
    </comment>
    <comment ref="E571" authorId="0" shapeId="0" xr:uid="{00000000-0006-0000-0100-000036000000}">
      <text>
        <r>
          <rPr>
            <b/>
            <sz val="9"/>
            <color indexed="81"/>
            <rFont val="Tahoma"/>
            <family val="2"/>
          </rPr>
          <t>Auteur:</t>
        </r>
        <r>
          <rPr>
            <sz val="9"/>
            <color indexed="81"/>
            <rFont val="Tahoma"/>
            <family val="2"/>
          </rPr>
          <t xml:space="preserve">
En cas de congé d'ancienneté saisir 7h par jour. (hors Cat. cadre)</t>
        </r>
      </text>
    </comment>
    <comment ref="C604" authorId="0" shapeId="0" xr:uid="{62B2A234-084C-40E3-88C6-933342B36E9F}">
      <text>
        <r>
          <rPr>
            <b/>
            <sz val="9"/>
            <color indexed="81"/>
            <rFont val="Tahoma"/>
            <family val="2"/>
          </rPr>
          <t>Auteur:</t>
        </r>
        <r>
          <rPr>
            <sz val="9"/>
            <color indexed="81"/>
            <rFont val="Tahoma"/>
            <family val="2"/>
          </rPr>
          <t xml:space="preserve">
Employé : saisir le nombre d'heures réalisées sur un jour férier.</t>
        </r>
      </text>
    </comment>
    <comment ref="D604" authorId="0" shapeId="0" xr:uid="{00000000-0006-0000-0100-000038000000}">
      <text>
        <r>
          <rPr>
            <b/>
            <sz val="9"/>
            <color indexed="81"/>
            <rFont val="Tahoma"/>
            <family val="2"/>
          </rPr>
          <t>Auteur:</t>
        </r>
        <r>
          <rPr>
            <sz val="9"/>
            <color indexed="81"/>
            <rFont val="Tahoma"/>
            <family val="2"/>
          </rPr>
          <t xml:space="preserve">
Ne pas saisir de CP sur un jours férier</t>
        </r>
      </text>
    </comment>
    <comment ref="E604" authorId="0" shapeId="0" xr:uid="{00000000-0006-0000-0100-000039000000}">
      <text>
        <r>
          <rPr>
            <b/>
            <sz val="9"/>
            <color indexed="81"/>
            <rFont val="Tahoma"/>
            <family val="2"/>
          </rPr>
          <t>Auteur:</t>
        </r>
        <r>
          <rPr>
            <sz val="9"/>
            <color indexed="81"/>
            <rFont val="Tahoma"/>
            <family val="2"/>
          </rPr>
          <t xml:space="preserve">
En cas de congé d'ancienneté saisir 7h par jour. (hors Cat. cadre)</t>
        </r>
      </text>
    </comment>
    <comment ref="C637" authorId="0" shapeId="0" xr:uid="{8AD1D5E1-2A4E-429B-9A8A-7BE2BDE96CCF}">
      <text>
        <r>
          <rPr>
            <b/>
            <sz val="9"/>
            <color indexed="81"/>
            <rFont val="Tahoma"/>
            <family val="2"/>
          </rPr>
          <t>Auteur:</t>
        </r>
        <r>
          <rPr>
            <sz val="9"/>
            <color indexed="81"/>
            <rFont val="Tahoma"/>
            <family val="2"/>
          </rPr>
          <t xml:space="preserve">
Employé : saisir le nombre d'heures réalisées sur un jour férier.</t>
        </r>
      </text>
    </comment>
    <comment ref="D637" authorId="0" shapeId="0" xr:uid="{00000000-0006-0000-0100-00003B000000}">
      <text>
        <r>
          <rPr>
            <b/>
            <sz val="9"/>
            <color indexed="81"/>
            <rFont val="Tahoma"/>
            <family val="2"/>
          </rPr>
          <t>Auteur:</t>
        </r>
        <r>
          <rPr>
            <sz val="9"/>
            <color indexed="81"/>
            <rFont val="Tahoma"/>
            <family val="2"/>
          </rPr>
          <t xml:space="preserve">
Ne pas saisir de CP sur un jours férier</t>
        </r>
      </text>
    </comment>
    <comment ref="E637" authorId="0" shapeId="0" xr:uid="{00000000-0006-0000-0100-00003C000000}">
      <text>
        <r>
          <rPr>
            <b/>
            <sz val="9"/>
            <color indexed="81"/>
            <rFont val="Tahoma"/>
            <family val="2"/>
          </rPr>
          <t>Auteur:</t>
        </r>
        <r>
          <rPr>
            <sz val="9"/>
            <color indexed="81"/>
            <rFont val="Tahoma"/>
            <family val="2"/>
          </rPr>
          <t xml:space="preserve">
En cas de congé d'ancienneté saisir 7h par jour. (hors Cat. cadre)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Auteur</author>
  </authors>
  <commentList>
    <comment ref="H40" authorId="0" shapeId="0" xr:uid="{00000000-0006-0000-0200-000001000000}">
      <text>
        <r>
          <rPr>
            <b/>
            <sz val="7"/>
            <color indexed="81"/>
            <rFont val="Tahoma"/>
            <family val="2"/>
          </rPr>
          <t>Auteur:</t>
        </r>
        <r>
          <rPr>
            <sz val="7"/>
            <color indexed="81"/>
            <rFont val="Tahoma"/>
            <family val="2"/>
          </rPr>
          <t xml:space="preserve">
Commentaire.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Auteur</author>
  </authors>
  <commentList>
    <comment ref="F6" authorId="0" shapeId="0" xr:uid="{00000000-0006-0000-0400-000001000000}">
      <text>
        <r>
          <rPr>
            <b/>
            <sz val="9"/>
            <color indexed="81"/>
            <rFont val="Tahoma"/>
            <family val="2"/>
          </rPr>
          <t>Auteur:</t>
        </r>
        <r>
          <rPr>
            <sz val="9"/>
            <color indexed="81"/>
            <rFont val="Tahoma"/>
            <family val="2"/>
          </rPr>
          <t xml:space="preserve">
Nombre d'heure à ajouter</t>
        </r>
      </text>
    </comment>
    <comment ref="K8" authorId="0" shapeId="0" xr:uid="{00000000-0006-0000-0400-000002000000}">
      <text>
        <r>
          <rPr>
            <b/>
            <sz val="9"/>
            <color indexed="81"/>
            <rFont val="Tahoma"/>
            <family val="2"/>
          </rPr>
          <t>Auteur:</t>
        </r>
        <r>
          <rPr>
            <sz val="9"/>
            <color indexed="81"/>
            <rFont val="Tahoma"/>
            <family val="2"/>
          </rPr>
          <t xml:space="preserve">
Pour calcul restant hebdomadaire</t>
        </r>
      </text>
    </comment>
    <comment ref="J12" authorId="0" shapeId="0" xr:uid="{00000000-0006-0000-0400-000003000000}">
      <text>
        <r>
          <rPr>
            <b/>
            <sz val="9"/>
            <color indexed="81"/>
            <rFont val="Tahoma"/>
            <family val="2"/>
          </rPr>
          <t>Auteur:</t>
        </r>
        <r>
          <rPr>
            <sz val="9"/>
            <color indexed="81"/>
            <rFont val="Tahoma"/>
            <family val="2"/>
          </rPr>
          <t xml:space="preserve">
Renseigner la synthèse horraire</t>
        </r>
      </text>
    </comment>
    <comment ref="AE12" authorId="0" shapeId="0" xr:uid="{00000000-0006-0000-0400-000004000000}">
      <text>
        <r>
          <rPr>
            <b/>
            <sz val="9"/>
            <color indexed="81"/>
            <rFont val="Tahoma"/>
            <family val="2"/>
          </rPr>
          <t>Auteur:</t>
        </r>
        <r>
          <rPr>
            <sz val="9"/>
            <color indexed="81"/>
            <rFont val="Tahoma"/>
            <family val="2"/>
          </rPr>
          <t xml:space="preserve">
CP pris en anticipé, erreur de comptage…
</t>
        </r>
      </text>
    </comment>
    <comment ref="AF12" authorId="0" shapeId="0" xr:uid="{00000000-0006-0000-0400-000005000000}">
      <text>
        <r>
          <rPr>
            <b/>
            <sz val="9"/>
            <color indexed="81"/>
            <rFont val="Tahoma"/>
            <family val="2"/>
          </rPr>
          <t>Auteur:</t>
        </r>
        <r>
          <rPr>
            <sz val="9"/>
            <color indexed="81"/>
            <rFont val="Tahoma"/>
            <family val="2"/>
          </rPr>
          <t xml:space="preserve">
CP pris en anticipé, erreur de comptage…
</t>
        </r>
      </text>
    </comment>
    <comment ref="AG12" authorId="0" shapeId="0" xr:uid="{00000000-0006-0000-0400-000006000000}">
      <text>
        <r>
          <rPr>
            <b/>
            <sz val="9"/>
            <color indexed="81"/>
            <rFont val="Tahoma"/>
            <family val="2"/>
          </rPr>
          <t>Auteur:</t>
        </r>
        <r>
          <rPr>
            <sz val="9"/>
            <color indexed="81"/>
            <rFont val="Tahoma"/>
            <family val="2"/>
          </rPr>
          <t xml:space="preserve">
CP pris en anticipé, erreur de comptage…
</t>
        </r>
      </text>
    </comment>
    <comment ref="AH12" authorId="0" shapeId="0" xr:uid="{00000000-0006-0000-0400-000007000000}">
      <text>
        <r>
          <rPr>
            <b/>
            <sz val="9"/>
            <color indexed="81"/>
            <rFont val="Tahoma"/>
            <family val="2"/>
          </rPr>
          <t>Auteur:</t>
        </r>
        <r>
          <rPr>
            <sz val="9"/>
            <color indexed="81"/>
            <rFont val="Tahoma"/>
            <family val="2"/>
          </rPr>
          <t xml:space="preserve">
CP pris en anticipé, erreur de comptage…
</t>
        </r>
      </text>
    </comment>
    <comment ref="AI12" authorId="0" shapeId="0" xr:uid="{00000000-0006-0000-0400-000008000000}">
      <text>
        <r>
          <rPr>
            <b/>
            <sz val="9"/>
            <color indexed="81"/>
            <rFont val="Tahoma"/>
            <family val="2"/>
          </rPr>
          <t>Auteur:</t>
        </r>
        <r>
          <rPr>
            <sz val="9"/>
            <color indexed="81"/>
            <rFont val="Tahoma"/>
            <family val="2"/>
          </rPr>
          <t xml:space="preserve">
CP pris en anticipé, erreur de comptage…
</t>
        </r>
      </text>
    </comment>
    <comment ref="AJ12" authorId="0" shapeId="0" xr:uid="{00000000-0006-0000-0400-000009000000}">
      <text>
        <r>
          <rPr>
            <b/>
            <sz val="9"/>
            <color indexed="81"/>
            <rFont val="Tahoma"/>
            <family val="2"/>
          </rPr>
          <t>Auteur:</t>
        </r>
        <r>
          <rPr>
            <sz val="9"/>
            <color indexed="81"/>
            <rFont val="Tahoma"/>
            <family val="2"/>
          </rPr>
          <t xml:space="preserve">
CP pris en anticipé, erreur de comptage…
</t>
        </r>
      </text>
    </comment>
    <comment ref="B13" authorId="0" shapeId="0" xr:uid="{00000000-0006-0000-0400-00000A000000}">
      <text>
        <r>
          <rPr>
            <sz val="8"/>
            <color indexed="81"/>
            <rFont val="Tahoma"/>
            <family val="2"/>
          </rPr>
          <t>&lt;?NumeroEmploye</t>
        </r>
      </text>
    </comment>
    <comment ref="C13" authorId="0" shapeId="0" xr:uid="{00000000-0006-0000-0400-00000B000000}">
      <text>
        <r>
          <rPr>
            <sz val="8"/>
            <color indexed="81"/>
            <rFont val="Tahoma"/>
            <family val="2"/>
          </rPr>
          <t>&lt;#Employes.NomPrenom</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Auteur</author>
  </authors>
  <commentList>
    <comment ref="E2" authorId="0" shapeId="0" xr:uid="{00000000-0006-0000-0500-000001000000}">
      <text>
        <r>
          <rPr>
            <b/>
            <sz val="9"/>
            <color indexed="81"/>
            <rFont val="Tahoma"/>
            <family val="2"/>
          </rPr>
          <t>Auteur:</t>
        </r>
        <r>
          <rPr>
            <sz val="9"/>
            <color indexed="81"/>
            <rFont val="Tahoma"/>
            <family val="2"/>
          </rPr>
          <t xml:space="preserve">
Colonne A; état CP ET TT</t>
        </r>
      </text>
    </comment>
    <comment ref="F2" authorId="0" shapeId="0" xr:uid="{00000000-0006-0000-0500-000002000000}">
      <text>
        <r>
          <rPr>
            <b/>
            <sz val="9"/>
            <color indexed="81"/>
            <rFont val="Tahoma"/>
            <family val="2"/>
          </rPr>
          <t>Auteur:</t>
        </r>
        <r>
          <rPr>
            <sz val="9"/>
            <color indexed="81"/>
            <rFont val="Tahoma"/>
            <family val="2"/>
          </rPr>
          <t xml:space="preserve">
Colonne F+G ; état CP ET TT</t>
        </r>
      </text>
    </comment>
    <comment ref="G2" authorId="0" shapeId="0" xr:uid="{00000000-0006-0000-0500-000003000000}">
      <text>
        <r>
          <rPr>
            <b/>
            <sz val="9"/>
            <color indexed="81"/>
            <rFont val="Tahoma"/>
            <family val="2"/>
          </rPr>
          <t>Auteur:</t>
        </r>
        <r>
          <rPr>
            <sz val="9"/>
            <color indexed="81"/>
            <rFont val="Tahoma"/>
            <family val="2"/>
          </rPr>
          <t xml:space="preserve">
Colonne N; état CP ET TT</t>
        </r>
      </text>
    </comment>
    <comment ref="H2" authorId="0" shapeId="0" xr:uid="{00000000-0006-0000-0500-000004000000}">
      <text>
        <r>
          <rPr>
            <b/>
            <sz val="9"/>
            <color indexed="81"/>
            <rFont val="Tahoma"/>
            <family val="2"/>
          </rPr>
          <t>Auteur:</t>
        </r>
        <r>
          <rPr>
            <sz val="9"/>
            <color indexed="81"/>
            <rFont val="Tahoma"/>
            <family val="2"/>
          </rPr>
          <t xml:space="preserve">
Colonne O; état CP ET TT</t>
        </r>
      </text>
    </comment>
    <comment ref="I2" authorId="0" shapeId="0" xr:uid="{B75ECD06-DD3F-4A77-9EE6-5DE2ACA55B8D}">
      <text>
        <r>
          <rPr>
            <b/>
            <sz val="9"/>
            <color indexed="81"/>
            <rFont val="Tahoma"/>
            <family val="2"/>
          </rPr>
          <t>Auteur:</t>
        </r>
        <r>
          <rPr>
            <sz val="9"/>
            <color indexed="81"/>
            <rFont val="Tahoma"/>
            <family val="2"/>
          </rPr>
          <t xml:space="preserve">
Colone G, Etat CP &amp; TT</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Auteur</author>
  </authors>
  <commentList>
    <comment ref="E8" authorId="0" shapeId="0" xr:uid="{9D7925A3-4424-45FF-9BBF-E50230DBA7F5}">
      <text>
        <r>
          <rPr>
            <b/>
            <sz val="9"/>
            <color indexed="81"/>
            <rFont val="Tahoma"/>
            <family val="2"/>
          </rPr>
          <t>Auteur:</t>
        </r>
        <r>
          <rPr>
            <sz val="9"/>
            <color indexed="81"/>
            <rFont val="Tahoma"/>
            <family val="2"/>
          </rPr>
          <t xml:space="preserve">
Sortie avant diffusion nouveau tableau de décalaration</t>
        </r>
      </text>
    </comment>
  </commentList>
</comments>
</file>

<file path=xl/sharedStrings.xml><?xml version="1.0" encoding="utf-8"?>
<sst xmlns="http://schemas.openxmlformats.org/spreadsheetml/2006/main" count="6155" uniqueCount="810">
  <si>
    <t>ETAT DE SYNTHESE DES SUIVIS HORRAIRES SALARIES</t>
  </si>
  <si>
    <t xml:space="preserve">Enseigne : </t>
  </si>
  <si>
    <t>Etablissement :</t>
  </si>
  <si>
    <t>Année :</t>
  </si>
  <si>
    <t>Catégorie Cadre</t>
  </si>
  <si>
    <t>Catégorie Employé</t>
  </si>
  <si>
    <t>Matricule</t>
  </si>
  <si>
    <t>Heures réalisés</t>
  </si>
  <si>
    <t>Congés à prendre</t>
  </si>
  <si>
    <t>Congés pris</t>
  </si>
  <si>
    <t>Période de congés de référence :</t>
  </si>
  <si>
    <t>Jours réalisés</t>
  </si>
  <si>
    <t>Jours restants à réaliser</t>
  </si>
  <si>
    <t>Heures restantes à réaliser</t>
  </si>
  <si>
    <t>Jours absences injustifiées</t>
  </si>
  <si>
    <t>Jours absences Justifiées</t>
  </si>
  <si>
    <t>Heures absences injustifiées</t>
  </si>
  <si>
    <t>Heures absences Justifiées</t>
  </si>
  <si>
    <t>Matricule :</t>
  </si>
  <si>
    <t>Numéro</t>
  </si>
  <si>
    <t>Nom/Prénom</t>
  </si>
  <si>
    <t>MARQUES LAETITIA</t>
  </si>
  <si>
    <t>LECOMPTE PAULINE</t>
  </si>
  <si>
    <t>LAVIRON JEAN CLAUDE</t>
  </si>
  <si>
    <t>COLSON MAXIME</t>
  </si>
  <si>
    <t>LANGLOIS CAROLINE</t>
  </si>
  <si>
    <t>PETITJEAN ANGELIQUE</t>
  </si>
  <si>
    <t>CHUTRY JEAN CHARLES</t>
  </si>
  <si>
    <t>POUGIN VIRGINIE</t>
  </si>
  <si>
    <t>TISON AURELIE</t>
  </si>
  <si>
    <t>BONGAY FABIEN</t>
  </si>
  <si>
    <t>MOUGIN LAURENCE</t>
  </si>
  <si>
    <t>DEBUCHY JULIEN</t>
  </si>
  <si>
    <t>CHAUDRON YOAN</t>
  </si>
  <si>
    <t>CEROU CHRISTELLE</t>
  </si>
  <si>
    <t>BALLAND JUSTINE</t>
  </si>
  <si>
    <t>COULIN SEBASTIEN</t>
  </si>
  <si>
    <t>GUINCHARD LIONEL</t>
  </si>
  <si>
    <t>RAZBINSKI SACHA</t>
  </si>
  <si>
    <t>BOYER FABIENNE</t>
  </si>
  <si>
    <t>LASZCZYK ANTHONY</t>
  </si>
  <si>
    <t>GENAY GERALDINE</t>
  </si>
  <si>
    <t>PERONNET WILLIAM</t>
  </si>
  <si>
    <t>LOPES JORGE</t>
  </si>
  <si>
    <t>DELORME CHRISTOPHE</t>
  </si>
  <si>
    <t>GEOFFROY GREGORY</t>
  </si>
  <si>
    <t>GREPIER PEGGY</t>
  </si>
  <si>
    <t>LARIBE MATHIEU</t>
  </si>
  <si>
    <t>ROTTIER FRANCK</t>
  </si>
  <si>
    <t>MONNERON PAUL</t>
  </si>
  <si>
    <t>EXPOSITO ELOISE</t>
  </si>
  <si>
    <t>ESCOFFIER LYNE</t>
  </si>
  <si>
    <t>CHOUX SANDRINE</t>
  </si>
  <si>
    <t>LOMBARD AMAURY</t>
  </si>
  <si>
    <t>LEFEVRE LISE</t>
  </si>
  <si>
    <t>VITORINO JULIEN</t>
  </si>
  <si>
    <t>Base matricule GEFEC - Procéder par ajout à la suite en cas de nouvelle entrée, ne pas procéder à des suppressions.</t>
  </si>
  <si>
    <t>Nom / Prénom</t>
  </si>
  <si>
    <t xml:space="preserve">Saisir le matricule du salarié pour allimenter automatiquement les données horraires. </t>
  </si>
  <si>
    <t>Nom / Prénom :</t>
  </si>
  <si>
    <t>L'un ou l'autre !</t>
  </si>
  <si>
    <t>Catégorie (choix en liste)</t>
  </si>
  <si>
    <t>Date entrée (format XX/XX/XXXX)</t>
  </si>
  <si>
    <t>Année référence masque</t>
  </si>
  <si>
    <t>Date de mise à jour du fichier base :</t>
  </si>
  <si>
    <t>Nbr Jours Année :</t>
  </si>
  <si>
    <t>Samedis + Dimanches :</t>
  </si>
  <si>
    <t>Jours fériés hors Samedi ou Dimanche :</t>
  </si>
  <si>
    <t>Nombre CP en jours :</t>
  </si>
  <si>
    <t>TOTAL JOURS TRAVAILLES :</t>
  </si>
  <si>
    <t>Temps de travail Employé DATA :</t>
  </si>
  <si>
    <t>Volume horraire contractuel hebdomadaire (en H)</t>
  </si>
  <si>
    <t>Nombre de jours à travailler contractuel annuel (Cadre)</t>
  </si>
  <si>
    <t>Volume horraire annuel plein (employé)</t>
  </si>
  <si>
    <t>Nombre de demi journées cadre</t>
  </si>
  <si>
    <t>Heures de solidarité à imputer :</t>
  </si>
  <si>
    <t>Base horaire travail hebdomadaire :</t>
  </si>
  <si>
    <t>Arrondi sup administration 35 h :</t>
  </si>
  <si>
    <t>Arrondi sup administration 39 h :</t>
  </si>
  <si>
    <t>Arrondi sup administration 41 h :</t>
  </si>
  <si>
    <t>Arrondi sup administration 20 h :</t>
  </si>
  <si>
    <t>Arrondi sup administration 25 h :</t>
  </si>
  <si>
    <t>Remplir les données uniquement dans les chants en surbrillance "sable"</t>
  </si>
  <si>
    <t>Date arrêté des CP N :</t>
  </si>
  <si>
    <t>Calcul Prorata avant Arrêté CP N</t>
  </si>
  <si>
    <t>Calcul Prorata après Arrêté CP N</t>
  </si>
  <si>
    <t>Calcul Prorata annuel Employé N-1 à N</t>
  </si>
  <si>
    <t>Calcul Prorata annuel Employé N à N+1</t>
  </si>
  <si>
    <t>CP N+1</t>
  </si>
  <si>
    <t>Calcul Prorata Annuel Cadre N-1 à N (Demi J)</t>
  </si>
  <si>
    <t>Calcul Prorata Annuel Cadre N à N+1 (Demi J)</t>
  </si>
  <si>
    <t>Calcul Prorata Annuel Cadre N-1 à N ( J)</t>
  </si>
  <si>
    <t>Calcul Prorata Annuel Cadre N à N+1 ( J)</t>
  </si>
  <si>
    <t>MAGASIN D'AFFECT.</t>
  </si>
  <si>
    <t>DATA BASE GEFEC - Ne pas modifier</t>
  </si>
  <si>
    <t>BASE ENSEIGNE &amp; MAGASIN</t>
  </si>
  <si>
    <t>But</t>
  </si>
  <si>
    <t>Enseigne</t>
  </si>
  <si>
    <t>Site Magasin</t>
  </si>
  <si>
    <t>Ancienneté : NBR JOURS PRESENCE ENTREPRISE</t>
  </si>
  <si>
    <t>CONGES ANCIENNETE EMPLOYE</t>
  </si>
  <si>
    <t>CONGES ANCIENNETE CADRE</t>
  </si>
  <si>
    <t>Cadre</t>
  </si>
  <si>
    <t>Lundi</t>
  </si>
  <si>
    <t>Mardi</t>
  </si>
  <si>
    <t>Mercredi</t>
  </si>
  <si>
    <t>Jeudi</t>
  </si>
  <si>
    <t>Vendredi</t>
  </si>
  <si>
    <t>Samedi</t>
  </si>
  <si>
    <t>Dimanche</t>
  </si>
  <si>
    <t>Type absence</t>
  </si>
  <si>
    <t>Congés spécifiques.</t>
  </si>
  <si>
    <t>Article 38</t>
  </si>
  <si>
    <t xml:space="preserve">En vigueur étendu </t>
  </si>
  <si>
    <t xml:space="preserve">Des congés exceptionnels payés sont accordés au salarié, sur présentation d'un justificatif, dans les conditions ci-dessous. </t>
  </si>
  <si>
    <t xml:space="preserve">Ces congés devront être pris au moment des événements en cause et n'entraîneront pas de réduction de la rémunération mensuelle conformément à l'article L. 226-1 du code du travail. </t>
  </si>
  <si>
    <t xml:space="preserve">a) Sans condition d'ancienneté : </t>
  </si>
  <si>
    <t xml:space="preserve">- mariage du salarié ou signature d'un pacte civil de solidarité : 4 jours ; </t>
  </si>
  <si>
    <t xml:space="preserve">- naissance ou adoption d'un enfant : 3 jours ; </t>
  </si>
  <si>
    <t xml:space="preserve">- mariage d'un enfant : 2 jours ; </t>
  </si>
  <si>
    <t xml:space="preserve">- décès du conjoint, du partenaire lié par un pacte civil de solidarité ou d'un enfant : 5 jours ; </t>
  </si>
  <si>
    <t xml:space="preserve">- décès d'un autre ascendant ou d'un descendant autre qu'un enfant, décès d'un beau-parent : 1 jour. </t>
  </si>
  <si>
    <t xml:space="preserve">- décès d'un frère ou beau-frère, d'une soeur ou belle-soeur : 1 jour. </t>
  </si>
  <si>
    <t xml:space="preserve">Lorsque le décès nécessite un déplacement de plus de 300 kilomètres du domicile du salarié, il lui sera accordé, sur sa demande, une autorisation d'absence complémentaire de 1 jour ; </t>
  </si>
  <si>
    <t xml:space="preserve">- entrée d'un enfant en classes maternelles, cours préparatoire et sixième : 2 heures. </t>
  </si>
  <si>
    <t xml:space="preserve">b) Après 1 an d'ancienneté : </t>
  </si>
  <si>
    <t xml:space="preserve">- déménagement : 1 jour non renouvelable pendant 2 ans. </t>
  </si>
  <si>
    <t xml:space="preserve">38.1 Congé pour garde d'un enfant malade </t>
  </si>
  <si>
    <t xml:space="preserve">Tout salarié a le droit de bénéficier d'un congé non rémunéré en cas de maladie ou d'accident constaté par certificat médical d'un enfant de moins de 16 ans dont il assume la charge au sens de l'article L. 513-1 du code de la sécurité sociale. </t>
  </si>
  <si>
    <t xml:space="preserve">La durée de ce congé est de 4 jours ou 8 demi-journées par année civile. Elle est portée à 5 jours ou 10 demijournées si l'enfant est âgé de moins de 1 an ou si le salarié assume la charge de 3 enfants ou plus, âgés de moins de 16 ans. </t>
  </si>
  <si>
    <t xml:space="preserve">En cas d'hospitalisation, 4 jours supplémentaires ou 8 demi-journées sont accordés. </t>
  </si>
  <si>
    <t xml:space="preserve">Lorsque les deux parents travaillent dans la même entreprise, ils ne peuvent simultanément bénéficier des dispositions ci-dessus. </t>
  </si>
  <si>
    <t>Dans les conditions définies par les articles L. 1225-62 à L. 1225-65 du code du travail, tout salarié pourra solliciter un congé de présence parentale.</t>
  </si>
  <si>
    <t>(L'octroit de congés spécifique  doit être justifié par le salarié à l'aide d'un certificat ou de tout autre document permettant la validation du congé).</t>
  </si>
  <si>
    <t>Ce justificatif doit être fourni à la centrale lors de la remontée mensuelle des fichiers de déclaration d'horaires.</t>
  </si>
  <si>
    <t>Semaine 1</t>
  </si>
  <si>
    <t>RECAP MOIS</t>
  </si>
  <si>
    <t>Semaine 2</t>
  </si>
  <si>
    <t>Semaine 3</t>
  </si>
  <si>
    <t>Semaine 4</t>
  </si>
  <si>
    <t>Semaine 5</t>
  </si>
  <si>
    <t>Férié</t>
  </si>
  <si>
    <t>Abs</t>
  </si>
  <si>
    <t>Accident T</t>
  </si>
  <si>
    <t>Injustifiée</t>
  </si>
  <si>
    <t>Sans Soldes</t>
  </si>
  <si>
    <t>Mariage PACS</t>
  </si>
  <si>
    <t>Mariage enfant</t>
  </si>
  <si>
    <t>Rentrée Scolaire</t>
  </si>
  <si>
    <t>Maladie</t>
  </si>
  <si>
    <t>Garde enfant malade</t>
  </si>
  <si>
    <t>Samaine 1</t>
  </si>
  <si>
    <t>Samaine 2</t>
  </si>
  <si>
    <t>Samaine 3</t>
  </si>
  <si>
    <t>Samaine 4</t>
  </si>
  <si>
    <t>Samaine 5</t>
  </si>
  <si>
    <t>TOTAL</t>
  </si>
  <si>
    <t>Zone automatisée, ne pas modifier</t>
  </si>
  <si>
    <t>Catégorie S. Professionnelle :</t>
  </si>
  <si>
    <t>Heures dimanche :</t>
  </si>
  <si>
    <t>TEMPS PARTIEL</t>
  </si>
  <si>
    <t>Temps partiel :</t>
  </si>
  <si>
    <t>Temps partiel. HC :</t>
  </si>
  <si>
    <t>Temps partiel. HS :</t>
  </si>
  <si>
    <t>Employé HS :</t>
  </si>
  <si>
    <t>Heures Férier :</t>
  </si>
  <si>
    <t>B026 DIMANCHE</t>
  </si>
  <si>
    <t>B024 JF employé</t>
  </si>
  <si>
    <t>B024 JF Cadre</t>
  </si>
  <si>
    <t>Calcul 10% partiel :</t>
  </si>
  <si>
    <t>RUB</t>
  </si>
  <si>
    <t>TT non cadre</t>
  </si>
  <si>
    <t>Temps de travail :</t>
  </si>
  <si>
    <t>Absence à retirer de la rubrique TT :</t>
  </si>
  <si>
    <t>Calcul CP vers rubrique TT en H :</t>
  </si>
  <si>
    <t>Temps partiel. Hcomp. nn plaf :</t>
  </si>
  <si>
    <t>TT cadre</t>
  </si>
  <si>
    <t>Signature Manager :</t>
  </si>
  <si>
    <t>Signature Collaborateur :</t>
  </si>
  <si>
    <t xml:space="preserve">Document prévisionnel à envoyé </t>
  </si>
  <si>
    <t xml:space="preserve">pour le 20 du mois en cours. </t>
  </si>
  <si>
    <t>Document réel à signer et à envoyer sous</t>
  </si>
  <si>
    <t>Dole</t>
  </si>
  <si>
    <t>Corbenay</t>
  </si>
  <si>
    <t>Remiremont</t>
  </si>
  <si>
    <t>Hericourt</t>
  </si>
  <si>
    <t>Dompaire</t>
  </si>
  <si>
    <t>Grandvillars</t>
  </si>
  <si>
    <t>Bar Sur Aube</t>
  </si>
  <si>
    <t>Bourguignon</t>
  </si>
  <si>
    <t>Champagnole</t>
  </si>
  <si>
    <t>Conflans en Jarnisy</t>
  </si>
  <si>
    <t>Dommartin les Toul</t>
  </si>
  <si>
    <t>Joigny</t>
  </si>
  <si>
    <t>Lure</t>
  </si>
  <si>
    <t>Marmoutier</t>
  </si>
  <si>
    <t>Neufchâteau</t>
  </si>
  <si>
    <t>Semur en Auxois</t>
  </si>
  <si>
    <t>Tonnerre</t>
  </si>
  <si>
    <t>Vesoul</t>
  </si>
  <si>
    <t>Export vers synthèse</t>
  </si>
  <si>
    <t>Année N</t>
  </si>
  <si>
    <t xml:space="preserve"> format pdf (scan) et en excel duement complété</t>
  </si>
  <si>
    <t>pour le 5 du mois suivant.</t>
  </si>
  <si>
    <t>DATA BASE NE PAS MODIFIER</t>
  </si>
  <si>
    <t xml:space="preserve">Mois en cours: </t>
  </si>
  <si>
    <t>Mois en cours :</t>
  </si>
  <si>
    <t>Heures réalisées</t>
  </si>
  <si>
    <t>Congés Pris (en demis journées)</t>
  </si>
  <si>
    <t>Val référence absences injustifiées</t>
  </si>
  <si>
    <t>Val référence absences Justifiées</t>
  </si>
  <si>
    <t>Catégorie</t>
  </si>
  <si>
    <t>Ancienneté</t>
  </si>
  <si>
    <t>Congé ancienneté</t>
  </si>
  <si>
    <t>BCPM CA PRIS</t>
  </si>
  <si>
    <t>BHT TT</t>
  </si>
  <si>
    <t>B004 HS25</t>
  </si>
  <si>
    <t>Heures Sup 25</t>
  </si>
  <si>
    <t>B034 HC</t>
  </si>
  <si>
    <t>Heures complémentaires</t>
  </si>
  <si>
    <t>Dimanche travaillé</t>
  </si>
  <si>
    <t>Karine : Remplir uniquement les chants en surbrillance "bleu"</t>
  </si>
  <si>
    <t>B056 HEURES SUP DIM CADRE</t>
  </si>
  <si>
    <t>B057 MA</t>
  </si>
  <si>
    <t>Majoration jours férier cadre</t>
  </si>
  <si>
    <t>MOIS</t>
  </si>
  <si>
    <t>B056 HEURES SUP CADRE DIMANCHE</t>
  </si>
  <si>
    <t>B057 MAJORATION 50% JF CADRE</t>
  </si>
  <si>
    <t>PREPA EXPORT QUADRA</t>
  </si>
  <si>
    <t>COPIER DE LA LIGNE 7 à 27 en valeur.</t>
  </si>
  <si>
    <t>PREPA EXPORT SYNTHESE</t>
  </si>
  <si>
    <t>Col 1</t>
  </si>
  <si>
    <t>Col 2</t>
  </si>
  <si>
    <t>Col 3</t>
  </si>
  <si>
    <t>Col 4</t>
  </si>
  <si>
    <t>Col 5</t>
  </si>
  <si>
    <t>Col 6</t>
  </si>
  <si>
    <t>Col 7</t>
  </si>
  <si>
    <t>Col 8</t>
  </si>
  <si>
    <t>Col 9</t>
  </si>
  <si>
    <t>Col 10</t>
  </si>
  <si>
    <t>Col 11</t>
  </si>
  <si>
    <t>Col 12</t>
  </si>
  <si>
    <t>Col 13</t>
  </si>
  <si>
    <t>Col 14</t>
  </si>
  <si>
    <t>Col 15</t>
  </si>
  <si>
    <t>Col 16</t>
  </si>
  <si>
    <t>Col 17</t>
  </si>
  <si>
    <t>Col 18</t>
  </si>
  <si>
    <t>Col 19</t>
  </si>
  <si>
    <t>Col 20</t>
  </si>
  <si>
    <t>UTILISATION de l'onglet "MASQUE COLLABORATEUR"</t>
  </si>
  <si>
    <t>Attention, vous devez prendre en considération ces données avant de vous servir de cette maquette :</t>
  </si>
  <si>
    <t>Le masque collaborateur est scindé en deux parties, sur le côté gauche de l'écran vous avez à votre disposition des pettits symboles (+ &amp; -) qui servent à déplier ou non les fiches collaborateurs.</t>
  </si>
  <si>
    <t xml:space="preserve">Les 15 dernières fiches sont réservées au personnel de catégorie Employé. </t>
  </si>
  <si>
    <t>Ces fiches doivent être saisies dans l'ordre croissant, à la suite. (Exemple, 1 directeur en magasin aura la fiche 1, les 8 colaborateurs ensuites auront les fiches de 6 à 13).</t>
  </si>
  <si>
    <t xml:space="preserve">Les fiches 2 à 5 et 14 à 20 ne seront pas utilisées. </t>
  </si>
  <si>
    <t xml:space="preserve">Vous n'avez qu'a saisir dans la case jaune le numéro de matricule du collaborateur, tous les chants s'allimenteront alors automatiquement. </t>
  </si>
  <si>
    <t>Il vous restera alors à déclarer les horraires de vos collaborateurs ainsi que leurs congés. (En demi journée pour les cadre et en heures pour les employés).</t>
  </si>
  <si>
    <t>Prennez bien en considération les commentaires inscrits comme ceci :</t>
  </si>
  <si>
    <t>Document à retourner au service RH sous forme excel pour le 5 du mois suivant et sous format PDF après avoir signé avec le collaborateurs les horraires déclarés et réalisés.</t>
  </si>
  <si>
    <t>Document à retourner au service RH sous forme excel pour le 20 du mois en cours (prévisions d'horraires). [Pour l'établissement de paies].</t>
  </si>
  <si>
    <t>COLLAGE VALEUR EXPORT VERS TT&amp;CP / Fichier export Quadra</t>
  </si>
  <si>
    <t>Intégration des données pour renvoi Synthèse horraires.</t>
  </si>
  <si>
    <t>PREPA EXPORT PRODUCTIVITE</t>
  </si>
  <si>
    <t>Etablissement</t>
  </si>
  <si>
    <t>Volume Hebdo</t>
  </si>
  <si>
    <t>Volume effectif Semaine 1</t>
  </si>
  <si>
    <t>Volume effectif Semaine 2</t>
  </si>
  <si>
    <t>Volume effectif Semaine 3</t>
  </si>
  <si>
    <t>Volume effectif Semaine 4</t>
  </si>
  <si>
    <t>Volume effectif Semaine 5</t>
  </si>
  <si>
    <t>Les 5 premières fiches sont réservées au personnel de catégorie Cadre. La première fiche dois correspondre au Directeur d'Etablissement.</t>
  </si>
  <si>
    <t>Employé</t>
  </si>
  <si>
    <t>Dans le fichier</t>
  </si>
  <si>
    <t>Semaine prise en compte format "SS"</t>
  </si>
  <si>
    <t>Inscrire les semaines correspondantes au fichier</t>
  </si>
  <si>
    <t>Semaine</t>
  </si>
  <si>
    <t>Fiche 1 - DIR</t>
  </si>
  <si>
    <t>Fiche 2 - C</t>
  </si>
  <si>
    <t>Fiche 3 - C</t>
  </si>
  <si>
    <t>Fiche 4 - C</t>
  </si>
  <si>
    <t>Fiche 6</t>
  </si>
  <si>
    <t>Fiche 7</t>
  </si>
  <si>
    <t>Fiche 8</t>
  </si>
  <si>
    <t>Fiche 9</t>
  </si>
  <si>
    <t>Fiche 10</t>
  </si>
  <si>
    <t>Fiche 11</t>
  </si>
  <si>
    <t>Fiche 12</t>
  </si>
  <si>
    <t>Fiche 13</t>
  </si>
  <si>
    <t>Fiche 14</t>
  </si>
  <si>
    <t>Fiche 15</t>
  </si>
  <si>
    <t>Fiche 16</t>
  </si>
  <si>
    <t>Fiche 17</t>
  </si>
  <si>
    <t>Fiche 18</t>
  </si>
  <si>
    <t>Fiche 19</t>
  </si>
  <si>
    <t>Fiche 20</t>
  </si>
  <si>
    <t>B056 Cadre Dimanche</t>
  </si>
  <si>
    <t>ETAT DE SYNTHESE DES SUIVIS HORAIRES SALARIES</t>
  </si>
  <si>
    <t>Temps travail</t>
  </si>
  <si>
    <t>Cumul jour trav</t>
  </si>
  <si>
    <t>Nota : Les jours restant à réaliser &amp; les congés à prendre sont mis à jours au début de chaque mois, après implémentation des paies.</t>
  </si>
  <si>
    <t>Valeur à réaliser sur l'année</t>
  </si>
  <si>
    <t>J. à réaliser sur l'année.</t>
  </si>
  <si>
    <t>H. à réaliser sur l'année.</t>
  </si>
  <si>
    <t>V. A Réaliser sur l'année.</t>
  </si>
  <si>
    <t>FORMULE</t>
  </si>
  <si>
    <t>Jours restant à réaliser</t>
  </si>
  <si>
    <t>Report</t>
  </si>
  <si>
    <t>Jours réalisés dans le Mois</t>
  </si>
  <si>
    <t>Jours restants à réaliser au premier du Mois.</t>
  </si>
  <si>
    <t>Congés à prendre au début de Mois.</t>
  </si>
  <si>
    <t>Jours absences injustifiées sur le Mois.</t>
  </si>
  <si>
    <t>B024 JF</t>
  </si>
  <si>
    <t>Jours fériés H. Eployé</t>
  </si>
  <si>
    <t>Mois</t>
  </si>
  <si>
    <t>Heures Fériées Employés</t>
  </si>
  <si>
    <t>Volume horaire annuel plein :</t>
  </si>
  <si>
    <t xml:space="preserve">Imprimer les fiches horraires. </t>
  </si>
  <si>
    <t xml:space="preserve">Veuillez cliquer sur le bouton correspondant à la ficher désirée. </t>
  </si>
  <si>
    <t>Nom Prénom</t>
  </si>
  <si>
    <t xml:space="preserve">Puis imprimer. </t>
  </si>
  <si>
    <t>Congés pris (CP &amp; CA) en jour.</t>
  </si>
  <si>
    <t>Congés pris (CP &amp; CA) en  demi journée.</t>
  </si>
  <si>
    <t>Heures réalisés dans le Mois</t>
  </si>
  <si>
    <t>Heures absences injustifiées sur le Mois.</t>
  </si>
  <si>
    <t>Heures absences Justifiées sur le Mois.</t>
  </si>
  <si>
    <t xml:space="preserve">Heures restantes à réaliser </t>
  </si>
  <si>
    <t>Jours de congés restants.</t>
  </si>
  <si>
    <t xml:space="preserve">Jours restants à réaliser </t>
  </si>
  <si>
    <t>déclarations faites dans l'onglet "Masque Collaborateur".</t>
  </si>
  <si>
    <t xml:space="preserve">au décallage de paie par rapport à l'extractions des heures </t>
  </si>
  <si>
    <t xml:space="preserve">Données non contractuelles à ne pas communiquer aux salariés. </t>
  </si>
  <si>
    <t>Colonnes données a titre indicatif effectuant la déduction des</t>
  </si>
  <si>
    <t xml:space="preserve">Ne tient pas compte d'éventuelles modifications inhérentes </t>
  </si>
  <si>
    <t>en début de mois, ou d'autres motifs invoqués par la direction.</t>
  </si>
  <si>
    <t>Heures restantes à réaliser au premier du Mois.</t>
  </si>
  <si>
    <t>FOUCAUT CAROLINE</t>
  </si>
  <si>
    <t>PINOT JORDAN</t>
  </si>
  <si>
    <t>Cas temps partiel, annualisé vs règlement HC.</t>
  </si>
  <si>
    <t>Typologie :</t>
  </si>
  <si>
    <t>Règlement HC</t>
  </si>
  <si>
    <t>Annualisé</t>
  </si>
  <si>
    <t>PETIT ALEXIA</t>
  </si>
  <si>
    <t>SEMONIN ALEXANDRE</t>
  </si>
  <si>
    <t>LARIBE GAETAN</t>
  </si>
  <si>
    <t>Année</t>
  </si>
  <si>
    <t>Simulation des compteurs horraires en fin de mois.</t>
  </si>
  <si>
    <t xml:space="preserve">Cet outils n'a pas de caractère légale ou conventionnel, il n'intègre pas les arrondi donnés par l'administration fonction des volumes horraires contractuels. </t>
  </si>
  <si>
    <t xml:space="preserve">Matrice d'approximation des heures restant à réaliser en fin de mois dans le cadre de l'annualisation. </t>
  </si>
  <si>
    <t xml:space="preserve">Vous pouvez modifier les cases jaunes pour faire varrier le volume horraire contractuel du salarié et le nombre de jours ouverts par mois suivant votre activité propre. </t>
  </si>
  <si>
    <t>Nb Jours Travaillés :</t>
  </si>
  <si>
    <t>Vol horraire global (brut) :</t>
  </si>
  <si>
    <t>Volume horraire souhaité :</t>
  </si>
  <si>
    <t>Vol horraire jour (hors arrondis admin) :</t>
  </si>
  <si>
    <t>Nb jours mois</t>
  </si>
  <si>
    <t>Pondération</t>
  </si>
  <si>
    <t>Heures restant à réaliser fin de mois</t>
  </si>
  <si>
    <t>Juin</t>
  </si>
  <si>
    <t>Juillet</t>
  </si>
  <si>
    <t>Août</t>
  </si>
  <si>
    <t>Septembre</t>
  </si>
  <si>
    <t>Octobre</t>
  </si>
  <si>
    <t>Novembre</t>
  </si>
  <si>
    <t>Décembre</t>
  </si>
  <si>
    <t>Janvier</t>
  </si>
  <si>
    <t>Février</t>
  </si>
  <si>
    <t>Mars</t>
  </si>
  <si>
    <t>Avril</t>
  </si>
  <si>
    <t>Mai</t>
  </si>
  <si>
    <t>Exemple pour les contrats les plus courants :</t>
  </si>
  <si>
    <t>Heures restant à réaliser fdm : 21H</t>
  </si>
  <si>
    <t>Heures restant à réaliser fdm : 27H</t>
  </si>
  <si>
    <t>Heures restant à réaliser fdm : 30H</t>
  </si>
  <si>
    <t>Heures restant à réaliser fdm : 35H</t>
  </si>
  <si>
    <t>Heures restant à réaliser fdm : 38H</t>
  </si>
  <si>
    <t>Heures restant à réaliser fdm : 39H</t>
  </si>
  <si>
    <t>INTERIM Neufchâteau</t>
  </si>
  <si>
    <t xml:space="preserve">INTERIM Savonnières </t>
  </si>
  <si>
    <t>INTERIM Bar Sur Aube</t>
  </si>
  <si>
    <t>INTERIM Bourguignon</t>
  </si>
  <si>
    <t>INTERIM Semur en Auxois</t>
  </si>
  <si>
    <t>INTERIM Lure</t>
  </si>
  <si>
    <t>INTERIM Vesoul</t>
  </si>
  <si>
    <t>INTERIM Dommartin les Toul</t>
  </si>
  <si>
    <t>INTERIM Tonnerre</t>
  </si>
  <si>
    <t>INTERIM Joigny</t>
  </si>
  <si>
    <t>INTERIM Champagnole</t>
  </si>
  <si>
    <t>INTERIM Marmoutier</t>
  </si>
  <si>
    <t>INTERIM Conflans en Jarnisy</t>
  </si>
  <si>
    <t>INTERIM Dompaire</t>
  </si>
  <si>
    <t>INTERIM Dole</t>
  </si>
  <si>
    <t>INTERIM Hericourt</t>
  </si>
  <si>
    <t>INTERIM Corbenay</t>
  </si>
  <si>
    <t>INTERIM Remiremont</t>
  </si>
  <si>
    <t>INTERIM Grandvillars</t>
  </si>
  <si>
    <t>Siège</t>
  </si>
  <si>
    <t>Date fin de mois</t>
  </si>
  <si>
    <t>Volume hebdomadaire restant. (si tous les CP sont pris).</t>
  </si>
  <si>
    <t>ATTENTION : l'onglet "Masque Collaborateur" doit être rempli.</t>
  </si>
  <si>
    <t>PRORATA CP Entrée sur l'année Cadre</t>
  </si>
  <si>
    <t>PRORATA CP Entrée sur l'année Employé</t>
  </si>
  <si>
    <t>PRORATA Calcul TT + CP Employé</t>
  </si>
  <si>
    <t>DO NASCIMENTO</t>
  </si>
  <si>
    <t>Savonnières</t>
  </si>
  <si>
    <t>REBOUCHE VINCENT</t>
  </si>
  <si>
    <t>EXPORT AU 1ER JUIN ANNEE CP N</t>
  </si>
  <si>
    <t>DEST - REGULARISATION AUTO ENTREE EN COURS D'ANNEE CP N-1</t>
  </si>
  <si>
    <t>DEST - REGULARISATION AUTO CP ANTICIPE</t>
  </si>
  <si>
    <t>Pris N-1 avt M</t>
  </si>
  <si>
    <t>Régularisation colonne AQtoAS Employé</t>
  </si>
  <si>
    <t>Régularisation colonne AQtoAS CALCUL Employé</t>
  </si>
  <si>
    <t>Régularisation colonne AQtoAS Cadre</t>
  </si>
  <si>
    <t>Régularisation colonne AQtoAS CALCUL Cadre</t>
  </si>
  <si>
    <t>Ajustement Manuel / arbitrage</t>
  </si>
  <si>
    <t>Justification d'arbitrage (texte).</t>
  </si>
  <si>
    <t>DELMARRE VERONIQUE</t>
  </si>
  <si>
    <t>LOHNER MARIE</t>
  </si>
  <si>
    <t>TAVIER CYRIL</t>
  </si>
  <si>
    <t>PAPROCKI RACHEL</t>
  </si>
  <si>
    <t>BEURDELEY CHRISTOPHE</t>
  </si>
  <si>
    <t>LECHAUVE EMILIE</t>
  </si>
  <si>
    <t>ROSSE ARNAUD</t>
  </si>
  <si>
    <t>solde CP &amp; CA</t>
  </si>
  <si>
    <t>LAINE LUDOVIC</t>
  </si>
  <si>
    <t>RENARD ETIENNE</t>
  </si>
  <si>
    <t>DEREGNAUCOURT JEAN BAPTISTE</t>
  </si>
  <si>
    <t>BADET CEDRIC</t>
  </si>
  <si>
    <t>MAIGNIEZ YANNICK</t>
  </si>
  <si>
    <t>Date fin de prise en compte déclaration :</t>
  </si>
  <si>
    <t>Semaines restant à réaliser avant fin année CP :</t>
  </si>
  <si>
    <t xml:space="preserve">S. restant avant </t>
  </si>
  <si>
    <t>fin de déclaration.</t>
  </si>
  <si>
    <t>Ajustement horaires estimée.</t>
  </si>
  <si>
    <t>Valeur négative = récupération.</t>
  </si>
  <si>
    <t>DI MARTINO ROSARIO</t>
  </si>
  <si>
    <t>MICHECOPPIN ROSELINE</t>
  </si>
  <si>
    <t>ANDRIEU GREGORY</t>
  </si>
  <si>
    <t>BALTZER BENEDICTE</t>
  </si>
  <si>
    <t>VILANOVA DJAMILA</t>
  </si>
  <si>
    <t>GRILLE LOUISE</t>
  </si>
  <si>
    <t>DORSCHNER CELINE</t>
  </si>
  <si>
    <t>Document prévisionnel à afficher</t>
  </si>
  <si>
    <t>ETAT DE PROJECTION DES HORAIRES</t>
  </si>
  <si>
    <t>PREV HORAIRES</t>
  </si>
  <si>
    <t>Si non util. inscrire : "NU"</t>
  </si>
  <si>
    <t>15 jours avant la date de début de période.</t>
  </si>
  <si>
    <t>Date édition :</t>
  </si>
  <si>
    <t xml:space="preserve">Détail des horaires si nécessaire : </t>
  </si>
  <si>
    <t xml:space="preserve">Imprimer les fiches de projection horaires. </t>
  </si>
  <si>
    <t>MARTIN THOMAS</t>
  </si>
  <si>
    <t>PILUTTI JULIA</t>
  </si>
  <si>
    <t>AMSTUTZ MAXIME</t>
  </si>
  <si>
    <t>GUNDOGAN DUZGUN</t>
  </si>
  <si>
    <t>MAURER SAMSON</t>
  </si>
  <si>
    <t>MONNIER CHARLINE</t>
  </si>
  <si>
    <t>COUTURIER JEROME</t>
  </si>
  <si>
    <t>Darty</t>
  </si>
  <si>
    <t>Lexy</t>
  </si>
  <si>
    <t>MACHADO YANNICK</t>
  </si>
  <si>
    <t>SALUCCI LUDOVIC</t>
  </si>
  <si>
    <t>EDON CHRISTINE</t>
  </si>
  <si>
    <t>GUERLOT EMILIE</t>
  </si>
  <si>
    <t>OUSSENI M'DERE NAZZAR</t>
  </si>
  <si>
    <t>ZABEE ROMAIN</t>
  </si>
  <si>
    <t>Longwy</t>
  </si>
  <si>
    <t>ASSARRAR ABDELKARIM</t>
  </si>
  <si>
    <t>DEGLIN PIERRE</t>
  </si>
  <si>
    <r>
      <t xml:space="preserve">Catégorie Cadre </t>
    </r>
    <r>
      <rPr>
        <b/>
        <i/>
        <sz val="11"/>
        <color theme="1"/>
        <rFont val="Calibri"/>
        <family val="2"/>
        <scheme val="minor"/>
      </rPr>
      <t>(Ligne 5 - employé forfait jour)</t>
    </r>
    <r>
      <rPr>
        <b/>
        <sz val="11"/>
        <color theme="1"/>
        <rFont val="Calibri"/>
        <family val="2"/>
        <scheme val="minor"/>
      </rPr>
      <t>.</t>
    </r>
  </si>
  <si>
    <t>Fiche 5 - E(forfait)</t>
  </si>
  <si>
    <t>LAROCHE JOHANNA</t>
  </si>
  <si>
    <t>PIUBELLO CAROLE</t>
  </si>
  <si>
    <t>DE BO AURELIE</t>
  </si>
  <si>
    <t>Sarrebourg</t>
  </si>
  <si>
    <t>Saint-Dié-Des-Vosges</t>
  </si>
  <si>
    <t>BANSEPT ROSELYNE</t>
  </si>
  <si>
    <t>COCHARD TOMMY</t>
  </si>
  <si>
    <t>WOLF NICOLAS</t>
  </si>
  <si>
    <t>BELCASTRO CAROLINE</t>
  </si>
  <si>
    <t>MANSUY ANTOINE</t>
  </si>
  <si>
    <t>INTERIM Sarrebourg</t>
  </si>
  <si>
    <t>INTERIM Saint-Dié-Des-Vosges</t>
  </si>
  <si>
    <t>INTERIM Lexy</t>
  </si>
  <si>
    <t>CARTON GWENDOLINE</t>
  </si>
  <si>
    <t>BRUCHHAUSER CHRISTOPHE</t>
  </si>
  <si>
    <t>CUNY BASTIEN</t>
  </si>
  <si>
    <t>YILMAZ MOHOMER</t>
  </si>
  <si>
    <t>BARRAL BENOIT</t>
  </si>
  <si>
    <t>CHAPUIS THIBAUT</t>
  </si>
  <si>
    <t>RENAULD CELIA</t>
  </si>
  <si>
    <t>Date Naissance</t>
  </si>
  <si>
    <t>Métier</t>
  </si>
  <si>
    <t>HOTE DE CAISSE</t>
  </si>
  <si>
    <t>MAGASINIER LIVREUR</t>
  </si>
  <si>
    <t>CONCEPTEUR CUISINE ET VENDEUR</t>
  </si>
  <si>
    <t>DIRECTEUR DE MAGASIN</t>
  </si>
  <si>
    <t>VENDEUR</t>
  </si>
  <si>
    <t>DIRECTION</t>
  </si>
  <si>
    <t>Chômage Partiel</t>
  </si>
  <si>
    <t>Naissance/Adoption</t>
  </si>
  <si>
    <t>Décès famille</t>
  </si>
  <si>
    <t>Mat/Paternité</t>
  </si>
  <si>
    <t>Délégation</t>
  </si>
  <si>
    <t>Jours Journées absences Justifiées sur le Mois.</t>
  </si>
  <si>
    <t>SIMANT NATHALIE</t>
  </si>
  <si>
    <t>GRAEF LEZILLA</t>
  </si>
  <si>
    <t>MAGASINIER</t>
  </si>
  <si>
    <t>SCHAFFHAUSER REMI</t>
  </si>
  <si>
    <t>VENDEUSE POLYVALENTE</t>
  </si>
  <si>
    <t>VENDEUR POLYVALENT</t>
  </si>
  <si>
    <t>BERTE LUCIEN</t>
  </si>
  <si>
    <t>DUSSARD VALERIE</t>
  </si>
  <si>
    <t>HOTESSE DE CAISSE APPRO</t>
  </si>
  <si>
    <t>BRUNET DELPHINE</t>
  </si>
  <si>
    <t>HOTESSE DE CAISSE</t>
  </si>
  <si>
    <t>ROSSETTI ELISA</t>
  </si>
  <si>
    <t>CARBONNIER ALEX</t>
  </si>
  <si>
    <t>GREUILLET DELPHINE</t>
  </si>
  <si>
    <t>DATA "Base Matricule Siège".</t>
  </si>
  <si>
    <t>Date de sortie :</t>
  </si>
  <si>
    <t>Nombre jours à travailler sur l'année :</t>
  </si>
  <si>
    <t>Nombre jours réal :</t>
  </si>
  <si>
    <t>Date fin période année CPN :</t>
  </si>
  <si>
    <t>Prorata à réal :</t>
  </si>
  <si>
    <t>Réalisé Paie M-1 :</t>
  </si>
  <si>
    <t>Réalisé M :</t>
  </si>
  <si>
    <t>Etat compteur sortie :</t>
  </si>
  <si>
    <t>DELTA Heures :</t>
  </si>
  <si>
    <t>Impact heures / demi journées éventuels :</t>
  </si>
  <si>
    <t>DATA "Synthèse Horaires".</t>
  </si>
  <si>
    <t>CALCUL :</t>
  </si>
  <si>
    <t>Date Edition</t>
  </si>
  <si>
    <t>APPRENTI VENDEUR</t>
  </si>
  <si>
    <t>ROUSSEAU LAURINE</t>
  </si>
  <si>
    <t>VENDEUR MAGASINIER</t>
  </si>
  <si>
    <t>WEINBERGER FRANCOIS XAVIER</t>
  </si>
  <si>
    <t>GRENINGUEY QUENTIN</t>
  </si>
  <si>
    <t>Congés Pris Equiv H :</t>
  </si>
  <si>
    <t>Jours ouvrés</t>
  </si>
  <si>
    <t>APPRENTIE VENDEUSE</t>
  </si>
  <si>
    <t>WALTER REMI</t>
  </si>
  <si>
    <t>WAGNER FANNY</t>
  </si>
  <si>
    <t>WURMEL BENOIT</t>
  </si>
  <si>
    <t xml:space="preserve">- décès du père ou de la mère : 3 jours ; </t>
  </si>
  <si>
    <t>- annonce de la survenance d'un handicap chez un enfant : 2 jours.</t>
  </si>
  <si>
    <t>- mariage du salarié ou signature d'un pacte civil de solidarité : 5 jours.</t>
  </si>
  <si>
    <r>
      <t xml:space="preserve">SYNTHESE SITUATION SALARIE - SORTIE ETABLISSEMENT
</t>
    </r>
    <r>
      <rPr>
        <b/>
        <sz val="11"/>
        <color rgb="FFFF0000"/>
        <rFont val="Calibri"/>
        <family val="2"/>
        <scheme val="minor"/>
      </rPr>
      <t>Attention, une des fiches horaire dois être renseignée avec le matricule.</t>
    </r>
  </si>
  <si>
    <t>VIOLETTE DAMIEN</t>
  </si>
  <si>
    <t>BELHASSENA DALILA</t>
  </si>
  <si>
    <t>BOIVIN CLEMENT</t>
  </si>
  <si>
    <t>PEROTIN TEDDY</t>
  </si>
  <si>
    <t>MAZZIA ANTHONY</t>
  </si>
  <si>
    <t>BONNET LUCA</t>
  </si>
  <si>
    <t>VIDAL JIMMY</t>
  </si>
  <si>
    <t>CA à prendre</t>
  </si>
  <si>
    <t>Solde CA</t>
  </si>
  <si>
    <t>Dont CA. acquis au 1er du mois.</t>
  </si>
  <si>
    <t>Dont Congés Ancienneté (CA) acquis au 1er du mois.</t>
  </si>
  <si>
    <t>HAON LAURE LYNE</t>
  </si>
  <si>
    <t>SEBAHI AMEL</t>
  </si>
  <si>
    <t>MORAND JEREMY</t>
  </si>
  <si>
    <t>DELETTE DEEVY</t>
  </si>
  <si>
    <t>BOIL JOEVIN</t>
  </si>
  <si>
    <t>TREFAUT LAURA</t>
  </si>
  <si>
    <t>PICHON PAULINE</t>
  </si>
  <si>
    <t>RIBEIRO JOELLE</t>
  </si>
  <si>
    <t>SANTOS CEDRIC</t>
  </si>
  <si>
    <t>BARULEA KEVIN</t>
  </si>
  <si>
    <t>COUSAERT NICOLAS</t>
  </si>
  <si>
    <t>VENDEUR CUISINE POLYVALENT</t>
  </si>
  <si>
    <t>BRIDE SEBASTIEN</t>
  </si>
  <si>
    <t>MOKBEL SALEH YACINE</t>
  </si>
  <si>
    <t>LARUE LEA</t>
  </si>
  <si>
    <t>VENDEUR POLYVLT MEUBLE MENAGER</t>
  </si>
  <si>
    <t>CONCEPTEUR CUISINE &amp; VENDEUR</t>
  </si>
  <si>
    <t>CHEF DES VENTES</t>
  </si>
  <si>
    <t>CAISSIERE + APPRO RAYON DECO</t>
  </si>
  <si>
    <t>VENDEUSE POLYVT MEUBLES MENAGE</t>
  </si>
  <si>
    <t>CAISSIERE RESP BOUTIQUE</t>
  </si>
  <si>
    <t>CAISSIERE RESPONSABLE BOUTIQUE</t>
  </si>
  <si>
    <t>HOTE DE CAISSE APPRO DECO</t>
  </si>
  <si>
    <t>APPROVISIONNEUR DECO PDT CPLT</t>
  </si>
  <si>
    <t>HOTESE DE CAISSE</t>
  </si>
  <si>
    <t>CUISINISTE  VENDEUR POLYVALENT</t>
  </si>
  <si>
    <t>DIRECTRICE DE MAGASIN</t>
  </si>
  <si>
    <t>DIRECTRICE</t>
  </si>
  <si>
    <t>HOTE DE CAISSE &amp; APPRO DECO</t>
  </si>
  <si>
    <t>HOTE CAISSE &amp; APPRO DECO</t>
  </si>
  <si>
    <t>RESPONSABLE DE MAGASIN</t>
  </si>
  <si>
    <t xml:space="preserve">CONCEPTEUR CUISINES &amp; VENDEUR </t>
  </si>
  <si>
    <t>MAGASINIER VENDEUR</t>
  </si>
  <si>
    <t>RESPONSABLE MAGASIN</t>
  </si>
  <si>
    <t>VENDEUR POLYVT MEUBLE MENAGER</t>
  </si>
  <si>
    <t>VENDEUR POLYVT MEUBLES MENAGE</t>
  </si>
  <si>
    <t>RESP. POLE SAV &amp; VENDEUR POLYV</t>
  </si>
  <si>
    <t>CHOFFIN LOU</t>
  </si>
  <si>
    <t>GOSSELIN MELISSA</t>
  </si>
  <si>
    <t>VENDEUSE</t>
  </si>
  <si>
    <t>AUBRY DEBORAH</t>
  </si>
  <si>
    <t>PROUVEZ CINDY</t>
  </si>
  <si>
    <t>LAVAINE RAPHAEL</t>
  </si>
  <si>
    <t>BELIME AURELIEN</t>
  </si>
  <si>
    <t>MORTEAU VALERIE</t>
  </si>
  <si>
    <t>LOUYAT FERIEL</t>
  </si>
  <si>
    <t>GIRARD OCEANE</t>
  </si>
  <si>
    <t>Cadre / Employé forfait jour</t>
  </si>
  <si>
    <t>Avallon</t>
  </si>
  <si>
    <t>Morteau</t>
  </si>
  <si>
    <t>Saint-Dizier</t>
  </si>
  <si>
    <t>BOUABDELLAH YOUCEF</t>
  </si>
  <si>
    <t>PRUNIER CHLOE</t>
  </si>
  <si>
    <t>LECLERC ANTONIN</t>
  </si>
  <si>
    <t>SOSSONG ANTHONY</t>
  </si>
  <si>
    <t>GAULIER LAURENCE</t>
  </si>
  <si>
    <t>ROMBI OLIVIER</t>
  </si>
  <si>
    <t>MARTIN LEO</t>
  </si>
  <si>
    <t>ANGONNET MELODIE</t>
  </si>
  <si>
    <t>DE BO TRISTAN</t>
  </si>
  <si>
    <t>POULAIN ANGELIQUE</t>
  </si>
  <si>
    <t>LOUIS OPHELIE</t>
  </si>
  <si>
    <t>HAIMES CINDY</t>
  </si>
  <si>
    <t>CONCEPTEUR CUISINE</t>
  </si>
  <si>
    <t>GIRAUDIER BASTIEN</t>
  </si>
  <si>
    <t>ECARNOT FRANCE</t>
  </si>
  <si>
    <t>STOHNER KEVIN</t>
  </si>
  <si>
    <t>BAUDSON AURELIE</t>
  </si>
  <si>
    <t>MONFORT GUILLAUME</t>
  </si>
  <si>
    <t>JARDINIER NADINE</t>
  </si>
  <si>
    <t>DEBOTTE NOELLYNE</t>
  </si>
  <si>
    <t>ORENGO WENDY</t>
  </si>
  <si>
    <t>ARRAG NESSRYN</t>
  </si>
  <si>
    <t>DARRAS ERIC</t>
  </si>
  <si>
    <t>PARISOT CAROLINE</t>
  </si>
  <si>
    <t>HOTESSE DE CAISSE APPRO DECO</t>
  </si>
  <si>
    <t>TORDOIR MARIA</t>
  </si>
  <si>
    <t>CHAKRI ELIAS</t>
  </si>
  <si>
    <t>BELLORA SOLENE</t>
  </si>
  <si>
    <t>PERRY MATHIS</t>
  </si>
  <si>
    <t>KLEIN MARYSE</t>
  </si>
  <si>
    <t>SZCZPANIAK DIMITRI</t>
  </si>
  <si>
    <t>MAFFLARD JORDAN</t>
  </si>
  <si>
    <t>La Compagnie Du Lit</t>
  </si>
  <si>
    <t>Besançon</t>
  </si>
  <si>
    <t>DOLE LUC</t>
  </si>
  <si>
    <t>DEMICHY VALERIE</t>
  </si>
  <si>
    <t>TRIBAUDEAU SABRINA</t>
  </si>
  <si>
    <t>INTERIM Avallon</t>
  </si>
  <si>
    <t>INTERIM Saint-Dizier</t>
  </si>
  <si>
    <t>INTERIM Remiremont DARTY</t>
  </si>
  <si>
    <t>INTERIM Besançon CDL</t>
  </si>
  <si>
    <t>MONNERET QUENTIN</t>
  </si>
  <si>
    <t>VENDEUR POLYVALENT MEUBLE MENAGER</t>
  </si>
  <si>
    <t xml:space="preserve">BRIHAYE LENA </t>
  </si>
  <si>
    <t>MACDONALD CAMERON</t>
  </si>
  <si>
    <t>SAY MELVYN</t>
  </si>
  <si>
    <t>DABONNEAU ALEX</t>
  </si>
  <si>
    <t>CLOTAIRE CELINE</t>
  </si>
  <si>
    <t>CONCEPTRICE CUISINE ET VENDEUSE POLYVALENTE</t>
  </si>
  <si>
    <t>CHRZASZCZ JEROME</t>
  </si>
  <si>
    <t>MAGASINIER CARISTE</t>
  </si>
  <si>
    <t>ESSONO LUC</t>
  </si>
  <si>
    <t>INTERIM Morteau</t>
  </si>
  <si>
    <t>GAUME FLORIANE</t>
  </si>
  <si>
    <t>BAUMGARTNER STEPHANE</t>
  </si>
  <si>
    <t>COPPOI ANTOINE</t>
  </si>
  <si>
    <t>MENUEL EVELYNE</t>
  </si>
  <si>
    <t>*</t>
  </si>
  <si>
    <t>INTERIM Longwy</t>
  </si>
  <si>
    <t>VIONNET CHARLENE</t>
  </si>
  <si>
    <t>IEMMOLO CLAUDIA</t>
  </si>
  <si>
    <t>VENDEUSE LITERIE</t>
  </si>
  <si>
    <t>MORINET FABIENNE</t>
  </si>
  <si>
    <t>RICHET ANTOINE</t>
  </si>
  <si>
    <t>FERNANDEZ JORDAN</t>
  </si>
  <si>
    <t>DELAFAITE JORDAN</t>
  </si>
  <si>
    <t>DUPONT JEREMY</t>
  </si>
  <si>
    <t>CONCEPTEUR CUISINE POLYVALENT</t>
  </si>
  <si>
    <t>FOYART LAURE</t>
  </si>
  <si>
    <t>CHOQUET LAUREEN</t>
  </si>
  <si>
    <t>Solde CP Total</t>
  </si>
  <si>
    <t>CLEMENT LAETITIA</t>
  </si>
  <si>
    <t>ROUPSY JEAN LOUIS</t>
  </si>
  <si>
    <t>NIFFENGGER HASSAN</t>
  </si>
  <si>
    <t>PESSEIN MICHELE</t>
  </si>
  <si>
    <t>GROSSET ADRIEN</t>
  </si>
  <si>
    <t>MOCQUET JONATHAN</t>
  </si>
  <si>
    <t>VIAULT MATHIAS</t>
  </si>
  <si>
    <t>PIERRON EMMANUEL</t>
  </si>
  <si>
    <t>DIRECTEUR MAGASIN</t>
  </si>
  <si>
    <t>Code</t>
  </si>
  <si>
    <t>Valeur</t>
  </si>
  <si>
    <t>Date début</t>
  </si>
  <si>
    <t>Date fin</t>
  </si>
  <si>
    <t>PREPA EXPORT SILAE</t>
  </si>
  <si>
    <t>TRIDANT HUGO</t>
  </si>
  <si>
    <t>FROSIO KEZIA</t>
  </si>
  <si>
    <t>v1.080</t>
  </si>
  <si>
    <t>EV-TpsTravMois</t>
  </si>
  <si>
    <t>EV-HDimanche</t>
  </si>
  <si>
    <t>EV-HFérié</t>
  </si>
  <si>
    <t>THOMAS AURELIEN</t>
  </si>
  <si>
    <t>Modification colonne AB - MASQUE COLABORATEUR (Congés Pris (en demis journées) *2 car CP en jours sur employés. / Modification F65 to F79 formule diviser par deux pour obtenir CP en jours Base Synthèse Horaires / V1,040 - Intégration Darty MPMD / V1,042 modification ficher 5 pour employé forfait jour / V1,043 modification fichier 5 onglet synthèse horaires / V1,044 - ajout colone Base Matricule Siège - Date Naissance et Métier (AK-AL) / Création motif "Chômage Partiel" "Mat/Paternité", modification des motifs absences décès ; modification calculs jours absences remontés dans Base Synthèse Horraire H52-I58 / V1,051 - maj formule CA cadre fiche 1 à 5 en AB13 / V1,052 - Création onglet Cal-Exit / V1,053 - Modification formule jours ouvrés onglet Cal-Exit. / V1,06 Ajout colonne information CA acquis + modification logo process + onglet Export Point FH / V1,061 Modification liste magasins / V1,062 Modification calcul volume hebdo restant colonne M / V1,08 ajout pour export EV SILAE ; modifier déclaration cadre H DIM et H Férié / formule en ligne 29et31 Masque collaborateur et AC13 Calcul CA Cadre ; modifier calcul impact CA salarié en H masque collaborateur</t>
  </si>
  <si>
    <t>AUBRY BAPTISTE</t>
  </si>
  <si>
    <t>JANTZEN ARNAUD</t>
  </si>
  <si>
    <t xml:space="preserve">APPRENTI </t>
  </si>
  <si>
    <t>SANTOS DA SILVA HIGOR</t>
  </si>
  <si>
    <t>VENDEUR LITERIE</t>
  </si>
  <si>
    <t>LEONARD CHRISTOPHE</t>
  </si>
  <si>
    <t>GOMEZ JEROME</t>
  </si>
  <si>
    <t>MAGASINIER POLYVALENT</t>
  </si>
  <si>
    <t>BOIVERT DAMIEN</t>
  </si>
  <si>
    <t>BRIHAYE LENA</t>
  </si>
  <si>
    <t>URBANIAK VALENTIN</t>
  </si>
  <si>
    <t>ANCELIN SOFIAN</t>
  </si>
  <si>
    <t>ADREANI JONATHAN</t>
  </si>
  <si>
    <t>GAURON PIERRE</t>
  </si>
  <si>
    <t>MAYER LAURENCE</t>
  </si>
  <si>
    <t>HACQUARD DELPHINE</t>
  </si>
  <si>
    <t>BECKER VALENTIN</t>
  </si>
  <si>
    <t>JOLY LUCAS</t>
  </si>
  <si>
    <t>BESANCENOT AURORE</t>
  </si>
  <si>
    <t>GILLOT THEO</t>
  </si>
  <si>
    <t>KIRSCHWING SANDY</t>
  </si>
  <si>
    <t>SALARI ELLIOT</t>
  </si>
  <si>
    <t>SPANO SARA</t>
  </si>
  <si>
    <t>CISSOKO OUSMANE</t>
  </si>
  <si>
    <t>JOLY ELODIE</t>
  </si>
  <si>
    <t>BLONDEL STEEVE</t>
  </si>
  <si>
    <t>HUEL THEO</t>
  </si>
  <si>
    <t>Wittenheim</t>
  </si>
  <si>
    <t>CHEVENNEMENT DEBORA</t>
  </si>
  <si>
    <t>NOVEMBRINO NINO</t>
  </si>
  <si>
    <t>PERINET ACUNA STEPHANY</t>
  </si>
  <si>
    <t>LEMEUX CHLOE</t>
  </si>
  <si>
    <t>CONCEPTEUR CUISINE - VENDEUSE POLYVALENTE</t>
  </si>
  <si>
    <t>DROULLON CYNTHIA</t>
  </si>
  <si>
    <t>LORENZI FLORIAN</t>
  </si>
  <si>
    <t>DE LUCCA SABRINA</t>
  </si>
  <si>
    <t>SITTLER THYPHAINE</t>
  </si>
  <si>
    <t>ERENATI MAXIME</t>
  </si>
  <si>
    <t>(vide)</t>
  </si>
  <si>
    <t>DESFRANCOIS SEBASTIEN</t>
  </si>
  <si>
    <t>GIRARD MICKAËL</t>
  </si>
  <si>
    <t>BESNIER LORYNE</t>
  </si>
  <si>
    <t>SERRET CLEMENT</t>
  </si>
  <si>
    <t>MICK NATHALIE</t>
  </si>
  <si>
    <t>DEMORÉ SABRINA</t>
  </si>
  <si>
    <t>VENDEUSE POLYVALENT</t>
  </si>
  <si>
    <t>LICENZIATO THOMASSIN TITOUAN</t>
  </si>
  <si>
    <t>COLOMBO LOIC</t>
  </si>
  <si>
    <t>CLAVIER MATTHIEU</t>
  </si>
  <si>
    <t>MAGASINIER EXPERT</t>
  </si>
  <si>
    <t>BONGAY NOA</t>
  </si>
  <si>
    <t>CRETINEAU GEOFFREY</t>
  </si>
  <si>
    <t>SAUDEMONT NOELIA</t>
  </si>
  <si>
    <t>RICHER MARIE</t>
  </si>
  <si>
    <t>CHEVRIER SAMUEL</t>
  </si>
  <si>
    <t>SMAGUINE ETHAN</t>
  </si>
  <si>
    <t>LIBERATORE LEA</t>
  </si>
  <si>
    <t>HUBERT VALERIE</t>
  </si>
  <si>
    <t>GERMAIN THIBAUT</t>
  </si>
  <si>
    <t>DIRECTEUR</t>
  </si>
  <si>
    <t>POINSOT THOMAS</t>
  </si>
  <si>
    <t>CUVELIER ROMARIC</t>
  </si>
  <si>
    <t>POIFFAUT MAILY</t>
  </si>
  <si>
    <t>AIT BASSLAM EYMANN</t>
  </si>
  <si>
    <t>ETTER ELODIE</t>
  </si>
  <si>
    <t>HENNEBIQUE CAMILLE</t>
  </si>
  <si>
    <t>MAUJEAN ALEXANDRE</t>
  </si>
  <si>
    <t>DIALLO ELHADJ IBRAHIMA</t>
  </si>
  <si>
    <t>VICENTINI CLAUDIE</t>
  </si>
  <si>
    <t>CABRAS CHRISTOPHE</t>
  </si>
  <si>
    <t>HENNING LIONNEL</t>
  </si>
  <si>
    <t>BOUTICHE RAYAN</t>
  </si>
  <si>
    <t>NAIYM REDOUANE</t>
  </si>
  <si>
    <t>BAOUZ MANEL</t>
  </si>
  <si>
    <t>DEVEAUX SAMANTHA</t>
  </si>
  <si>
    <t>GENTY MELANIE</t>
  </si>
  <si>
    <t>LECLERC LEA</t>
  </si>
  <si>
    <t>ZILIOX AXEL</t>
  </si>
  <si>
    <t>ROSIN AIDEE</t>
  </si>
  <si>
    <t>ATTACHE DE DIRECTION</t>
  </si>
  <si>
    <t>FROELIGER LEO</t>
  </si>
  <si>
    <t>JUSUFI REJHAN</t>
  </si>
  <si>
    <t>STAGIAIRE VENTE</t>
  </si>
  <si>
    <t>BINDER YANIS</t>
  </si>
  <si>
    <t>LEHMANN ENKAOUA HANNAEL</t>
  </si>
  <si>
    <t>CHAMEROIS ELISE</t>
  </si>
  <si>
    <t>LOUVIOT HUGO</t>
  </si>
  <si>
    <t>KEBERLE CLARA</t>
  </si>
  <si>
    <t>ZAHNBRECHER LUCIEN</t>
  </si>
  <si>
    <t>SCHLEISS ANDREA</t>
  </si>
  <si>
    <t>EL HARMAZ SOFIANE</t>
  </si>
  <si>
    <t>BACHELET ERIC</t>
  </si>
  <si>
    <t>CONTANT THOMAS</t>
  </si>
  <si>
    <t>TERRAL DORIANE</t>
  </si>
  <si>
    <t>HOTESSE DE CAISSE &amp; APPRO DECO</t>
  </si>
  <si>
    <t>GRAVEL JORDAN</t>
  </si>
  <si>
    <t>GALMICHE JULES</t>
  </si>
  <si>
    <t>COURTIN JULIETTE</t>
  </si>
  <si>
    <t>PESTELLE AUBERTIN ANGELIQUE</t>
  </si>
  <si>
    <t>BERNARDIN ADELINE</t>
  </si>
  <si>
    <t>NU</t>
  </si>
  <si>
    <t>01 juin 2026 au 31 mai 2027.</t>
  </si>
  <si>
    <t>ZACCARDI CORALIE</t>
  </si>
  <si>
    <t>NOEL JEREMY</t>
  </si>
  <si>
    <t>DEKKAR MOHAMED KHALIL</t>
  </si>
  <si>
    <t>DI GIACOMO GUILLAUME</t>
  </si>
  <si>
    <t>GOBET MARYLENE</t>
  </si>
  <si>
    <t>VIAU NATHAN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</si>
</sst>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7" x14ac:knownFonts="1">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sz val="11"/>
      <color rgb="FFFF0000"/>
      <name val="Calibri"/>
      <family val="2"/>
      <scheme val="minor"/>
    </font>
    <font>
      <sz val="8"/>
      <name val="Arial"/>
      <family val="2"/>
    </font>
    <font>
      <sz val="8"/>
      <color indexed="81"/>
      <name val="Tahoma"/>
      <family val="2"/>
    </font>
    <font>
      <sz val="9"/>
      <color indexed="81"/>
      <name val="Tahoma"/>
      <family val="2"/>
    </font>
    <font>
      <b/>
      <sz val="9"/>
      <color indexed="81"/>
      <name val="Tahoma"/>
      <family val="2"/>
    </font>
    <font>
      <b/>
      <sz val="11"/>
      <color rgb="FFFF0000"/>
      <name val="Calibri"/>
      <family val="2"/>
      <scheme val="minor"/>
    </font>
    <font>
      <b/>
      <i/>
      <sz val="11"/>
      <color theme="1"/>
      <name val="Calibri"/>
      <family val="2"/>
      <scheme val="minor"/>
    </font>
    <font>
      <i/>
      <sz val="11"/>
      <color theme="1"/>
      <name val="Calibri"/>
      <family val="2"/>
      <scheme val="minor"/>
    </font>
    <font>
      <i/>
      <sz val="10"/>
      <color theme="1"/>
      <name val="Calibri"/>
      <family val="2"/>
      <scheme val="minor"/>
    </font>
    <font>
      <i/>
      <sz val="8"/>
      <color theme="1"/>
      <name val="Calibri"/>
      <family val="2"/>
      <scheme val="minor"/>
    </font>
    <font>
      <b/>
      <i/>
      <sz val="8"/>
      <color theme="1"/>
      <name val="Calibri"/>
      <family val="2"/>
      <scheme val="minor"/>
    </font>
    <font>
      <sz val="8"/>
      <color theme="1"/>
      <name val="Calibri"/>
      <family val="2"/>
      <scheme val="minor"/>
    </font>
    <font>
      <b/>
      <sz val="9"/>
      <color theme="1"/>
      <name val="Calibri"/>
      <family val="2"/>
      <scheme val="minor"/>
    </font>
    <font>
      <b/>
      <sz val="7"/>
      <color indexed="81"/>
      <name val="Tahoma"/>
      <family val="2"/>
    </font>
    <font>
      <sz val="7"/>
      <color indexed="81"/>
      <name val="Tahoma"/>
      <family val="2"/>
    </font>
    <font>
      <sz val="9"/>
      <color theme="1"/>
      <name val="Calibri"/>
      <family val="2"/>
      <scheme val="minor"/>
    </font>
    <font>
      <sz val="9"/>
      <color theme="0"/>
      <name val="Calibri"/>
      <family val="2"/>
      <scheme val="minor"/>
    </font>
    <font>
      <b/>
      <i/>
      <sz val="9"/>
      <color theme="1"/>
      <name val="Calibri"/>
      <family val="2"/>
      <scheme val="minor"/>
    </font>
    <font>
      <i/>
      <sz val="7"/>
      <color theme="1"/>
      <name val="Calibri"/>
      <family val="2"/>
      <scheme val="minor"/>
    </font>
    <font>
      <sz val="11"/>
      <color rgb="FF000000"/>
      <name val="Calibri"/>
      <family val="2"/>
    </font>
    <font>
      <sz val="11"/>
      <color theme="0" tint="-0.14999847407452621"/>
      <name val="Calibri"/>
      <family val="2"/>
      <scheme val="minor"/>
    </font>
    <font>
      <sz val="8"/>
      <color theme="1"/>
      <name val="Arial"/>
      <family val="2"/>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i/>
      <sz val="11"/>
      <color theme="1"/>
      <name val="Calibri"/>
      <family val="2"/>
      <scheme val="minor"/>
    </font>
    <font>
      <b/>
      <i/>
      <sz val="10"/>
      <color theme="1"/>
      <name val="Calibri"/>
      <family val="2"/>
      <scheme val="minor"/>
    </font>
    <font>
      <sz val="10"/>
      <color rgb="FFFF0000"/>
      <name val="Calibri"/>
      <family val="2"/>
      <scheme val="minor"/>
    </font>
    <font>
      <sz val="10.5"/>
      <color theme="1"/>
      <name val="Calibri"/>
      <family val="2"/>
      <scheme val="minor"/>
    </font>
    <font>
      <i/>
      <sz val="9"/>
      <color theme="1"/>
      <name val="Calibri"/>
      <family val="2"/>
      <scheme val="minor"/>
    </font>
    <font>
      <sz val="8"/>
      <color theme="0"/>
      <name val="Calibri"/>
      <family val="2"/>
      <scheme val="minor"/>
    </font>
    <font>
      <sz val="11"/>
      <name val="Calibri"/>
      <family val="2"/>
      <scheme val="minor"/>
    </font>
  </fonts>
  <fills count="29">
    <fill>
      <patternFill patternType="none"/>
    </fill>
    <fill>
      <patternFill patternType="gray125"/>
    </fill>
    <fill>
      <patternFill patternType="solid">
        <fgColor theme="0" tint="-0.14999847407452621"/>
        <bgColor indexed="64"/>
      </patternFill>
    </fill>
    <fill>
      <patternFill patternType="solid">
        <fgColor indexed="22"/>
        <bgColor indexed="64"/>
      </patternFill>
    </fill>
    <fill>
      <patternFill patternType="solid">
        <fgColor rgb="FFFFFF00"/>
        <bgColor indexed="64"/>
      </patternFill>
    </fill>
    <fill>
      <patternFill patternType="solid">
        <fgColor theme="7" tint="0.59999389629810485"/>
        <bgColor indexed="64"/>
      </patternFill>
    </fill>
    <fill>
      <patternFill patternType="solid">
        <fgColor theme="5" tint="0.59999389629810485"/>
        <bgColor indexed="64"/>
      </patternFill>
    </fill>
    <fill>
      <patternFill patternType="solid">
        <fgColor theme="0" tint="-4.9989318521683403E-2"/>
        <bgColor indexed="64"/>
      </patternFill>
    </fill>
    <fill>
      <patternFill patternType="solid">
        <fgColor theme="8" tint="0.59999389629810485"/>
        <bgColor indexed="64"/>
      </patternFill>
    </fill>
    <fill>
      <patternFill patternType="solid">
        <fgColor theme="1"/>
        <bgColor indexed="64"/>
      </patternFill>
    </fill>
    <fill>
      <patternFill patternType="solid">
        <fgColor theme="4" tint="0.59999389629810485"/>
        <bgColor indexed="64"/>
      </patternFill>
    </fill>
    <fill>
      <patternFill patternType="solid">
        <fgColor theme="8" tint="0.79998168889431442"/>
        <bgColor indexed="64"/>
      </patternFill>
    </fill>
    <fill>
      <patternFill patternType="solid">
        <fgColor theme="9" tint="-0.249977111117893"/>
        <bgColor indexed="64"/>
      </patternFill>
    </fill>
    <fill>
      <patternFill patternType="solid">
        <fgColor rgb="FFFF0000"/>
        <bgColor indexed="64"/>
      </patternFill>
    </fill>
    <fill>
      <patternFill patternType="solid">
        <fgColor rgb="FF00B0F0"/>
        <bgColor indexed="64"/>
      </patternFill>
    </fill>
    <fill>
      <patternFill patternType="solid">
        <fgColor theme="6" tint="0.59999389629810485"/>
        <bgColor indexed="64"/>
      </patternFill>
    </fill>
    <fill>
      <patternFill patternType="solid">
        <fgColor theme="7" tint="0.79998168889431442"/>
        <bgColor indexed="64"/>
      </patternFill>
    </fill>
    <fill>
      <patternFill patternType="solid">
        <fgColor rgb="FF00B050"/>
        <bgColor indexed="64"/>
      </patternFill>
    </fill>
    <fill>
      <patternFill patternType="solid">
        <fgColor rgb="FFFFC000"/>
        <bgColor indexed="64"/>
      </patternFill>
    </fill>
    <fill>
      <patternFill patternType="solid">
        <fgColor theme="5" tint="0.39997558519241921"/>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7" tint="-0.249977111117893"/>
        <bgColor indexed="64"/>
      </patternFill>
    </fill>
    <fill>
      <patternFill patternType="solid">
        <fgColor theme="7" tint="-0.499984740745262"/>
        <bgColor indexed="64"/>
      </patternFill>
    </fill>
    <fill>
      <patternFill patternType="solid">
        <fgColor theme="5" tint="0.79998168889431442"/>
        <bgColor indexed="64"/>
      </patternFill>
    </fill>
    <fill>
      <patternFill patternType="solid">
        <fgColor theme="8" tint="0.39997558519241921"/>
        <bgColor indexed="64"/>
      </patternFill>
    </fill>
    <fill>
      <patternFill patternType="solid">
        <fgColor theme="4" tint="-0.249977111117893"/>
        <bgColor indexed="64"/>
      </patternFill>
    </fill>
    <fill>
      <patternFill patternType="solid">
        <fgColor theme="5" tint="-0.249977111117893"/>
        <bgColor indexed="64"/>
      </patternFill>
    </fill>
  </fills>
  <borders count="56">
    <border>
      <left/>
      <right/>
      <top/>
      <bottom/>
      <diagonal/>
    </border>
    <border>
      <left style="medium">
        <color indexed="64"/>
      </left>
      <right/>
      <top style="medium">
        <color indexed="64"/>
      </top>
      <bottom/>
      <diagonal/>
    </border>
    <border>
      <left/>
      <right/>
      <top style="medium">
        <color indexed="64"/>
      </top>
      <bottom/>
      <diagonal/>
    </border>
    <border>
      <left style="medium">
        <color indexed="64"/>
      </left>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bottom style="thin">
        <color indexed="64"/>
      </bottom>
      <diagonal/>
    </border>
    <border>
      <left style="thin">
        <color indexed="64"/>
      </left>
      <right/>
      <top/>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diagonal/>
    </border>
    <border>
      <left/>
      <right/>
      <top style="thin">
        <color indexed="64"/>
      </top>
      <bottom/>
      <diagonal/>
    </border>
    <border>
      <left/>
      <right style="thin">
        <color indexed="64"/>
      </right>
      <top/>
      <bottom/>
      <diagonal/>
    </border>
    <border>
      <left style="thin">
        <color indexed="64"/>
      </left>
      <right/>
      <top/>
      <bottom style="medium">
        <color indexed="64"/>
      </bottom>
      <diagonal/>
    </border>
    <border>
      <left style="thin">
        <color indexed="64"/>
      </left>
      <right style="thin">
        <color indexed="64"/>
      </right>
      <top/>
      <bottom style="medium">
        <color indexed="64"/>
      </bottom>
      <diagonal/>
    </border>
    <border>
      <left style="thin">
        <color indexed="64"/>
      </left>
      <right style="thin">
        <color indexed="64"/>
      </right>
      <top/>
      <bottom/>
      <diagonal/>
    </border>
    <border>
      <left style="thin">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right style="medium">
        <color indexed="64"/>
      </right>
      <top style="thin">
        <color indexed="64"/>
      </top>
      <bottom/>
      <diagonal/>
    </border>
    <border>
      <left/>
      <right style="medium">
        <color indexed="64"/>
      </right>
      <top/>
      <bottom style="thin">
        <color indexed="64"/>
      </bottom>
      <diagonal/>
    </border>
    <border>
      <left style="thin">
        <color indexed="64"/>
      </left>
      <right/>
      <top style="thin">
        <color indexed="64"/>
      </top>
      <bottom style="medium">
        <color indexed="64"/>
      </bottom>
      <diagonal/>
    </border>
  </borders>
  <cellStyleXfs count="1">
    <xf numFmtId="0" fontId="0" fillId="0" borderId="0"/>
  </cellStyleXfs>
  <cellXfs count="330">
    <xf numFmtId="0" fontId="0" fillId="0" borderId="0" xfId="0"/>
    <xf numFmtId="0" fontId="1" fillId="2" borderId="0" xfId="0" applyFont="1" applyFill="1"/>
    <xf numFmtId="0" fontId="0" fillId="2" borderId="0" xfId="0" applyFill="1"/>
    <xf numFmtId="49" fontId="5" fillId="0" borderId="0" xfId="0" applyNumberFormat="1" applyFont="1"/>
    <xf numFmtId="0" fontId="1" fillId="0" borderId="0" xfId="0" applyFont="1"/>
    <xf numFmtId="0" fontId="0" fillId="4" borderId="0" xfId="0" applyFill="1"/>
    <xf numFmtId="0" fontId="0" fillId="0" borderId="0" xfId="0" applyAlignment="1">
      <alignment horizontal="center"/>
    </xf>
    <xf numFmtId="49" fontId="5" fillId="3" borderId="1" xfId="0" applyNumberFormat="1" applyFont="1" applyFill="1" applyBorder="1" applyAlignment="1">
      <alignment wrapText="1"/>
    </xf>
    <xf numFmtId="49" fontId="5" fillId="3" borderId="2" xfId="0" applyNumberFormat="1" applyFont="1" applyFill="1" applyBorder="1" applyAlignment="1">
      <alignment wrapText="1"/>
    </xf>
    <xf numFmtId="0" fontId="4" fillId="0" borderId="0" xfId="0" applyFont="1"/>
    <xf numFmtId="0" fontId="0" fillId="0" borderId="0" xfId="0" applyAlignment="1">
      <alignment horizontal="right"/>
    </xf>
    <xf numFmtId="0" fontId="0" fillId="5" borderId="0" xfId="0" applyFill="1"/>
    <xf numFmtId="14" fontId="0" fillId="5" borderId="0" xfId="0" applyNumberFormat="1" applyFill="1"/>
    <xf numFmtId="14" fontId="0" fillId="4" borderId="0" xfId="0" applyNumberFormat="1" applyFill="1"/>
    <xf numFmtId="0" fontId="0" fillId="6" borderId="0" xfId="0" applyFill="1"/>
    <xf numFmtId="0" fontId="9" fillId="0" borderId="0" xfId="0" applyFont="1"/>
    <xf numFmtId="0" fontId="10" fillId="0" borderId="0" xfId="0" applyFont="1"/>
    <xf numFmtId="0" fontId="5" fillId="0" borderId="3" xfId="0" applyFont="1" applyBorder="1"/>
    <xf numFmtId="0" fontId="0" fillId="10" borderId="0" xfId="0" applyFill="1"/>
    <xf numFmtId="0" fontId="0" fillId="0" borderId="2" xfId="0" applyBorder="1"/>
    <xf numFmtId="0" fontId="0" fillId="0" borderId="9" xfId="0" applyBorder="1"/>
    <xf numFmtId="0" fontId="0" fillId="0" borderId="38" xfId="0" applyBorder="1"/>
    <xf numFmtId="0" fontId="0" fillId="0" borderId="31" xfId="0" applyBorder="1"/>
    <xf numFmtId="0" fontId="0" fillId="0" borderId="11" xfId="0" applyBorder="1"/>
    <xf numFmtId="0" fontId="0" fillId="0" borderId="3" xfId="0" applyBorder="1"/>
    <xf numFmtId="0" fontId="1" fillId="0" borderId="0" xfId="0" applyFont="1" applyAlignment="1">
      <alignment horizontal="center"/>
    </xf>
    <xf numFmtId="0" fontId="15" fillId="0" borderId="0" xfId="0" applyFont="1"/>
    <xf numFmtId="0" fontId="0" fillId="7" borderId="0" xfId="0" applyFill="1"/>
    <xf numFmtId="0" fontId="15" fillId="4" borderId="0" xfId="0" applyFont="1" applyFill="1"/>
    <xf numFmtId="0" fontId="0" fillId="12" borderId="0" xfId="0" applyFill="1"/>
    <xf numFmtId="0" fontId="19" fillId="12" borderId="0" xfId="0" applyFont="1" applyFill="1"/>
    <xf numFmtId="0" fontId="20" fillId="12" borderId="0" xfId="0" applyFont="1" applyFill="1"/>
    <xf numFmtId="0" fontId="0" fillId="10" borderId="0" xfId="0" applyFill="1" applyAlignment="1">
      <alignment horizontal="center"/>
    </xf>
    <xf numFmtId="0" fontId="0" fillId="13" borderId="0" xfId="0" applyFill="1"/>
    <xf numFmtId="0" fontId="0" fillId="0" borderId="0" xfId="0" quotePrefix="1"/>
    <xf numFmtId="0" fontId="0" fillId="13" borderId="0" xfId="0" applyFill="1" applyAlignment="1">
      <alignment horizontal="center"/>
    </xf>
    <xf numFmtId="0" fontId="0" fillId="0" borderId="10" xfId="0" applyBorder="1"/>
    <xf numFmtId="0" fontId="1" fillId="0" borderId="31" xfId="0" applyFont="1" applyBorder="1"/>
    <xf numFmtId="0" fontId="2" fillId="7" borderId="17" xfId="0" applyFont="1" applyFill="1" applyBorder="1" applyProtection="1">
      <protection locked="0"/>
    </xf>
    <xf numFmtId="0" fontId="2" fillId="7" borderId="26" xfId="0" applyFont="1" applyFill="1" applyBorder="1" applyProtection="1">
      <protection locked="0"/>
    </xf>
    <xf numFmtId="0" fontId="0" fillId="0" borderId="0" xfId="0" applyProtection="1">
      <protection locked="0"/>
    </xf>
    <xf numFmtId="0" fontId="0" fillId="0" borderId="3" xfId="0" applyBorder="1" applyProtection="1">
      <protection locked="0"/>
    </xf>
    <xf numFmtId="0" fontId="22" fillId="0" borderId="0" xfId="0" applyFont="1" applyAlignment="1">
      <alignment horizontal="center"/>
    </xf>
    <xf numFmtId="0" fontId="13" fillId="0" borderId="0" xfId="0" applyFont="1" applyAlignment="1">
      <alignment horizontal="right"/>
    </xf>
    <xf numFmtId="0" fontId="14" fillId="0" borderId="0" xfId="0" applyFont="1" applyAlignment="1">
      <alignment horizontal="right"/>
    </xf>
    <xf numFmtId="0" fontId="3" fillId="0" borderId="0" xfId="0" applyFont="1"/>
    <xf numFmtId="0" fontId="2" fillId="2" borderId="0" xfId="0" applyFont="1" applyFill="1" applyAlignment="1">
      <alignment horizontal="center"/>
    </xf>
    <xf numFmtId="0" fontId="2" fillId="2" borderId="0" xfId="0" applyFont="1" applyFill="1" applyAlignment="1">
      <alignment horizontal="left"/>
    </xf>
    <xf numFmtId="0" fontId="3" fillId="0" borderId="0" xfId="0" applyFont="1" applyAlignment="1">
      <alignment horizontal="right"/>
    </xf>
    <xf numFmtId="0" fontId="2" fillId="0" borderId="0" xfId="0" applyFont="1"/>
    <xf numFmtId="0" fontId="2" fillId="2" borderId="0" xfId="0" applyFont="1" applyFill="1"/>
    <xf numFmtId="2" fontId="0" fillId="0" borderId="0" xfId="0" applyNumberFormat="1"/>
    <xf numFmtId="0" fontId="0" fillId="2" borderId="0" xfId="0" applyFill="1" applyAlignment="1">
      <alignment horizontal="left"/>
    </xf>
    <xf numFmtId="0" fontId="11" fillId="0" borderId="0" xfId="0" applyFont="1"/>
    <xf numFmtId="0" fontId="1" fillId="0" borderId="12" xfId="0" applyFont="1" applyBorder="1"/>
    <xf numFmtId="0" fontId="1" fillId="0" borderId="44" xfId="0" applyFont="1" applyBorder="1"/>
    <xf numFmtId="0" fontId="1" fillId="0" borderId="45" xfId="0" applyFont="1" applyBorder="1"/>
    <xf numFmtId="0" fontId="2" fillId="0" borderId="0" xfId="0" applyFont="1" applyAlignment="1">
      <alignment horizontal="right"/>
    </xf>
    <xf numFmtId="0" fontId="0" fillId="2" borderId="0" xfId="0" applyFill="1" applyAlignment="1">
      <alignment horizontal="center"/>
    </xf>
    <xf numFmtId="0" fontId="1" fillId="0" borderId="24" xfId="0" applyFont="1" applyBorder="1" applyAlignment="1">
      <alignment horizontal="center"/>
    </xf>
    <xf numFmtId="0" fontId="2" fillId="0" borderId="43" xfId="0" applyFont="1" applyBorder="1" applyAlignment="1">
      <alignment horizontal="center"/>
    </xf>
    <xf numFmtId="0" fontId="2" fillId="0" borderId="24" xfId="0" applyFont="1" applyBorder="1" applyAlignment="1">
      <alignment horizontal="left"/>
    </xf>
    <xf numFmtId="0" fontId="2" fillId="0" borderId="38" xfId="0" applyFont="1" applyBorder="1"/>
    <xf numFmtId="0" fontId="0" fillId="0" borderId="24" xfId="0" applyBorder="1"/>
    <xf numFmtId="0" fontId="3" fillId="0" borderId="8" xfId="0" applyFont="1" applyBorder="1" applyAlignment="1">
      <alignment horizontal="center"/>
    </xf>
    <xf numFmtId="0" fontId="2" fillId="0" borderId="20" xfId="0" applyFont="1" applyBorder="1"/>
    <xf numFmtId="0" fontId="2" fillId="0" borderId="21" xfId="0" applyFont="1" applyBorder="1"/>
    <xf numFmtId="0" fontId="2" fillId="0" borderId="22" xfId="0" applyFont="1" applyBorder="1"/>
    <xf numFmtId="0" fontId="2" fillId="0" borderId="27" xfId="0" applyFont="1" applyBorder="1" applyAlignment="1">
      <alignment horizontal="right"/>
    </xf>
    <xf numFmtId="0" fontId="2" fillId="0" borderId="18" xfId="0" applyFont="1" applyBorder="1" applyAlignment="1">
      <alignment horizontal="right"/>
    </xf>
    <xf numFmtId="0" fontId="2" fillId="0" borderId="19" xfId="0" applyFont="1" applyBorder="1" applyAlignment="1">
      <alignment horizontal="right"/>
    </xf>
    <xf numFmtId="0" fontId="2" fillId="2" borderId="13" xfId="0" applyFont="1" applyFill="1" applyBorder="1"/>
    <xf numFmtId="0" fontId="0" fillId="0" borderId="23" xfId="0" applyBorder="1"/>
    <xf numFmtId="0" fontId="0" fillId="0" borderId="23" xfId="0" applyBorder="1" applyAlignment="1">
      <alignment horizontal="right"/>
    </xf>
    <xf numFmtId="0" fontId="0" fillId="0" borderId="6" xfId="0" applyBorder="1"/>
    <xf numFmtId="0" fontId="11" fillId="0" borderId="0" xfId="0" applyFont="1" applyAlignment="1">
      <alignment horizontal="right"/>
    </xf>
    <xf numFmtId="0" fontId="0" fillId="9" borderId="24" xfId="0" applyFill="1" applyBorder="1"/>
    <xf numFmtId="0" fontId="3" fillId="2" borderId="8" xfId="0" applyFont="1" applyFill="1" applyBorder="1" applyAlignment="1">
      <alignment horizontal="center"/>
    </xf>
    <xf numFmtId="0" fontId="2" fillId="2" borderId="20" xfId="0" applyFont="1" applyFill="1" applyBorder="1"/>
    <xf numFmtId="0" fontId="2" fillId="2" borderId="21" xfId="0" applyFont="1" applyFill="1" applyBorder="1"/>
    <xf numFmtId="0" fontId="2" fillId="2" borderId="22" xfId="0" applyFont="1" applyFill="1" applyBorder="1"/>
    <xf numFmtId="0" fontId="2" fillId="2" borderId="18" xfId="0" applyFont="1" applyFill="1" applyBorder="1" applyAlignment="1">
      <alignment horizontal="right"/>
    </xf>
    <xf numFmtId="0" fontId="2" fillId="2" borderId="7" xfId="0" applyFont="1" applyFill="1" applyBorder="1"/>
    <xf numFmtId="0" fontId="2" fillId="2" borderId="16" xfId="0" applyFont="1" applyFill="1" applyBorder="1"/>
    <xf numFmtId="0" fontId="2" fillId="2" borderId="17" xfId="0" applyFont="1" applyFill="1" applyBorder="1"/>
    <xf numFmtId="0" fontId="2" fillId="0" borderId="42" xfId="0" applyFont="1" applyBorder="1" applyAlignment="1">
      <alignment horizontal="center"/>
    </xf>
    <xf numFmtId="0" fontId="2" fillId="0" borderId="41" xfId="0" applyFont="1" applyBorder="1" applyAlignment="1">
      <alignment horizontal="left"/>
    </xf>
    <xf numFmtId="0" fontId="2" fillId="0" borderId="11" xfId="0" applyFont="1" applyBorder="1"/>
    <xf numFmtId="0" fontId="2" fillId="2" borderId="14" xfId="0" applyFont="1" applyFill="1" applyBorder="1"/>
    <xf numFmtId="0" fontId="2" fillId="2" borderId="12" xfId="0" applyFont="1" applyFill="1" applyBorder="1"/>
    <xf numFmtId="0" fontId="2" fillId="2" borderId="25" xfId="0" applyFont="1" applyFill="1" applyBorder="1"/>
    <xf numFmtId="0" fontId="0" fillId="7" borderId="24" xfId="0" applyFill="1" applyBorder="1"/>
    <xf numFmtId="0" fontId="2" fillId="2" borderId="19" xfId="0" applyFont="1" applyFill="1" applyBorder="1" applyAlignment="1">
      <alignment horizontal="right"/>
    </xf>
    <xf numFmtId="0" fontId="2" fillId="2" borderId="15" xfId="0" applyFont="1" applyFill="1" applyBorder="1"/>
    <xf numFmtId="0" fontId="2" fillId="2" borderId="26" xfId="0" applyFont="1" applyFill="1" applyBorder="1"/>
    <xf numFmtId="0" fontId="2" fillId="0" borderId="7" xfId="0" applyFont="1" applyBorder="1" applyProtection="1">
      <protection locked="0"/>
    </xf>
    <xf numFmtId="0" fontId="2" fillId="0" borderId="14" xfId="0" applyFont="1" applyBorder="1" applyProtection="1">
      <protection locked="0"/>
    </xf>
    <xf numFmtId="0" fontId="2" fillId="0" borderId="15" xfId="0" applyFont="1" applyBorder="1" applyProtection="1">
      <protection locked="0"/>
    </xf>
    <xf numFmtId="0" fontId="2" fillId="0" borderId="28" xfId="0" applyFont="1" applyBorder="1" applyProtection="1">
      <protection locked="0"/>
    </xf>
    <xf numFmtId="0" fontId="2" fillId="8" borderId="29" xfId="0" applyFont="1" applyFill="1" applyBorder="1" applyProtection="1">
      <protection locked="0"/>
    </xf>
    <xf numFmtId="0" fontId="2" fillId="0" borderId="29" xfId="0" applyFont="1" applyBorder="1" applyProtection="1">
      <protection locked="0"/>
    </xf>
    <xf numFmtId="0" fontId="2" fillId="7" borderId="30" xfId="0" applyFont="1" applyFill="1" applyBorder="1" applyProtection="1">
      <protection locked="0"/>
    </xf>
    <xf numFmtId="0" fontId="2" fillId="8" borderId="12" xfId="0" applyFont="1" applyFill="1" applyBorder="1" applyProtection="1">
      <protection locked="0"/>
    </xf>
    <xf numFmtId="0" fontId="2" fillId="0" borderId="12" xfId="0" applyFont="1" applyBorder="1" applyProtection="1">
      <protection locked="0"/>
    </xf>
    <xf numFmtId="0" fontId="2" fillId="0" borderId="13" xfId="0" applyFont="1" applyBorder="1" applyProtection="1">
      <protection locked="0"/>
    </xf>
    <xf numFmtId="0" fontId="2" fillId="0" borderId="16" xfId="0" applyFont="1" applyBorder="1" applyProtection="1">
      <protection locked="0"/>
    </xf>
    <xf numFmtId="0" fontId="2" fillId="8" borderId="16" xfId="0" applyFont="1" applyFill="1" applyBorder="1" applyProtection="1">
      <protection locked="0"/>
    </xf>
    <xf numFmtId="0" fontId="0" fillId="0" borderId="10" xfId="0" applyBorder="1" applyProtection="1">
      <protection locked="0"/>
    </xf>
    <xf numFmtId="0" fontId="0" fillId="0" borderId="31" xfId="0" applyBorder="1" applyProtection="1">
      <protection locked="0"/>
    </xf>
    <xf numFmtId="0" fontId="0" fillId="15" borderId="0" xfId="0" applyFill="1" applyAlignment="1">
      <alignment horizontal="center"/>
    </xf>
    <xf numFmtId="0" fontId="0" fillId="15" borderId="0" xfId="0" applyFill="1"/>
    <xf numFmtId="0" fontId="0" fillId="15" borderId="23" xfId="0" applyFill="1" applyBorder="1" applyAlignment="1">
      <alignment horizontal="center"/>
    </xf>
    <xf numFmtId="0" fontId="0" fillId="15" borderId="23" xfId="0" applyFill="1" applyBorder="1"/>
    <xf numFmtId="0" fontId="2" fillId="4" borderId="0" xfId="0" applyFont="1" applyFill="1" applyProtection="1">
      <protection locked="0"/>
    </xf>
    <xf numFmtId="0" fontId="19" fillId="2" borderId="0" xfId="0" applyFont="1" applyFill="1" applyAlignment="1">
      <alignment horizontal="right"/>
    </xf>
    <xf numFmtId="0" fontId="19" fillId="2" borderId="0" xfId="0" applyFont="1" applyFill="1" applyAlignment="1">
      <alignment horizontal="center"/>
    </xf>
    <xf numFmtId="1" fontId="0" fillId="2" borderId="12" xfId="0" applyNumberFormat="1" applyFill="1" applyBorder="1"/>
    <xf numFmtId="1" fontId="0" fillId="0" borderId="12" xfId="0" applyNumberFormat="1" applyBorder="1"/>
    <xf numFmtId="0" fontId="0" fillId="4" borderId="0" xfId="0" applyFill="1" applyProtection="1">
      <protection locked="0"/>
    </xf>
    <xf numFmtId="0" fontId="0" fillId="4" borderId="12" xfId="0" applyFill="1" applyBorder="1" applyProtection="1">
      <protection locked="0"/>
    </xf>
    <xf numFmtId="0" fontId="0" fillId="0" borderId="49" xfId="0" applyBorder="1" applyAlignment="1">
      <alignment horizontal="center" vertical="center" wrapText="1"/>
    </xf>
    <xf numFmtId="0" fontId="0" fillId="0" borderId="29" xfId="0" applyBorder="1" applyAlignment="1">
      <alignment horizontal="center" vertical="center" wrapText="1"/>
    </xf>
    <xf numFmtId="0" fontId="0" fillId="0" borderId="30" xfId="0" applyBorder="1" applyAlignment="1">
      <alignment horizontal="center" vertical="center" wrapText="1"/>
    </xf>
    <xf numFmtId="0" fontId="0" fillId="0" borderId="50" xfId="0" applyBorder="1"/>
    <xf numFmtId="1" fontId="0" fillId="0" borderId="25" xfId="0" applyNumberFormat="1" applyBorder="1"/>
    <xf numFmtId="0" fontId="0" fillId="0" borderId="51" xfId="0" applyBorder="1"/>
    <xf numFmtId="1" fontId="0" fillId="2" borderId="13" xfId="0" applyNumberFormat="1" applyFill="1" applyBorder="1"/>
    <xf numFmtId="1" fontId="0" fillId="0" borderId="13" xfId="0" applyNumberFormat="1" applyBorder="1"/>
    <xf numFmtId="1" fontId="0" fillId="0" borderId="26" xfId="0" applyNumberFormat="1" applyBorder="1"/>
    <xf numFmtId="3" fontId="0" fillId="2" borderId="25" xfId="0" applyNumberFormat="1" applyFill="1" applyBorder="1"/>
    <xf numFmtId="0" fontId="0" fillId="4" borderId="13" xfId="0" applyFill="1" applyBorder="1" applyProtection="1">
      <protection locked="0"/>
    </xf>
    <xf numFmtId="3" fontId="0" fillId="2" borderId="26" xfId="0" applyNumberFormat="1" applyFill="1" applyBorder="1"/>
    <xf numFmtId="1" fontId="24" fillId="2" borderId="12" xfId="0" applyNumberFormat="1" applyFont="1" applyFill="1" applyBorder="1"/>
    <xf numFmtId="1" fontId="24" fillId="2" borderId="13" xfId="0" applyNumberFormat="1" applyFont="1" applyFill="1" applyBorder="1"/>
    <xf numFmtId="14" fontId="0" fillId="10" borderId="0" xfId="0" applyNumberFormat="1" applyFill="1"/>
    <xf numFmtId="0" fontId="0" fillId="0" borderId="23" xfId="0" applyBorder="1" applyProtection="1">
      <protection locked="0"/>
    </xf>
    <xf numFmtId="0" fontId="26" fillId="0" borderId="0" xfId="0" applyFont="1"/>
    <xf numFmtId="0" fontId="27" fillId="0" borderId="0" xfId="0" applyFont="1" applyAlignment="1">
      <alignment vertical="center" wrapText="1"/>
    </xf>
    <xf numFmtId="0" fontId="28" fillId="0" borderId="0" xfId="0" applyFont="1"/>
    <xf numFmtId="0" fontId="29" fillId="0" borderId="0" xfId="0" applyFont="1"/>
    <xf numFmtId="0" fontId="28" fillId="2" borderId="0" xfId="0" applyFont="1" applyFill="1" applyAlignment="1">
      <alignment horizontal="left"/>
    </xf>
    <xf numFmtId="0" fontId="29" fillId="0" borderId="0" xfId="0" applyFont="1" applyAlignment="1">
      <alignment horizontal="right"/>
    </xf>
    <xf numFmtId="0" fontId="28" fillId="8" borderId="0" xfId="0" applyFont="1" applyFill="1" applyProtection="1">
      <protection locked="0"/>
    </xf>
    <xf numFmtId="0" fontId="27" fillId="0" borderId="0" xfId="0" applyFont="1"/>
    <xf numFmtId="14" fontId="28" fillId="2" borderId="0" xfId="0" applyNumberFormat="1" applyFont="1" applyFill="1" applyAlignment="1">
      <alignment horizontal="center"/>
    </xf>
    <xf numFmtId="0" fontId="30" fillId="0" borderId="0" xfId="0" applyFont="1"/>
    <xf numFmtId="0" fontId="26" fillId="2" borderId="0" xfId="0" applyFont="1" applyFill="1"/>
    <xf numFmtId="0" fontId="31" fillId="0" borderId="0" xfId="0" applyFont="1"/>
    <xf numFmtId="0" fontId="26" fillId="2" borderId="39" xfId="0" applyFont="1" applyFill="1" applyBorder="1"/>
    <xf numFmtId="0" fontId="26" fillId="2" borderId="5" xfId="0" applyFont="1" applyFill="1" applyBorder="1"/>
    <xf numFmtId="0" fontId="32" fillId="0" borderId="0" xfId="0" applyFont="1"/>
    <xf numFmtId="0" fontId="33" fillId="0" borderId="24" xfId="0" applyFont="1" applyBorder="1" applyAlignment="1">
      <alignment wrapText="1"/>
    </xf>
    <xf numFmtId="0" fontId="33" fillId="0" borderId="0" xfId="0" applyFont="1" applyAlignment="1">
      <alignment wrapText="1"/>
    </xf>
    <xf numFmtId="0" fontId="33" fillId="0" borderId="40" xfId="0" applyFont="1" applyBorder="1" applyAlignment="1">
      <alignment wrapText="1"/>
    </xf>
    <xf numFmtId="0" fontId="26" fillId="16" borderId="4" xfId="0" applyFont="1" applyFill="1" applyBorder="1" applyAlignment="1">
      <alignment horizontal="center" vertical="center"/>
    </xf>
    <xf numFmtId="0" fontId="26" fillId="16" borderId="52" xfId="0" applyFont="1" applyFill="1" applyBorder="1" applyAlignment="1">
      <alignment horizontal="center" vertical="center"/>
    </xf>
    <xf numFmtId="0" fontId="26" fillId="16" borderId="5" xfId="0" applyFont="1" applyFill="1" applyBorder="1" applyAlignment="1">
      <alignment horizontal="center" vertical="center" wrapText="1"/>
    </xf>
    <xf numFmtId="1" fontId="26" fillId="0" borderId="24" xfId="0" applyNumberFormat="1" applyFont="1" applyBorder="1"/>
    <xf numFmtId="0" fontId="26" fillId="0" borderId="40" xfId="0" applyFont="1" applyBorder="1"/>
    <xf numFmtId="0" fontId="26" fillId="0" borderId="4" xfId="0" applyFont="1" applyBorder="1"/>
    <xf numFmtId="0" fontId="26" fillId="0" borderId="39" xfId="0" applyFont="1" applyBorder="1"/>
    <xf numFmtId="2" fontId="26" fillId="0" borderId="5" xfId="0" applyNumberFormat="1" applyFont="1" applyBorder="1"/>
    <xf numFmtId="0" fontId="26" fillId="0" borderId="24" xfId="0" applyFont="1" applyBorder="1"/>
    <xf numFmtId="2" fontId="26" fillId="0" borderId="40" xfId="0" applyNumberFormat="1" applyFont="1" applyBorder="1"/>
    <xf numFmtId="0" fontId="26" fillId="0" borderId="6" xfId="0" applyFont="1" applyBorder="1"/>
    <xf numFmtId="0" fontId="26" fillId="0" borderId="23" xfId="0" applyFont="1" applyBorder="1"/>
    <xf numFmtId="2" fontId="26" fillId="0" borderId="7" xfId="0" applyNumberFormat="1" applyFont="1" applyBorder="1"/>
    <xf numFmtId="0" fontId="27" fillId="2" borderId="24" xfId="0" applyFont="1" applyFill="1" applyBorder="1"/>
    <xf numFmtId="0" fontId="26" fillId="2" borderId="40" xfId="0" applyFont="1" applyFill="1" applyBorder="1"/>
    <xf numFmtId="0" fontId="26" fillId="16" borderId="44" xfId="0" applyFont="1" applyFill="1" applyBorder="1" applyAlignment="1">
      <alignment horizontal="center" vertical="center" wrapText="1"/>
    </xf>
    <xf numFmtId="0" fontId="26" fillId="16" borderId="12" xfId="0" applyFont="1" applyFill="1" applyBorder="1" applyAlignment="1">
      <alignment horizontal="center" vertical="center" wrapText="1"/>
    </xf>
    <xf numFmtId="0" fontId="26" fillId="16" borderId="14" xfId="0" applyFont="1" applyFill="1" applyBorder="1" applyAlignment="1">
      <alignment horizontal="center" vertical="center" wrapText="1"/>
    </xf>
    <xf numFmtId="1" fontId="26" fillId="0" borderId="6" xfId="0" applyNumberFormat="1" applyFont="1" applyBorder="1"/>
    <xf numFmtId="0" fontId="26" fillId="0" borderId="7" xfId="0" applyFont="1" applyBorder="1"/>
    <xf numFmtId="2" fontId="11" fillId="0" borderId="0" xfId="0" applyNumberFormat="1" applyFont="1" applyAlignment="1">
      <alignment horizontal="center"/>
    </xf>
    <xf numFmtId="0" fontId="11" fillId="0" borderId="0" xfId="0" applyFont="1" applyAlignment="1">
      <alignment horizontal="center"/>
    </xf>
    <xf numFmtId="2" fontId="1" fillId="0" borderId="0" xfId="0" applyNumberFormat="1" applyFont="1" applyAlignment="1">
      <alignment horizontal="center"/>
    </xf>
    <xf numFmtId="0" fontId="0" fillId="16" borderId="12" xfId="0" applyFill="1" applyBorder="1" applyAlignment="1">
      <alignment horizontal="center" vertical="center" wrapText="1"/>
    </xf>
    <xf numFmtId="2" fontId="26" fillId="0" borderId="52" xfId="0" applyNumberFormat="1" applyFont="1" applyBorder="1" applyAlignment="1">
      <alignment horizontal="center"/>
    </xf>
    <xf numFmtId="2" fontId="26" fillId="0" borderId="43" xfId="0" applyNumberFormat="1" applyFont="1" applyBorder="1" applyAlignment="1">
      <alignment horizontal="center"/>
    </xf>
    <xf numFmtId="2" fontId="26" fillId="0" borderId="16" xfId="0" applyNumberFormat="1" applyFont="1" applyBorder="1" applyAlignment="1">
      <alignment horizontal="center"/>
    </xf>
    <xf numFmtId="0" fontId="19" fillId="0" borderId="0" xfId="0" applyFont="1"/>
    <xf numFmtId="0" fontId="25" fillId="0" borderId="3" xfId="0" applyFont="1" applyBorder="1"/>
    <xf numFmtId="0" fontId="34" fillId="0" borderId="0" xfId="0" applyFont="1" applyAlignment="1">
      <alignment horizontal="right"/>
    </xf>
    <xf numFmtId="0" fontId="35" fillId="0" borderId="0" xfId="0" applyFont="1"/>
    <xf numFmtId="0" fontId="0" fillId="20" borderId="0" xfId="0" applyFill="1"/>
    <xf numFmtId="0" fontId="0" fillId="20" borderId="0" xfId="0" applyFill="1" applyAlignment="1">
      <alignment horizontal="center"/>
    </xf>
    <xf numFmtId="0" fontId="12" fillId="0" borderId="3" xfId="0" applyFont="1" applyBorder="1" applyAlignment="1">
      <alignment vertical="center"/>
    </xf>
    <xf numFmtId="0" fontId="12" fillId="0" borderId="0" xfId="0" applyFont="1" applyAlignment="1">
      <alignment vertical="center"/>
    </xf>
    <xf numFmtId="14" fontId="12" fillId="20" borderId="0" xfId="0" applyNumberFormat="1" applyFont="1" applyFill="1" applyAlignment="1">
      <alignment horizontal="center"/>
    </xf>
    <xf numFmtId="0" fontId="12" fillId="20" borderId="0" xfId="0" applyFont="1" applyFill="1" applyAlignment="1">
      <alignment horizontal="center" vertical="center"/>
    </xf>
    <xf numFmtId="0" fontId="2" fillId="0" borderId="3" xfId="0" applyFont="1" applyBorder="1" applyAlignment="1">
      <alignment vertical="center"/>
    </xf>
    <xf numFmtId="0" fontId="31" fillId="21" borderId="1" xfId="0" applyFont="1" applyFill="1" applyBorder="1"/>
    <xf numFmtId="0" fontId="0" fillId="21" borderId="2" xfId="0" applyFill="1" applyBorder="1"/>
    <xf numFmtId="0" fontId="2" fillId="0" borderId="2" xfId="0" applyFont="1" applyBorder="1" applyProtection="1">
      <protection locked="0"/>
    </xf>
    <xf numFmtId="0" fontId="0" fillId="0" borderId="9" xfId="0" applyBorder="1" applyProtection="1">
      <protection locked="0"/>
    </xf>
    <xf numFmtId="0" fontId="3" fillId="0" borderId="10" xfId="0" applyFont="1" applyBorder="1" applyProtection="1">
      <protection locked="0"/>
    </xf>
    <xf numFmtId="0" fontId="3" fillId="0" borderId="31" xfId="0" applyFont="1" applyBorder="1" applyProtection="1">
      <protection locked="0"/>
    </xf>
    <xf numFmtId="0" fontId="2" fillId="0" borderId="31" xfId="0" applyFont="1" applyBorder="1" applyProtection="1">
      <protection locked="0"/>
    </xf>
    <xf numFmtId="0" fontId="0" fillId="0" borderId="11" xfId="0" applyBorder="1" applyProtection="1">
      <protection locked="0"/>
    </xf>
    <xf numFmtId="14" fontId="0" fillId="0" borderId="0" xfId="0" applyNumberFormat="1" applyAlignment="1">
      <alignment horizontal="center"/>
    </xf>
    <xf numFmtId="0" fontId="1" fillId="2" borderId="4" xfId="0" applyFont="1" applyFill="1" applyBorder="1"/>
    <xf numFmtId="0" fontId="24" fillId="2" borderId="0" xfId="0" applyFont="1" applyFill="1" applyAlignment="1">
      <alignment horizontal="center"/>
    </xf>
    <xf numFmtId="1" fontId="0" fillId="0" borderId="0" xfId="0" applyNumberFormat="1" applyAlignment="1">
      <alignment horizontal="center"/>
    </xf>
    <xf numFmtId="2" fontId="0" fillId="0" borderId="0" xfId="0" applyNumberFormat="1" applyAlignment="1">
      <alignment horizontal="center"/>
    </xf>
    <xf numFmtId="14" fontId="0" fillId="0" borderId="0" xfId="0" applyNumberFormat="1"/>
    <xf numFmtId="1" fontId="0" fillId="0" borderId="0" xfId="0" applyNumberFormat="1"/>
    <xf numFmtId="0" fontId="0" fillId="0" borderId="4" xfId="0" applyBorder="1"/>
    <xf numFmtId="0" fontId="0" fillId="0" borderId="39" xfId="0" applyBorder="1"/>
    <xf numFmtId="0" fontId="0" fillId="0" borderId="23" xfId="0" applyBorder="1" applyAlignment="1">
      <alignment horizontal="center"/>
    </xf>
    <xf numFmtId="0" fontId="1" fillId="0" borderId="1" xfId="0" applyFont="1" applyBorder="1" applyAlignment="1">
      <alignment horizontal="center"/>
    </xf>
    <xf numFmtId="0" fontId="1" fillId="0" borderId="2" xfId="0" applyFont="1" applyBorder="1" applyAlignment="1">
      <alignment horizontal="center"/>
    </xf>
    <xf numFmtId="0" fontId="1" fillId="0" borderId="9" xfId="0" applyFont="1" applyBorder="1" applyAlignment="1">
      <alignment horizontal="center"/>
    </xf>
    <xf numFmtId="0" fontId="1" fillId="0" borderId="10" xfId="0" applyFont="1" applyBorder="1" applyAlignment="1">
      <alignment horizontal="center"/>
    </xf>
    <xf numFmtId="0" fontId="1" fillId="0" borderId="31" xfId="0" applyFont="1" applyBorder="1" applyAlignment="1">
      <alignment horizontal="center"/>
    </xf>
    <xf numFmtId="0" fontId="1" fillId="0" borderId="11" xfId="0" applyFont="1" applyBorder="1" applyAlignment="1">
      <alignment horizontal="center"/>
    </xf>
    <xf numFmtId="0" fontId="0" fillId="0" borderId="24" xfId="0" applyBorder="1" applyAlignment="1">
      <alignment horizontal="center"/>
    </xf>
    <xf numFmtId="2" fontId="1" fillId="20" borderId="8" xfId="0" applyNumberFormat="1" applyFont="1" applyFill="1" applyBorder="1" applyAlignment="1">
      <alignment horizontal="center"/>
    </xf>
    <xf numFmtId="0" fontId="0" fillId="0" borderId="1" xfId="0" applyBorder="1"/>
    <xf numFmtId="0" fontId="1" fillId="0" borderId="0" xfId="0" applyFont="1" applyAlignment="1">
      <alignment horizontal="right"/>
    </xf>
    <xf numFmtId="14" fontId="0" fillId="7" borderId="0" xfId="0" applyNumberFormat="1" applyFill="1"/>
    <xf numFmtId="14" fontId="0" fillId="4" borderId="0" xfId="0" applyNumberFormat="1" applyFill="1" applyAlignment="1" applyProtection="1">
      <alignment horizontal="center"/>
      <protection locked="0"/>
    </xf>
    <xf numFmtId="0" fontId="0" fillId="4" borderId="0" xfId="0" applyFill="1" applyAlignment="1" applyProtection="1">
      <alignment horizontal="center"/>
      <protection locked="0"/>
    </xf>
    <xf numFmtId="0" fontId="0" fillId="0" borderId="0" xfId="0" applyAlignment="1">
      <alignment horizontal="center" vertical="center" wrapText="1"/>
    </xf>
    <xf numFmtId="0" fontId="0" fillId="0" borderId="53" xfId="0" applyBorder="1"/>
    <xf numFmtId="0" fontId="0" fillId="0" borderId="38" xfId="0" applyBorder="1" applyAlignment="1">
      <alignment horizontal="center"/>
    </xf>
    <xf numFmtId="0" fontId="0" fillId="0" borderId="54" xfId="0" applyBorder="1"/>
    <xf numFmtId="0" fontId="0" fillId="0" borderId="54" xfId="0" applyBorder="1" applyAlignment="1">
      <alignment horizontal="center"/>
    </xf>
    <xf numFmtId="0" fontId="0" fillId="0" borderId="31" xfId="0" applyBorder="1" applyAlignment="1">
      <alignment horizontal="right"/>
    </xf>
    <xf numFmtId="0" fontId="10" fillId="0" borderId="31" xfId="0" applyFont="1" applyBorder="1" applyAlignment="1">
      <alignment horizontal="center"/>
    </xf>
    <xf numFmtId="14" fontId="34" fillId="0" borderId="10" xfId="0" applyNumberFormat="1" applyFont="1" applyBorder="1" applyAlignment="1">
      <alignment horizontal="center"/>
    </xf>
    <xf numFmtId="14" fontId="34" fillId="0" borderId="31" xfId="0" applyNumberFormat="1" applyFont="1" applyBorder="1" applyAlignment="1">
      <alignment horizontal="center"/>
    </xf>
    <xf numFmtId="0" fontId="0" fillId="0" borderId="55" xfId="0" applyBorder="1"/>
    <xf numFmtId="0" fontId="34" fillId="0" borderId="3" xfId="0" applyFont="1" applyBorder="1" applyAlignment="1">
      <alignment horizontal="center"/>
    </xf>
    <xf numFmtId="1" fontId="0" fillId="0" borderId="39" xfId="0" applyNumberFormat="1" applyBorder="1"/>
    <xf numFmtId="1" fontId="0" fillId="0" borderId="5" xfId="0" applyNumberFormat="1" applyBorder="1"/>
    <xf numFmtId="1" fontId="0" fillId="0" borderId="40" xfId="0" applyNumberFormat="1" applyBorder="1"/>
    <xf numFmtId="1" fontId="0" fillId="0" borderId="23" xfId="0" applyNumberFormat="1" applyBorder="1"/>
    <xf numFmtId="1" fontId="0" fillId="0" borderId="7" xfId="0" applyNumberFormat="1" applyBorder="1"/>
    <xf numFmtId="0" fontId="15" fillId="10" borderId="0" xfId="0" applyFont="1" applyFill="1" applyAlignment="1">
      <alignment wrapText="1"/>
    </xf>
    <xf numFmtId="0" fontId="15" fillId="10" borderId="6" xfId="0" applyFont="1" applyFill="1" applyBorder="1" applyAlignment="1">
      <alignment wrapText="1"/>
    </xf>
    <xf numFmtId="0" fontId="15" fillId="10" borderId="7" xfId="0" applyFont="1" applyFill="1" applyBorder="1" applyAlignment="1">
      <alignment wrapText="1"/>
    </xf>
    <xf numFmtId="0" fontId="15" fillId="4" borderId="0" xfId="0" applyFont="1" applyFill="1" applyAlignment="1">
      <alignment horizontal="center" wrapText="1"/>
    </xf>
    <xf numFmtId="0" fontId="15" fillId="6" borderId="0" xfId="0" applyFont="1" applyFill="1" applyAlignment="1">
      <alignment horizontal="center" wrapText="1"/>
    </xf>
    <xf numFmtId="0" fontId="15" fillId="10" borderId="0" xfId="0" applyFont="1" applyFill="1" applyAlignment="1">
      <alignment horizontal="center" wrapText="1"/>
    </xf>
    <xf numFmtId="0" fontId="15" fillId="6" borderId="0" xfId="0" applyFont="1" applyFill="1"/>
    <xf numFmtId="0" fontId="15" fillId="4" borderId="35" xfId="0" applyFont="1" applyFill="1" applyBorder="1" applyAlignment="1">
      <alignment horizontal="center" wrapText="1"/>
    </xf>
    <xf numFmtId="0" fontId="15" fillId="4" borderId="36" xfId="0" applyFont="1" applyFill="1" applyBorder="1" applyAlignment="1">
      <alignment horizontal="center" wrapText="1"/>
    </xf>
    <xf numFmtId="0" fontId="15" fillId="17" borderId="37" xfId="0" applyFont="1" applyFill="1" applyBorder="1" applyAlignment="1">
      <alignment horizontal="center" wrapText="1"/>
    </xf>
    <xf numFmtId="0" fontId="15" fillId="4" borderId="37" xfId="0" applyFont="1" applyFill="1" applyBorder="1" applyAlignment="1">
      <alignment horizontal="center" vertical="center" wrapText="1"/>
    </xf>
    <xf numFmtId="0" fontId="15" fillId="18" borderId="8" xfId="0" applyFont="1" applyFill="1" applyBorder="1" applyAlignment="1">
      <alignment horizontal="center" vertical="center" wrapText="1"/>
    </xf>
    <xf numFmtId="0" fontId="15" fillId="4" borderId="8" xfId="0" applyFont="1" applyFill="1" applyBorder="1" applyAlignment="1">
      <alignment horizontal="center" vertical="center" wrapText="1"/>
    </xf>
    <xf numFmtId="0" fontId="15" fillId="19" borderId="8" xfId="0" applyFont="1" applyFill="1" applyBorder="1" applyAlignment="1">
      <alignment horizontal="center" vertical="center" wrapText="1"/>
    </xf>
    <xf numFmtId="0" fontId="15" fillId="10" borderId="8" xfId="0" applyFont="1" applyFill="1" applyBorder="1" applyAlignment="1">
      <alignment horizontal="center" vertical="center" wrapText="1"/>
    </xf>
    <xf numFmtId="14" fontId="0" fillId="2" borderId="0" xfId="0" applyNumberFormat="1" applyFill="1"/>
    <xf numFmtId="49" fontId="5" fillId="2" borderId="0" xfId="0" applyNumberFormat="1" applyFont="1" applyFill="1"/>
    <xf numFmtId="14" fontId="0" fillId="2" borderId="0" xfId="0" applyNumberFormat="1" applyFill="1" applyAlignment="1">
      <alignment horizontal="center"/>
    </xf>
    <xf numFmtId="0" fontId="5" fillId="4" borderId="3" xfId="0" applyFont="1" applyFill="1" applyBorder="1"/>
    <xf numFmtId="0" fontId="25" fillId="4" borderId="3" xfId="0" applyFont="1" applyFill="1" applyBorder="1"/>
    <xf numFmtId="0" fontId="25" fillId="18" borderId="3" xfId="0" applyFont="1" applyFill="1" applyBorder="1"/>
    <xf numFmtId="0" fontId="0" fillId="18" borderId="0" xfId="0" applyFill="1"/>
    <xf numFmtId="0" fontId="5" fillId="18" borderId="3" xfId="0" applyFont="1" applyFill="1" applyBorder="1"/>
    <xf numFmtId="2" fontId="0" fillId="0" borderId="38" xfId="0" applyNumberFormat="1" applyBorder="1" applyProtection="1">
      <protection locked="0"/>
    </xf>
    <xf numFmtId="0" fontId="2" fillId="0" borderId="33" xfId="0" applyFont="1" applyBorder="1"/>
    <xf numFmtId="0" fontId="2" fillId="0" borderId="32" xfId="0" applyFont="1" applyBorder="1" applyAlignment="1">
      <alignment horizontal="center"/>
    </xf>
    <xf numFmtId="0" fontId="2" fillId="0" borderId="33" xfId="0" applyFont="1" applyBorder="1" applyAlignment="1">
      <alignment horizontal="center"/>
    </xf>
    <xf numFmtId="2" fontId="0" fillId="4" borderId="0" xfId="0" applyNumberFormat="1" applyFill="1"/>
    <xf numFmtId="2" fontId="0" fillId="16" borderId="34" xfId="0" applyNumberFormat="1" applyFill="1" applyBorder="1" applyAlignment="1" applyProtection="1">
      <alignment horizontal="center"/>
      <protection locked="0"/>
    </xf>
    <xf numFmtId="0" fontId="25" fillId="23" borderId="3" xfId="0" applyFont="1" applyFill="1" applyBorder="1"/>
    <xf numFmtId="0" fontId="0" fillId="23" borderId="0" xfId="0" applyFill="1"/>
    <xf numFmtId="0" fontId="25" fillId="24" borderId="3" xfId="0" applyFont="1" applyFill="1" applyBorder="1"/>
    <xf numFmtId="0" fontId="0" fillId="24" borderId="0" xfId="0" applyFill="1"/>
    <xf numFmtId="0" fontId="25" fillId="25" borderId="3" xfId="0" applyFont="1" applyFill="1" applyBorder="1"/>
    <xf numFmtId="0" fontId="0" fillId="25" borderId="0" xfId="0" applyFill="1"/>
    <xf numFmtId="0" fontId="25" fillId="19" borderId="3" xfId="0" applyFont="1" applyFill="1" applyBorder="1"/>
    <xf numFmtId="0" fontId="0" fillId="19" borderId="0" xfId="0" applyFill="1"/>
    <xf numFmtId="0" fontId="25" fillId="26" borderId="3" xfId="0" applyFont="1" applyFill="1" applyBorder="1"/>
    <xf numFmtId="0" fontId="0" fillId="26" borderId="0" xfId="0" applyFill="1"/>
    <xf numFmtId="0" fontId="5" fillId="27" borderId="3" xfId="0" applyFont="1" applyFill="1" applyBorder="1"/>
    <xf numFmtId="0" fontId="0" fillId="27" borderId="0" xfId="0" applyFill="1"/>
    <xf numFmtId="0" fontId="25" fillId="8" borderId="3" xfId="0" applyFont="1" applyFill="1" applyBorder="1"/>
    <xf numFmtId="0" fontId="0" fillId="8" borderId="0" xfId="0" applyFill="1"/>
    <xf numFmtId="14" fontId="0" fillId="0" borderId="0" xfId="0" applyNumberFormat="1" applyFill="1" applyAlignment="1">
      <alignment horizontal="center"/>
    </xf>
    <xf numFmtId="0" fontId="5" fillId="0" borderId="3" xfId="0" applyFont="1" applyFill="1" applyBorder="1"/>
    <xf numFmtId="49" fontId="5" fillId="0" borderId="0" xfId="0" applyNumberFormat="1" applyFont="1" applyFill="1"/>
    <xf numFmtId="0" fontId="0" fillId="0" borderId="0" xfId="0" applyFill="1"/>
    <xf numFmtId="0" fontId="5" fillId="23" borderId="3" xfId="0" applyFont="1" applyFill="1" applyBorder="1"/>
    <xf numFmtId="14" fontId="36" fillId="0" borderId="0" xfId="0" applyNumberFormat="1" applyFont="1" applyFill="1" applyAlignment="1">
      <alignment horizontal="center"/>
    </xf>
    <xf numFmtId="0" fontId="36" fillId="0" borderId="0" xfId="0" applyFont="1" applyFill="1"/>
    <xf numFmtId="0" fontId="5" fillId="13" borderId="3" xfId="0" applyFont="1" applyFill="1" applyBorder="1"/>
    <xf numFmtId="0" fontId="5" fillId="19" borderId="3" xfId="0" applyFont="1" applyFill="1" applyBorder="1"/>
    <xf numFmtId="49" fontId="5" fillId="19" borderId="0" xfId="0" applyNumberFormat="1" applyFont="1" applyFill="1"/>
    <xf numFmtId="0" fontId="25" fillId="28" borderId="3" xfId="0" applyFont="1" applyFill="1" applyBorder="1"/>
    <xf numFmtId="0" fontId="0" fillId="28" borderId="0" xfId="0" applyFill="1"/>
    <xf numFmtId="0" fontId="5" fillId="25" borderId="3" xfId="0" applyFont="1" applyFill="1" applyBorder="1"/>
    <xf numFmtId="49" fontId="5" fillId="25" borderId="0" xfId="0" applyNumberFormat="1" applyFont="1" applyFill="1"/>
    <xf numFmtId="0" fontId="5" fillId="28" borderId="3" xfId="0" applyFont="1" applyFill="1" applyBorder="1"/>
    <xf numFmtId="49" fontId="5" fillId="28" borderId="0" xfId="0" applyNumberFormat="1" applyFont="1" applyFill="1"/>
    <xf numFmtId="0" fontId="27" fillId="0" borderId="0" xfId="0" applyFont="1" applyAlignment="1">
      <alignment horizontal="center" vertical="center" wrapText="1"/>
    </xf>
    <xf numFmtId="0" fontId="1" fillId="14" borderId="46" xfId="0" applyFont="1" applyFill="1" applyBorder="1" applyAlignment="1">
      <alignment horizontal="center"/>
    </xf>
    <xf numFmtId="0" fontId="1" fillId="14" borderId="47" xfId="0" applyFont="1" applyFill="1" applyBorder="1" applyAlignment="1">
      <alignment horizontal="center"/>
    </xf>
    <xf numFmtId="0" fontId="1" fillId="14" borderId="48" xfId="0" applyFont="1" applyFill="1" applyBorder="1" applyAlignment="1">
      <alignment horizontal="center"/>
    </xf>
    <xf numFmtId="0" fontId="1" fillId="0" borderId="0" xfId="0" applyFont="1" applyAlignment="1">
      <alignment horizontal="center" vertical="center" wrapText="1"/>
    </xf>
    <xf numFmtId="0" fontId="12" fillId="0" borderId="3" xfId="0" applyFont="1" applyBorder="1" applyAlignment="1">
      <alignment horizontal="center" vertical="center"/>
    </xf>
    <xf numFmtId="0" fontId="12" fillId="0" borderId="0" xfId="0" applyFont="1" applyAlignment="1">
      <alignment horizontal="center" vertical="center"/>
    </xf>
    <xf numFmtId="0" fontId="1" fillId="22" borderId="46" xfId="0" applyFont="1" applyFill="1" applyBorder="1" applyAlignment="1">
      <alignment horizontal="center"/>
    </xf>
    <xf numFmtId="0" fontId="1" fillId="22" borderId="47" xfId="0" applyFont="1" applyFill="1" applyBorder="1" applyAlignment="1">
      <alignment horizontal="center"/>
    </xf>
    <xf numFmtId="0" fontId="1" fillId="22" borderId="48" xfId="0" applyFont="1" applyFill="1" applyBorder="1" applyAlignment="1">
      <alignment horizontal="center"/>
    </xf>
    <xf numFmtId="0" fontId="1" fillId="21" borderId="0" xfId="0" applyFont="1" applyFill="1" applyAlignment="1">
      <alignment horizontal="center" vertical="center" wrapText="1"/>
    </xf>
    <xf numFmtId="0" fontId="1" fillId="2" borderId="1" xfId="0" applyFont="1" applyFill="1" applyBorder="1" applyAlignment="1">
      <alignment horizontal="center" vertical="center"/>
    </xf>
    <xf numFmtId="0" fontId="1" fillId="2" borderId="9" xfId="0" applyFont="1" applyFill="1" applyBorder="1" applyAlignment="1">
      <alignment horizontal="center" vertical="center"/>
    </xf>
    <xf numFmtId="0" fontId="1" fillId="2" borderId="10" xfId="0" applyFont="1" applyFill="1" applyBorder="1" applyAlignment="1">
      <alignment horizontal="center" vertical="center"/>
    </xf>
    <xf numFmtId="0" fontId="1" fillId="2" borderId="11" xfId="0" applyFont="1" applyFill="1" applyBorder="1" applyAlignment="1">
      <alignment horizontal="center" vertical="center"/>
    </xf>
    <xf numFmtId="0" fontId="16" fillId="2" borderId="1" xfId="0" applyFont="1" applyFill="1" applyBorder="1" applyAlignment="1">
      <alignment horizontal="center" vertical="center" wrapText="1"/>
    </xf>
    <xf numFmtId="0" fontId="16" fillId="2" borderId="9" xfId="0" applyFont="1" applyFill="1" applyBorder="1" applyAlignment="1">
      <alignment horizontal="center" vertical="center" wrapText="1"/>
    </xf>
    <xf numFmtId="0" fontId="16" fillId="2" borderId="10" xfId="0" applyFont="1" applyFill="1" applyBorder="1" applyAlignment="1">
      <alignment horizontal="center" vertical="center" wrapText="1"/>
    </xf>
    <xf numFmtId="0" fontId="16" fillId="2" borderId="11" xfId="0" applyFont="1" applyFill="1" applyBorder="1" applyAlignment="1">
      <alignment horizontal="center" vertical="center" wrapText="1"/>
    </xf>
    <xf numFmtId="0" fontId="3" fillId="2" borderId="1" xfId="0" applyFont="1" applyFill="1" applyBorder="1" applyAlignment="1">
      <alignment horizontal="center" vertical="center" wrapText="1"/>
    </xf>
    <xf numFmtId="0" fontId="3" fillId="2" borderId="9" xfId="0" applyFont="1" applyFill="1" applyBorder="1" applyAlignment="1">
      <alignment horizontal="center" vertical="center" wrapText="1"/>
    </xf>
    <xf numFmtId="0" fontId="3" fillId="2" borderId="10" xfId="0" applyFont="1" applyFill="1" applyBorder="1" applyAlignment="1">
      <alignment horizontal="center" vertical="center" wrapText="1"/>
    </xf>
    <xf numFmtId="0" fontId="3" fillId="2" borderId="11" xfId="0" applyFont="1" applyFill="1" applyBorder="1" applyAlignment="1">
      <alignment horizontal="center" vertical="center" wrapText="1"/>
    </xf>
    <xf numFmtId="0" fontId="21" fillId="2" borderId="0" xfId="0" applyFont="1" applyFill="1" applyAlignment="1">
      <alignment horizontal="center" vertical="center" wrapText="1"/>
    </xf>
    <xf numFmtId="0" fontId="1" fillId="11" borderId="35" xfId="0" applyFont="1" applyFill="1" applyBorder="1" applyAlignment="1">
      <alignment horizontal="center"/>
    </xf>
    <xf numFmtId="0" fontId="1" fillId="11" borderId="36" xfId="0" applyFont="1" applyFill="1" applyBorder="1" applyAlignment="1">
      <alignment horizontal="center"/>
    </xf>
    <xf numFmtId="0" fontId="1" fillId="11" borderId="37" xfId="0" applyFont="1" applyFill="1" applyBorder="1" applyAlignment="1">
      <alignment horizontal="center"/>
    </xf>
    <xf numFmtId="0" fontId="0" fillId="4" borderId="32" xfId="0" applyFill="1" applyBorder="1" applyAlignment="1">
      <alignment horizontal="center" vertical="center" wrapText="1"/>
    </xf>
    <xf numFmtId="0" fontId="0" fillId="4" borderId="33" xfId="0" applyFill="1" applyBorder="1" applyAlignment="1">
      <alignment horizontal="center" vertical="center" wrapText="1"/>
    </xf>
    <xf numFmtId="0" fontId="0" fillId="4" borderId="34" xfId="0" applyFill="1" applyBorder="1" applyAlignment="1">
      <alignment horizontal="center" vertical="center" wrapText="1"/>
    </xf>
    <xf numFmtId="0" fontId="4" fillId="0" borderId="4" xfId="0" applyFont="1" applyBorder="1" applyAlignment="1">
      <alignment horizontal="center"/>
    </xf>
    <xf numFmtId="0" fontId="4" fillId="0" borderId="5" xfId="0" applyFont="1" applyBorder="1" applyAlignment="1">
      <alignment horizontal="center"/>
    </xf>
  </cellXfs>
  <cellStyles count="1">
    <cellStyle name="Normal" xfId="0" builtinId="0"/>
  </cellStyles>
  <dxfs count="47">
    <dxf>
      <font>
        <b val="0"/>
        <i/>
      </font>
      <fill>
        <patternFill>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val="0"/>
        <i/>
      </font>
      <fill>
        <patternFill>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3.png"/></Relationships>
</file>

<file path=xl/drawings/_rels/drawing4.xml.rels><?xml version="1.0" encoding="UTF-8" standalone="yes"?>
<Relationships xmlns="http://schemas.openxmlformats.org/package/2006/relationships"><Relationship Id="rId1" Type="http://schemas.openxmlformats.org/officeDocument/2006/relationships/image" Target="../media/image4.png"/></Relationships>
</file>

<file path=xl/drawings/_rels/drawing5.xml.rels><?xml version="1.0" encoding="UTF-8" standalone="yes"?>
<Relationships xmlns="http://schemas.openxmlformats.org/package/2006/relationships"><Relationship Id="rId1"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xdr:twoCellAnchor editAs="oneCell">
    <xdr:from>
      <xdr:col>0</xdr:col>
      <xdr:colOff>28576</xdr:colOff>
      <xdr:row>0</xdr:row>
      <xdr:rowOff>1</xdr:rowOff>
    </xdr:from>
    <xdr:to>
      <xdr:col>1</xdr:col>
      <xdr:colOff>885825</xdr:colOff>
      <xdr:row>3</xdr:row>
      <xdr:rowOff>13405</xdr:rowOff>
    </xdr:to>
    <xdr:pic>
      <xdr:nvPicPr>
        <xdr:cNvPr id="2" name="Imag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8576" y="1"/>
          <a:ext cx="1600199" cy="584904"/>
        </a:xfrm>
        <a:prstGeom prst="rect">
          <a:avLst/>
        </a:prstGeom>
      </xdr:spPr>
    </xdr:pic>
    <xdr:clientData/>
  </xdr:twoCellAnchor>
  <xdr:twoCellAnchor editAs="oneCell">
    <xdr:from>
      <xdr:col>1</xdr:col>
      <xdr:colOff>981075</xdr:colOff>
      <xdr:row>0</xdr:row>
      <xdr:rowOff>28576</xdr:rowOff>
    </xdr:from>
    <xdr:to>
      <xdr:col>1</xdr:col>
      <xdr:colOff>1419224</xdr:colOff>
      <xdr:row>2</xdr:row>
      <xdr:rowOff>175666</xdr:rowOff>
    </xdr:to>
    <xdr:pic>
      <xdr:nvPicPr>
        <xdr:cNvPr id="4" name="Imag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724025" y="28576"/>
          <a:ext cx="438149" cy="52809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124070</xdr:colOff>
      <xdr:row>0</xdr:row>
      <xdr:rowOff>1</xdr:rowOff>
    </xdr:from>
    <xdr:to>
      <xdr:col>0</xdr:col>
      <xdr:colOff>609356</xdr:colOff>
      <xdr:row>3</xdr:row>
      <xdr:rowOff>4967</xdr:rowOff>
    </xdr:to>
    <xdr:pic>
      <xdr:nvPicPr>
        <xdr:cNvPr id="3" name="Imag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124070" y="1"/>
          <a:ext cx="485286" cy="584904"/>
        </a:xfrm>
        <a:prstGeom prst="rect">
          <a:avLst/>
        </a:prstGeom>
      </xdr:spPr>
    </xdr:pic>
    <xdr:clientData/>
  </xdr:twoCellAnchor>
  <mc:AlternateContent xmlns:mc="http://schemas.openxmlformats.org/markup-compatibility/2006">
    <mc:Choice xmlns:a14="http://schemas.microsoft.com/office/drawing/2010/main" Requires="a14">
      <xdr:twoCellAnchor>
        <xdr:from>
          <xdr:col>31</xdr:col>
          <xdr:colOff>28575</xdr:colOff>
          <xdr:row>7</xdr:row>
          <xdr:rowOff>19050</xdr:rowOff>
        </xdr:from>
        <xdr:to>
          <xdr:col>32</xdr:col>
          <xdr:colOff>809625</xdr:colOff>
          <xdr:row>7</xdr:row>
          <xdr:rowOff>180975</xdr:rowOff>
        </xdr:to>
        <xdr:sp macro="" textlink="">
          <xdr:nvSpPr>
            <xdr:cNvPr id="2191" name="Button 143" hidden="1">
              <a:extLst>
                <a:ext uri="{63B3BB69-23CF-44E3-9099-C40C66FF867C}">
                  <a14:compatExt spid="_x0000_s2191"/>
                </a:ext>
                <a:ext uri="{FF2B5EF4-FFF2-40B4-BE49-F238E27FC236}">
                  <a16:creationId xmlns:a16="http://schemas.microsoft.com/office/drawing/2014/main" id="{00000000-0008-0000-0100-00008F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Page 1 - Manager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28575</xdr:colOff>
          <xdr:row>8</xdr:row>
          <xdr:rowOff>28575</xdr:rowOff>
        </xdr:from>
        <xdr:to>
          <xdr:col>32</xdr:col>
          <xdr:colOff>809625</xdr:colOff>
          <xdr:row>8</xdr:row>
          <xdr:rowOff>190500</xdr:rowOff>
        </xdr:to>
        <xdr:sp macro="" textlink="">
          <xdr:nvSpPr>
            <xdr:cNvPr id="2192" name="Button 144" hidden="1">
              <a:extLst>
                <a:ext uri="{63B3BB69-23CF-44E3-9099-C40C66FF867C}">
                  <a14:compatExt spid="_x0000_s2192"/>
                </a:ext>
                <a:ext uri="{FF2B5EF4-FFF2-40B4-BE49-F238E27FC236}">
                  <a16:creationId xmlns:a16="http://schemas.microsoft.com/office/drawing/2014/main" id="{00000000-0008-0000-0100-000090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Page 2 - Cadre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28575</xdr:colOff>
          <xdr:row>9</xdr:row>
          <xdr:rowOff>28575</xdr:rowOff>
        </xdr:from>
        <xdr:to>
          <xdr:col>32</xdr:col>
          <xdr:colOff>809625</xdr:colOff>
          <xdr:row>9</xdr:row>
          <xdr:rowOff>190500</xdr:rowOff>
        </xdr:to>
        <xdr:sp macro="" textlink="">
          <xdr:nvSpPr>
            <xdr:cNvPr id="2193" name="Button 145" hidden="1">
              <a:extLst>
                <a:ext uri="{63B3BB69-23CF-44E3-9099-C40C66FF867C}">
                  <a14:compatExt spid="_x0000_s2193"/>
                </a:ext>
                <a:ext uri="{FF2B5EF4-FFF2-40B4-BE49-F238E27FC236}">
                  <a16:creationId xmlns:a16="http://schemas.microsoft.com/office/drawing/2014/main" id="{00000000-0008-0000-0100-00009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Page 3 - Cadre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28575</xdr:colOff>
          <xdr:row>10</xdr:row>
          <xdr:rowOff>19050</xdr:rowOff>
        </xdr:from>
        <xdr:to>
          <xdr:col>32</xdr:col>
          <xdr:colOff>809625</xdr:colOff>
          <xdr:row>10</xdr:row>
          <xdr:rowOff>180975</xdr:rowOff>
        </xdr:to>
        <xdr:sp macro="" textlink="">
          <xdr:nvSpPr>
            <xdr:cNvPr id="2194" name="Button 146" hidden="1">
              <a:extLst>
                <a:ext uri="{63B3BB69-23CF-44E3-9099-C40C66FF867C}">
                  <a14:compatExt spid="_x0000_s2194"/>
                </a:ext>
                <a:ext uri="{FF2B5EF4-FFF2-40B4-BE49-F238E27FC236}">
                  <a16:creationId xmlns:a16="http://schemas.microsoft.com/office/drawing/2014/main" id="{00000000-0008-0000-0100-00009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Page 4 - Cadre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28575</xdr:colOff>
          <xdr:row>11</xdr:row>
          <xdr:rowOff>19050</xdr:rowOff>
        </xdr:from>
        <xdr:to>
          <xdr:col>32</xdr:col>
          <xdr:colOff>809625</xdr:colOff>
          <xdr:row>11</xdr:row>
          <xdr:rowOff>180975</xdr:rowOff>
        </xdr:to>
        <xdr:sp macro="" textlink="">
          <xdr:nvSpPr>
            <xdr:cNvPr id="2195" name="Button 147" hidden="1">
              <a:extLst>
                <a:ext uri="{63B3BB69-23CF-44E3-9099-C40C66FF867C}">
                  <a14:compatExt spid="_x0000_s2195"/>
                </a:ext>
                <a:ext uri="{FF2B5EF4-FFF2-40B4-BE49-F238E27FC236}">
                  <a16:creationId xmlns:a16="http://schemas.microsoft.com/office/drawing/2014/main" id="{00000000-0008-0000-0100-000093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Page 5 - E(forfait)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28575</xdr:colOff>
          <xdr:row>12</xdr:row>
          <xdr:rowOff>19050</xdr:rowOff>
        </xdr:from>
        <xdr:to>
          <xdr:col>32</xdr:col>
          <xdr:colOff>809625</xdr:colOff>
          <xdr:row>12</xdr:row>
          <xdr:rowOff>180975</xdr:rowOff>
        </xdr:to>
        <xdr:sp macro="" textlink="">
          <xdr:nvSpPr>
            <xdr:cNvPr id="2196" name="Button 148" hidden="1">
              <a:extLst>
                <a:ext uri="{63B3BB69-23CF-44E3-9099-C40C66FF867C}">
                  <a14:compatExt spid="_x0000_s2196"/>
                </a:ext>
                <a:ext uri="{FF2B5EF4-FFF2-40B4-BE49-F238E27FC236}">
                  <a16:creationId xmlns:a16="http://schemas.microsoft.com/office/drawing/2014/main" id="{00000000-0008-0000-0100-00009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Page 6 - Employé</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28575</xdr:colOff>
          <xdr:row>13</xdr:row>
          <xdr:rowOff>19050</xdr:rowOff>
        </xdr:from>
        <xdr:to>
          <xdr:col>32</xdr:col>
          <xdr:colOff>809625</xdr:colOff>
          <xdr:row>13</xdr:row>
          <xdr:rowOff>180975</xdr:rowOff>
        </xdr:to>
        <xdr:sp macro="" textlink="">
          <xdr:nvSpPr>
            <xdr:cNvPr id="2197" name="Button 149" hidden="1">
              <a:extLst>
                <a:ext uri="{63B3BB69-23CF-44E3-9099-C40C66FF867C}">
                  <a14:compatExt spid="_x0000_s2197"/>
                </a:ext>
                <a:ext uri="{FF2B5EF4-FFF2-40B4-BE49-F238E27FC236}">
                  <a16:creationId xmlns:a16="http://schemas.microsoft.com/office/drawing/2014/main" id="{00000000-0008-0000-0100-000095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Page 7 - Employé</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28575</xdr:colOff>
          <xdr:row>14</xdr:row>
          <xdr:rowOff>19050</xdr:rowOff>
        </xdr:from>
        <xdr:to>
          <xdr:col>32</xdr:col>
          <xdr:colOff>809625</xdr:colOff>
          <xdr:row>14</xdr:row>
          <xdr:rowOff>180975</xdr:rowOff>
        </xdr:to>
        <xdr:sp macro="" textlink="">
          <xdr:nvSpPr>
            <xdr:cNvPr id="2198" name="Button 150" hidden="1">
              <a:extLst>
                <a:ext uri="{63B3BB69-23CF-44E3-9099-C40C66FF867C}">
                  <a14:compatExt spid="_x0000_s2198"/>
                </a:ext>
                <a:ext uri="{FF2B5EF4-FFF2-40B4-BE49-F238E27FC236}">
                  <a16:creationId xmlns:a16="http://schemas.microsoft.com/office/drawing/2014/main" id="{00000000-0008-0000-0100-000096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Page 8 - Employé</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28575</xdr:colOff>
          <xdr:row>15</xdr:row>
          <xdr:rowOff>19050</xdr:rowOff>
        </xdr:from>
        <xdr:to>
          <xdr:col>32</xdr:col>
          <xdr:colOff>809625</xdr:colOff>
          <xdr:row>15</xdr:row>
          <xdr:rowOff>180975</xdr:rowOff>
        </xdr:to>
        <xdr:sp macro="" textlink="">
          <xdr:nvSpPr>
            <xdr:cNvPr id="2199" name="Button 151" hidden="1">
              <a:extLst>
                <a:ext uri="{63B3BB69-23CF-44E3-9099-C40C66FF867C}">
                  <a14:compatExt spid="_x0000_s2199"/>
                </a:ext>
                <a:ext uri="{FF2B5EF4-FFF2-40B4-BE49-F238E27FC236}">
                  <a16:creationId xmlns:a16="http://schemas.microsoft.com/office/drawing/2014/main" id="{00000000-0008-0000-0100-000097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Page 9 - Employé</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28575</xdr:colOff>
          <xdr:row>16</xdr:row>
          <xdr:rowOff>19050</xdr:rowOff>
        </xdr:from>
        <xdr:to>
          <xdr:col>32</xdr:col>
          <xdr:colOff>809625</xdr:colOff>
          <xdr:row>16</xdr:row>
          <xdr:rowOff>180975</xdr:rowOff>
        </xdr:to>
        <xdr:sp macro="" textlink="">
          <xdr:nvSpPr>
            <xdr:cNvPr id="2200" name="Button 152" hidden="1">
              <a:extLst>
                <a:ext uri="{63B3BB69-23CF-44E3-9099-C40C66FF867C}">
                  <a14:compatExt spid="_x0000_s2200"/>
                </a:ext>
                <a:ext uri="{FF2B5EF4-FFF2-40B4-BE49-F238E27FC236}">
                  <a16:creationId xmlns:a16="http://schemas.microsoft.com/office/drawing/2014/main" id="{00000000-0008-0000-0100-000098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Page 10 - Employé</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28575</xdr:colOff>
          <xdr:row>17</xdr:row>
          <xdr:rowOff>9525</xdr:rowOff>
        </xdr:from>
        <xdr:to>
          <xdr:col>32</xdr:col>
          <xdr:colOff>809625</xdr:colOff>
          <xdr:row>17</xdr:row>
          <xdr:rowOff>171450</xdr:rowOff>
        </xdr:to>
        <xdr:sp macro="" textlink="">
          <xdr:nvSpPr>
            <xdr:cNvPr id="2201" name="Button 153" hidden="1">
              <a:extLst>
                <a:ext uri="{63B3BB69-23CF-44E3-9099-C40C66FF867C}">
                  <a14:compatExt spid="_x0000_s2201"/>
                </a:ext>
                <a:ext uri="{FF2B5EF4-FFF2-40B4-BE49-F238E27FC236}">
                  <a16:creationId xmlns:a16="http://schemas.microsoft.com/office/drawing/2014/main" id="{00000000-0008-0000-0100-000099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Page 11 - Employé</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28575</xdr:colOff>
          <xdr:row>18</xdr:row>
          <xdr:rowOff>9525</xdr:rowOff>
        </xdr:from>
        <xdr:to>
          <xdr:col>32</xdr:col>
          <xdr:colOff>809625</xdr:colOff>
          <xdr:row>18</xdr:row>
          <xdr:rowOff>171450</xdr:rowOff>
        </xdr:to>
        <xdr:sp macro="" textlink="">
          <xdr:nvSpPr>
            <xdr:cNvPr id="2202" name="Button 154" hidden="1">
              <a:extLst>
                <a:ext uri="{63B3BB69-23CF-44E3-9099-C40C66FF867C}">
                  <a14:compatExt spid="_x0000_s2202"/>
                </a:ext>
                <a:ext uri="{FF2B5EF4-FFF2-40B4-BE49-F238E27FC236}">
                  <a16:creationId xmlns:a16="http://schemas.microsoft.com/office/drawing/2014/main" id="{00000000-0008-0000-0100-00009A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Page 12 - Employé</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28575</xdr:colOff>
          <xdr:row>19</xdr:row>
          <xdr:rowOff>19050</xdr:rowOff>
        </xdr:from>
        <xdr:to>
          <xdr:col>32</xdr:col>
          <xdr:colOff>809625</xdr:colOff>
          <xdr:row>19</xdr:row>
          <xdr:rowOff>180975</xdr:rowOff>
        </xdr:to>
        <xdr:sp macro="" textlink="">
          <xdr:nvSpPr>
            <xdr:cNvPr id="2203" name="Button 155" hidden="1">
              <a:extLst>
                <a:ext uri="{63B3BB69-23CF-44E3-9099-C40C66FF867C}">
                  <a14:compatExt spid="_x0000_s2203"/>
                </a:ext>
                <a:ext uri="{FF2B5EF4-FFF2-40B4-BE49-F238E27FC236}">
                  <a16:creationId xmlns:a16="http://schemas.microsoft.com/office/drawing/2014/main" id="{00000000-0008-0000-0100-00009B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Page 13 - Employé</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28575</xdr:colOff>
          <xdr:row>20</xdr:row>
          <xdr:rowOff>9525</xdr:rowOff>
        </xdr:from>
        <xdr:to>
          <xdr:col>32</xdr:col>
          <xdr:colOff>809625</xdr:colOff>
          <xdr:row>20</xdr:row>
          <xdr:rowOff>171450</xdr:rowOff>
        </xdr:to>
        <xdr:sp macro="" textlink="">
          <xdr:nvSpPr>
            <xdr:cNvPr id="2204" name="Button 156" hidden="1">
              <a:extLst>
                <a:ext uri="{63B3BB69-23CF-44E3-9099-C40C66FF867C}">
                  <a14:compatExt spid="_x0000_s2204"/>
                </a:ext>
                <a:ext uri="{FF2B5EF4-FFF2-40B4-BE49-F238E27FC236}">
                  <a16:creationId xmlns:a16="http://schemas.microsoft.com/office/drawing/2014/main" id="{00000000-0008-0000-0100-00009C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Page 14 - Employé</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28575</xdr:colOff>
          <xdr:row>21</xdr:row>
          <xdr:rowOff>9525</xdr:rowOff>
        </xdr:from>
        <xdr:to>
          <xdr:col>32</xdr:col>
          <xdr:colOff>809625</xdr:colOff>
          <xdr:row>21</xdr:row>
          <xdr:rowOff>171450</xdr:rowOff>
        </xdr:to>
        <xdr:sp macro="" textlink="">
          <xdr:nvSpPr>
            <xdr:cNvPr id="2205" name="Button 157" hidden="1">
              <a:extLst>
                <a:ext uri="{63B3BB69-23CF-44E3-9099-C40C66FF867C}">
                  <a14:compatExt spid="_x0000_s2205"/>
                </a:ext>
                <a:ext uri="{FF2B5EF4-FFF2-40B4-BE49-F238E27FC236}">
                  <a16:creationId xmlns:a16="http://schemas.microsoft.com/office/drawing/2014/main" id="{00000000-0008-0000-0100-00009D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Page 15 - Employé</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28575</xdr:colOff>
          <xdr:row>22</xdr:row>
          <xdr:rowOff>0</xdr:rowOff>
        </xdr:from>
        <xdr:to>
          <xdr:col>32</xdr:col>
          <xdr:colOff>809625</xdr:colOff>
          <xdr:row>22</xdr:row>
          <xdr:rowOff>161925</xdr:rowOff>
        </xdr:to>
        <xdr:sp macro="" textlink="">
          <xdr:nvSpPr>
            <xdr:cNvPr id="2206" name="Button 158" hidden="1">
              <a:extLst>
                <a:ext uri="{63B3BB69-23CF-44E3-9099-C40C66FF867C}">
                  <a14:compatExt spid="_x0000_s2206"/>
                </a:ext>
                <a:ext uri="{FF2B5EF4-FFF2-40B4-BE49-F238E27FC236}">
                  <a16:creationId xmlns:a16="http://schemas.microsoft.com/office/drawing/2014/main" id="{00000000-0008-0000-0100-00009E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Page 16 - Employé</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28575</xdr:colOff>
          <xdr:row>23</xdr:row>
          <xdr:rowOff>9525</xdr:rowOff>
        </xdr:from>
        <xdr:to>
          <xdr:col>32</xdr:col>
          <xdr:colOff>809625</xdr:colOff>
          <xdr:row>23</xdr:row>
          <xdr:rowOff>171450</xdr:rowOff>
        </xdr:to>
        <xdr:sp macro="" textlink="">
          <xdr:nvSpPr>
            <xdr:cNvPr id="2207" name="Button 159" hidden="1">
              <a:extLst>
                <a:ext uri="{63B3BB69-23CF-44E3-9099-C40C66FF867C}">
                  <a14:compatExt spid="_x0000_s2207"/>
                </a:ext>
                <a:ext uri="{FF2B5EF4-FFF2-40B4-BE49-F238E27FC236}">
                  <a16:creationId xmlns:a16="http://schemas.microsoft.com/office/drawing/2014/main" id="{00000000-0008-0000-0100-00009F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Page 17 - Employé</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28575</xdr:colOff>
          <xdr:row>24</xdr:row>
          <xdr:rowOff>0</xdr:rowOff>
        </xdr:from>
        <xdr:to>
          <xdr:col>32</xdr:col>
          <xdr:colOff>809625</xdr:colOff>
          <xdr:row>24</xdr:row>
          <xdr:rowOff>161925</xdr:rowOff>
        </xdr:to>
        <xdr:sp macro="" textlink="">
          <xdr:nvSpPr>
            <xdr:cNvPr id="2208" name="Button 160" hidden="1">
              <a:extLst>
                <a:ext uri="{63B3BB69-23CF-44E3-9099-C40C66FF867C}">
                  <a14:compatExt spid="_x0000_s2208"/>
                </a:ext>
                <a:ext uri="{FF2B5EF4-FFF2-40B4-BE49-F238E27FC236}">
                  <a16:creationId xmlns:a16="http://schemas.microsoft.com/office/drawing/2014/main" id="{00000000-0008-0000-0100-0000A0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Page 18 - Employé</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28575</xdr:colOff>
          <xdr:row>24</xdr:row>
          <xdr:rowOff>190500</xdr:rowOff>
        </xdr:from>
        <xdr:to>
          <xdr:col>32</xdr:col>
          <xdr:colOff>809625</xdr:colOff>
          <xdr:row>25</xdr:row>
          <xdr:rowOff>152400</xdr:rowOff>
        </xdr:to>
        <xdr:sp macro="" textlink="">
          <xdr:nvSpPr>
            <xdr:cNvPr id="2209" name="Button 161" hidden="1">
              <a:extLst>
                <a:ext uri="{63B3BB69-23CF-44E3-9099-C40C66FF867C}">
                  <a14:compatExt spid="_x0000_s2209"/>
                </a:ext>
                <a:ext uri="{FF2B5EF4-FFF2-40B4-BE49-F238E27FC236}">
                  <a16:creationId xmlns:a16="http://schemas.microsoft.com/office/drawing/2014/main" id="{00000000-0008-0000-0100-0000A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Page 19 - Employé</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28575</xdr:colOff>
          <xdr:row>25</xdr:row>
          <xdr:rowOff>190500</xdr:rowOff>
        </xdr:from>
        <xdr:to>
          <xdr:col>32</xdr:col>
          <xdr:colOff>809625</xdr:colOff>
          <xdr:row>26</xdr:row>
          <xdr:rowOff>152400</xdr:rowOff>
        </xdr:to>
        <xdr:sp macro="" textlink="">
          <xdr:nvSpPr>
            <xdr:cNvPr id="2210" name="Button 162" hidden="1">
              <a:extLst>
                <a:ext uri="{63B3BB69-23CF-44E3-9099-C40C66FF867C}">
                  <a14:compatExt spid="_x0000_s2210"/>
                </a:ext>
                <a:ext uri="{FF2B5EF4-FFF2-40B4-BE49-F238E27FC236}">
                  <a16:creationId xmlns:a16="http://schemas.microsoft.com/office/drawing/2014/main" id="{00000000-0008-0000-0100-0000A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Page 20 - Employé</a:t>
              </a:r>
            </a:p>
          </xdr:txBody>
        </xdr:sp>
        <xdr:clientData fPrintsWithSheet="0"/>
      </xdr:twoCellAnchor>
    </mc:Choice>
    <mc:Fallback/>
  </mc:AlternateContent>
  <xdr:twoCellAnchor>
    <xdr:from>
      <xdr:col>7</xdr:col>
      <xdr:colOff>0</xdr:colOff>
      <xdr:row>139</xdr:row>
      <xdr:rowOff>190499</xdr:rowOff>
    </xdr:from>
    <xdr:to>
      <xdr:col>8</xdr:col>
      <xdr:colOff>0</xdr:colOff>
      <xdr:row>140</xdr:row>
      <xdr:rowOff>200024</xdr:rowOff>
    </xdr:to>
    <xdr:sp macro="" textlink="">
      <xdr:nvSpPr>
        <xdr:cNvPr id="2" name="ZoneTexte 1">
          <a:extLst>
            <a:ext uri="{FF2B5EF4-FFF2-40B4-BE49-F238E27FC236}">
              <a16:creationId xmlns:a16="http://schemas.microsoft.com/office/drawing/2014/main" id="{00000000-0008-0000-0100-000002000000}"/>
            </a:ext>
          </a:extLst>
        </xdr:cNvPr>
        <xdr:cNvSpPr txBox="1"/>
      </xdr:nvSpPr>
      <xdr:spPr>
        <a:xfrm>
          <a:off x="4200525" y="8277224"/>
          <a:ext cx="733425" cy="200025"/>
        </a:xfrm>
        <a:prstGeom prst="rect">
          <a:avLst/>
        </a:prstGeom>
        <a:solidFill>
          <a:schemeClr val="bg1">
            <a:lumMod val="8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fr-FR" sz="1100"/>
            <a:t>Employé</a:t>
          </a:r>
        </a:p>
      </xdr:txBody>
    </xdr:sp>
    <xdr:clientData/>
  </xdr:twoCellAnchor>
  <xdr:twoCellAnchor editAs="oneCell">
    <xdr:from>
      <xdr:col>0</xdr:col>
      <xdr:colOff>133350</xdr:colOff>
      <xdr:row>33</xdr:row>
      <xdr:rowOff>9525</xdr:rowOff>
    </xdr:from>
    <xdr:to>
      <xdr:col>0</xdr:col>
      <xdr:colOff>619723</xdr:colOff>
      <xdr:row>133</xdr:row>
      <xdr:rowOff>0</xdr:rowOff>
    </xdr:to>
    <xdr:pic>
      <xdr:nvPicPr>
        <xdr:cNvPr id="44" name="Image 43">
          <a:extLst>
            <a:ext uri="{FF2B5EF4-FFF2-40B4-BE49-F238E27FC236}">
              <a16:creationId xmlns:a16="http://schemas.microsoft.com/office/drawing/2014/main" id="{00000000-0008-0000-0100-00002C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133350" y="6381750"/>
          <a:ext cx="485286" cy="584904"/>
        </a:xfrm>
        <a:prstGeom prst="rect">
          <a:avLst/>
        </a:prstGeom>
      </xdr:spPr>
    </xdr:pic>
    <xdr:clientData/>
  </xdr:twoCellAnchor>
  <xdr:oneCellAnchor>
    <xdr:from>
      <xdr:col>0</xdr:col>
      <xdr:colOff>133350</xdr:colOff>
      <xdr:row>66</xdr:row>
      <xdr:rowOff>9525</xdr:rowOff>
    </xdr:from>
    <xdr:ext cx="485286" cy="584904"/>
    <xdr:pic>
      <xdr:nvPicPr>
        <xdr:cNvPr id="45" name="Image 44">
          <a:extLst>
            <a:ext uri="{FF2B5EF4-FFF2-40B4-BE49-F238E27FC236}">
              <a16:creationId xmlns:a16="http://schemas.microsoft.com/office/drawing/2014/main" id="{00000000-0008-0000-0100-00002D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133350" y="6381750"/>
          <a:ext cx="485286" cy="584904"/>
        </a:xfrm>
        <a:prstGeom prst="rect">
          <a:avLst/>
        </a:prstGeom>
      </xdr:spPr>
    </xdr:pic>
    <xdr:clientData/>
  </xdr:oneCellAnchor>
  <xdr:oneCellAnchor>
    <xdr:from>
      <xdr:col>0</xdr:col>
      <xdr:colOff>133350</xdr:colOff>
      <xdr:row>99</xdr:row>
      <xdr:rowOff>9525</xdr:rowOff>
    </xdr:from>
    <xdr:ext cx="485286" cy="584904"/>
    <xdr:pic>
      <xdr:nvPicPr>
        <xdr:cNvPr id="46" name="Image 45">
          <a:extLst>
            <a:ext uri="{FF2B5EF4-FFF2-40B4-BE49-F238E27FC236}">
              <a16:creationId xmlns:a16="http://schemas.microsoft.com/office/drawing/2014/main" id="{00000000-0008-0000-0100-00002E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133350" y="6381750"/>
          <a:ext cx="485286" cy="584904"/>
        </a:xfrm>
        <a:prstGeom prst="rect">
          <a:avLst/>
        </a:prstGeom>
      </xdr:spPr>
    </xdr:pic>
    <xdr:clientData/>
  </xdr:oneCellAnchor>
  <xdr:oneCellAnchor>
    <xdr:from>
      <xdr:col>0</xdr:col>
      <xdr:colOff>133350</xdr:colOff>
      <xdr:row>132</xdr:row>
      <xdr:rowOff>9525</xdr:rowOff>
    </xdr:from>
    <xdr:ext cx="485286" cy="584904"/>
    <xdr:pic>
      <xdr:nvPicPr>
        <xdr:cNvPr id="47" name="Image 46">
          <a:extLst>
            <a:ext uri="{FF2B5EF4-FFF2-40B4-BE49-F238E27FC236}">
              <a16:creationId xmlns:a16="http://schemas.microsoft.com/office/drawing/2014/main" id="{00000000-0008-0000-0100-00002F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133350" y="6381750"/>
          <a:ext cx="485286" cy="584904"/>
        </a:xfrm>
        <a:prstGeom prst="rect">
          <a:avLst/>
        </a:prstGeom>
      </xdr:spPr>
    </xdr:pic>
    <xdr:clientData/>
  </xdr:oneCellAnchor>
  <xdr:oneCellAnchor>
    <xdr:from>
      <xdr:col>0</xdr:col>
      <xdr:colOff>133350</xdr:colOff>
      <xdr:row>165</xdr:row>
      <xdr:rowOff>9525</xdr:rowOff>
    </xdr:from>
    <xdr:ext cx="485286" cy="584904"/>
    <xdr:pic>
      <xdr:nvPicPr>
        <xdr:cNvPr id="48" name="Image 47">
          <a:extLst>
            <a:ext uri="{FF2B5EF4-FFF2-40B4-BE49-F238E27FC236}">
              <a16:creationId xmlns:a16="http://schemas.microsoft.com/office/drawing/2014/main" id="{00000000-0008-0000-0100-000030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133350" y="6381750"/>
          <a:ext cx="485286" cy="584904"/>
        </a:xfrm>
        <a:prstGeom prst="rect">
          <a:avLst/>
        </a:prstGeom>
      </xdr:spPr>
    </xdr:pic>
    <xdr:clientData/>
  </xdr:oneCellAnchor>
  <xdr:oneCellAnchor>
    <xdr:from>
      <xdr:col>0</xdr:col>
      <xdr:colOff>133350</xdr:colOff>
      <xdr:row>198</xdr:row>
      <xdr:rowOff>9525</xdr:rowOff>
    </xdr:from>
    <xdr:ext cx="485286" cy="584904"/>
    <xdr:pic>
      <xdr:nvPicPr>
        <xdr:cNvPr id="49" name="Image 48">
          <a:extLst>
            <a:ext uri="{FF2B5EF4-FFF2-40B4-BE49-F238E27FC236}">
              <a16:creationId xmlns:a16="http://schemas.microsoft.com/office/drawing/2014/main" id="{00000000-0008-0000-0100-000031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133350" y="6381750"/>
          <a:ext cx="485286" cy="584904"/>
        </a:xfrm>
        <a:prstGeom prst="rect">
          <a:avLst/>
        </a:prstGeom>
      </xdr:spPr>
    </xdr:pic>
    <xdr:clientData/>
  </xdr:oneCellAnchor>
  <xdr:oneCellAnchor>
    <xdr:from>
      <xdr:col>0</xdr:col>
      <xdr:colOff>133350</xdr:colOff>
      <xdr:row>231</xdr:row>
      <xdr:rowOff>9525</xdr:rowOff>
    </xdr:from>
    <xdr:ext cx="485286" cy="584904"/>
    <xdr:pic>
      <xdr:nvPicPr>
        <xdr:cNvPr id="50" name="Image 49">
          <a:extLst>
            <a:ext uri="{FF2B5EF4-FFF2-40B4-BE49-F238E27FC236}">
              <a16:creationId xmlns:a16="http://schemas.microsoft.com/office/drawing/2014/main" id="{00000000-0008-0000-0100-00003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133350" y="6381750"/>
          <a:ext cx="485286" cy="584904"/>
        </a:xfrm>
        <a:prstGeom prst="rect">
          <a:avLst/>
        </a:prstGeom>
      </xdr:spPr>
    </xdr:pic>
    <xdr:clientData/>
  </xdr:oneCellAnchor>
  <xdr:oneCellAnchor>
    <xdr:from>
      <xdr:col>0</xdr:col>
      <xdr:colOff>133350</xdr:colOff>
      <xdr:row>264</xdr:row>
      <xdr:rowOff>9525</xdr:rowOff>
    </xdr:from>
    <xdr:ext cx="485286" cy="584904"/>
    <xdr:pic>
      <xdr:nvPicPr>
        <xdr:cNvPr id="51" name="Image 50">
          <a:extLst>
            <a:ext uri="{FF2B5EF4-FFF2-40B4-BE49-F238E27FC236}">
              <a16:creationId xmlns:a16="http://schemas.microsoft.com/office/drawing/2014/main" id="{00000000-0008-0000-0100-00003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133350" y="6381750"/>
          <a:ext cx="485286" cy="584904"/>
        </a:xfrm>
        <a:prstGeom prst="rect">
          <a:avLst/>
        </a:prstGeom>
      </xdr:spPr>
    </xdr:pic>
    <xdr:clientData/>
  </xdr:oneCellAnchor>
  <xdr:oneCellAnchor>
    <xdr:from>
      <xdr:col>0</xdr:col>
      <xdr:colOff>133350</xdr:colOff>
      <xdr:row>297</xdr:row>
      <xdr:rowOff>9525</xdr:rowOff>
    </xdr:from>
    <xdr:ext cx="485286" cy="584904"/>
    <xdr:pic>
      <xdr:nvPicPr>
        <xdr:cNvPr id="52" name="Image 51">
          <a:extLst>
            <a:ext uri="{FF2B5EF4-FFF2-40B4-BE49-F238E27FC236}">
              <a16:creationId xmlns:a16="http://schemas.microsoft.com/office/drawing/2014/main" id="{00000000-0008-0000-0100-00003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133350" y="6381750"/>
          <a:ext cx="485286" cy="584904"/>
        </a:xfrm>
        <a:prstGeom prst="rect">
          <a:avLst/>
        </a:prstGeom>
      </xdr:spPr>
    </xdr:pic>
    <xdr:clientData/>
  </xdr:oneCellAnchor>
  <xdr:oneCellAnchor>
    <xdr:from>
      <xdr:col>0</xdr:col>
      <xdr:colOff>133350</xdr:colOff>
      <xdr:row>330</xdr:row>
      <xdr:rowOff>9525</xdr:rowOff>
    </xdr:from>
    <xdr:ext cx="485286" cy="584904"/>
    <xdr:pic>
      <xdr:nvPicPr>
        <xdr:cNvPr id="53" name="Image 52">
          <a:extLst>
            <a:ext uri="{FF2B5EF4-FFF2-40B4-BE49-F238E27FC236}">
              <a16:creationId xmlns:a16="http://schemas.microsoft.com/office/drawing/2014/main" id="{00000000-0008-0000-0100-00003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133350" y="6381750"/>
          <a:ext cx="485286" cy="584904"/>
        </a:xfrm>
        <a:prstGeom prst="rect">
          <a:avLst/>
        </a:prstGeom>
      </xdr:spPr>
    </xdr:pic>
    <xdr:clientData/>
  </xdr:oneCellAnchor>
  <xdr:oneCellAnchor>
    <xdr:from>
      <xdr:col>0</xdr:col>
      <xdr:colOff>133350</xdr:colOff>
      <xdr:row>363</xdr:row>
      <xdr:rowOff>9525</xdr:rowOff>
    </xdr:from>
    <xdr:ext cx="485286" cy="584904"/>
    <xdr:pic>
      <xdr:nvPicPr>
        <xdr:cNvPr id="54" name="Image 53">
          <a:extLst>
            <a:ext uri="{FF2B5EF4-FFF2-40B4-BE49-F238E27FC236}">
              <a16:creationId xmlns:a16="http://schemas.microsoft.com/office/drawing/2014/main" id="{00000000-0008-0000-0100-000036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133350" y="6381750"/>
          <a:ext cx="485286" cy="584904"/>
        </a:xfrm>
        <a:prstGeom prst="rect">
          <a:avLst/>
        </a:prstGeom>
      </xdr:spPr>
    </xdr:pic>
    <xdr:clientData/>
  </xdr:oneCellAnchor>
  <xdr:oneCellAnchor>
    <xdr:from>
      <xdr:col>0</xdr:col>
      <xdr:colOff>133350</xdr:colOff>
      <xdr:row>396</xdr:row>
      <xdr:rowOff>9525</xdr:rowOff>
    </xdr:from>
    <xdr:ext cx="485286" cy="584904"/>
    <xdr:pic>
      <xdr:nvPicPr>
        <xdr:cNvPr id="55" name="Image 54">
          <a:extLst>
            <a:ext uri="{FF2B5EF4-FFF2-40B4-BE49-F238E27FC236}">
              <a16:creationId xmlns:a16="http://schemas.microsoft.com/office/drawing/2014/main" id="{00000000-0008-0000-0100-000037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133350" y="6381750"/>
          <a:ext cx="485286" cy="584904"/>
        </a:xfrm>
        <a:prstGeom prst="rect">
          <a:avLst/>
        </a:prstGeom>
      </xdr:spPr>
    </xdr:pic>
    <xdr:clientData/>
  </xdr:oneCellAnchor>
  <xdr:oneCellAnchor>
    <xdr:from>
      <xdr:col>0</xdr:col>
      <xdr:colOff>133350</xdr:colOff>
      <xdr:row>429</xdr:row>
      <xdr:rowOff>9525</xdr:rowOff>
    </xdr:from>
    <xdr:ext cx="485286" cy="584904"/>
    <xdr:pic>
      <xdr:nvPicPr>
        <xdr:cNvPr id="56" name="Image 55">
          <a:extLst>
            <a:ext uri="{FF2B5EF4-FFF2-40B4-BE49-F238E27FC236}">
              <a16:creationId xmlns:a16="http://schemas.microsoft.com/office/drawing/2014/main" id="{00000000-0008-0000-0100-000038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133350" y="6381750"/>
          <a:ext cx="485286" cy="584904"/>
        </a:xfrm>
        <a:prstGeom prst="rect">
          <a:avLst/>
        </a:prstGeom>
      </xdr:spPr>
    </xdr:pic>
    <xdr:clientData/>
  </xdr:oneCellAnchor>
  <xdr:oneCellAnchor>
    <xdr:from>
      <xdr:col>0</xdr:col>
      <xdr:colOff>133350</xdr:colOff>
      <xdr:row>462</xdr:row>
      <xdr:rowOff>9525</xdr:rowOff>
    </xdr:from>
    <xdr:ext cx="485286" cy="584904"/>
    <xdr:pic>
      <xdr:nvPicPr>
        <xdr:cNvPr id="57" name="Image 56">
          <a:extLst>
            <a:ext uri="{FF2B5EF4-FFF2-40B4-BE49-F238E27FC236}">
              <a16:creationId xmlns:a16="http://schemas.microsoft.com/office/drawing/2014/main" id="{00000000-0008-0000-0100-000039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133350" y="6381750"/>
          <a:ext cx="485286" cy="584904"/>
        </a:xfrm>
        <a:prstGeom prst="rect">
          <a:avLst/>
        </a:prstGeom>
      </xdr:spPr>
    </xdr:pic>
    <xdr:clientData/>
  </xdr:oneCellAnchor>
  <xdr:oneCellAnchor>
    <xdr:from>
      <xdr:col>0</xdr:col>
      <xdr:colOff>133350</xdr:colOff>
      <xdr:row>495</xdr:row>
      <xdr:rowOff>9525</xdr:rowOff>
    </xdr:from>
    <xdr:ext cx="485286" cy="584904"/>
    <xdr:pic>
      <xdr:nvPicPr>
        <xdr:cNvPr id="58" name="Image 57">
          <a:extLst>
            <a:ext uri="{FF2B5EF4-FFF2-40B4-BE49-F238E27FC236}">
              <a16:creationId xmlns:a16="http://schemas.microsoft.com/office/drawing/2014/main" id="{00000000-0008-0000-0100-00003A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133350" y="6381750"/>
          <a:ext cx="485286" cy="584904"/>
        </a:xfrm>
        <a:prstGeom prst="rect">
          <a:avLst/>
        </a:prstGeom>
      </xdr:spPr>
    </xdr:pic>
    <xdr:clientData/>
  </xdr:oneCellAnchor>
  <xdr:oneCellAnchor>
    <xdr:from>
      <xdr:col>0</xdr:col>
      <xdr:colOff>133350</xdr:colOff>
      <xdr:row>528</xdr:row>
      <xdr:rowOff>9525</xdr:rowOff>
    </xdr:from>
    <xdr:ext cx="485286" cy="584904"/>
    <xdr:pic>
      <xdr:nvPicPr>
        <xdr:cNvPr id="59" name="Image 58">
          <a:extLst>
            <a:ext uri="{FF2B5EF4-FFF2-40B4-BE49-F238E27FC236}">
              <a16:creationId xmlns:a16="http://schemas.microsoft.com/office/drawing/2014/main" id="{00000000-0008-0000-0100-00003B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133350" y="6381750"/>
          <a:ext cx="485286" cy="584904"/>
        </a:xfrm>
        <a:prstGeom prst="rect">
          <a:avLst/>
        </a:prstGeom>
      </xdr:spPr>
    </xdr:pic>
    <xdr:clientData/>
  </xdr:oneCellAnchor>
  <xdr:oneCellAnchor>
    <xdr:from>
      <xdr:col>0</xdr:col>
      <xdr:colOff>133350</xdr:colOff>
      <xdr:row>561</xdr:row>
      <xdr:rowOff>9525</xdr:rowOff>
    </xdr:from>
    <xdr:ext cx="485286" cy="584904"/>
    <xdr:pic>
      <xdr:nvPicPr>
        <xdr:cNvPr id="60" name="Image 59">
          <a:extLst>
            <a:ext uri="{FF2B5EF4-FFF2-40B4-BE49-F238E27FC236}">
              <a16:creationId xmlns:a16="http://schemas.microsoft.com/office/drawing/2014/main" id="{00000000-0008-0000-0100-00003C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133350" y="6381750"/>
          <a:ext cx="485286" cy="584904"/>
        </a:xfrm>
        <a:prstGeom prst="rect">
          <a:avLst/>
        </a:prstGeom>
      </xdr:spPr>
    </xdr:pic>
    <xdr:clientData/>
  </xdr:oneCellAnchor>
  <xdr:oneCellAnchor>
    <xdr:from>
      <xdr:col>0</xdr:col>
      <xdr:colOff>133350</xdr:colOff>
      <xdr:row>594</xdr:row>
      <xdr:rowOff>9525</xdr:rowOff>
    </xdr:from>
    <xdr:ext cx="485286" cy="584904"/>
    <xdr:pic>
      <xdr:nvPicPr>
        <xdr:cNvPr id="61" name="Image 60">
          <a:extLst>
            <a:ext uri="{FF2B5EF4-FFF2-40B4-BE49-F238E27FC236}">
              <a16:creationId xmlns:a16="http://schemas.microsoft.com/office/drawing/2014/main" id="{00000000-0008-0000-0100-00003D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133350" y="6381750"/>
          <a:ext cx="485286" cy="584904"/>
        </a:xfrm>
        <a:prstGeom prst="rect">
          <a:avLst/>
        </a:prstGeom>
      </xdr:spPr>
    </xdr:pic>
    <xdr:clientData/>
  </xdr:oneCellAnchor>
  <xdr:oneCellAnchor>
    <xdr:from>
      <xdr:col>0</xdr:col>
      <xdr:colOff>133350</xdr:colOff>
      <xdr:row>627</xdr:row>
      <xdr:rowOff>9525</xdr:rowOff>
    </xdr:from>
    <xdr:ext cx="485286" cy="584904"/>
    <xdr:pic>
      <xdr:nvPicPr>
        <xdr:cNvPr id="62" name="Image 61">
          <a:extLst>
            <a:ext uri="{FF2B5EF4-FFF2-40B4-BE49-F238E27FC236}">
              <a16:creationId xmlns:a16="http://schemas.microsoft.com/office/drawing/2014/main" id="{00000000-0008-0000-0100-00003E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133350" y="6381750"/>
          <a:ext cx="485286" cy="584904"/>
        </a:xfrm>
        <a:prstGeom prst="rect">
          <a:avLst/>
        </a:prstGeom>
      </xdr:spPr>
    </xdr:pic>
    <xdr:clientData/>
  </xdr:one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15</xdr:col>
          <xdr:colOff>28575</xdr:colOff>
          <xdr:row>7</xdr:row>
          <xdr:rowOff>19050</xdr:rowOff>
        </xdr:from>
        <xdr:to>
          <xdr:col>16</xdr:col>
          <xdr:colOff>809625</xdr:colOff>
          <xdr:row>7</xdr:row>
          <xdr:rowOff>180975</xdr:rowOff>
        </xdr:to>
        <xdr:sp macro="" textlink="">
          <xdr:nvSpPr>
            <xdr:cNvPr id="9219" name="Button 143" hidden="1">
              <a:extLst>
                <a:ext uri="{63B3BB69-23CF-44E3-9099-C40C66FF867C}">
                  <a14:compatExt spid="_x0000_s9219"/>
                </a:ext>
                <a:ext uri="{FF2B5EF4-FFF2-40B4-BE49-F238E27FC236}">
                  <a16:creationId xmlns:a16="http://schemas.microsoft.com/office/drawing/2014/main" id="{00000000-0008-0000-0200-000003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Page 1 - Manager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28575</xdr:colOff>
          <xdr:row>8</xdr:row>
          <xdr:rowOff>28575</xdr:rowOff>
        </xdr:from>
        <xdr:to>
          <xdr:col>16</xdr:col>
          <xdr:colOff>809625</xdr:colOff>
          <xdr:row>8</xdr:row>
          <xdr:rowOff>190500</xdr:rowOff>
        </xdr:to>
        <xdr:sp macro="" textlink="">
          <xdr:nvSpPr>
            <xdr:cNvPr id="9220" name="Button 144" hidden="1">
              <a:extLst>
                <a:ext uri="{63B3BB69-23CF-44E3-9099-C40C66FF867C}">
                  <a14:compatExt spid="_x0000_s9220"/>
                </a:ext>
                <a:ext uri="{FF2B5EF4-FFF2-40B4-BE49-F238E27FC236}">
                  <a16:creationId xmlns:a16="http://schemas.microsoft.com/office/drawing/2014/main" id="{00000000-0008-0000-0200-000004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Page 2 - Cadre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28575</xdr:colOff>
          <xdr:row>9</xdr:row>
          <xdr:rowOff>28575</xdr:rowOff>
        </xdr:from>
        <xdr:to>
          <xdr:col>16</xdr:col>
          <xdr:colOff>809625</xdr:colOff>
          <xdr:row>9</xdr:row>
          <xdr:rowOff>190500</xdr:rowOff>
        </xdr:to>
        <xdr:sp macro="" textlink="">
          <xdr:nvSpPr>
            <xdr:cNvPr id="9221" name="Button 145" hidden="1">
              <a:extLst>
                <a:ext uri="{63B3BB69-23CF-44E3-9099-C40C66FF867C}">
                  <a14:compatExt spid="_x0000_s9221"/>
                </a:ext>
                <a:ext uri="{FF2B5EF4-FFF2-40B4-BE49-F238E27FC236}">
                  <a16:creationId xmlns:a16="http://schemas.microsoft.com/office/drawing/2014/main" id="{00000000-0008-0000-0200-000005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Page 3 - Cadre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28575</xdr:colOff>
          <xdr:row>10</xdr:row>
          <xdr:rowOff>19050</xdr:rowOff>
        </xdr:from>
        <xdr:to>
          <xdr:col>16</xdr:col>
          <xdr:colOff>809625</xdr:colOff>
          <xdr:row>10</xdr:row>
          <xdr:rowOff>180975</xdr:rowOff>
        </xdr:to>
        <xdr:sp macro="" textlink="">
          <xdr:nvSpPr>
            <xdr:cNvPr id="9222" name="Button 146" hidden="1">
              <a:extLst>
                <a:ext uri="{63B3BB69-23CF-44E3-9099-C40C66FF867C}">
                  <a14:compatExt spid="_x0000_s9222"/>
                </a:ext>
                <a:ext uri="{FF2B5EF4-FFF2-40B4-BE49-F238E27FC236}">
                  <a16:creationId xmlns:a16="http://schemas.microsoft.com/office/drawing/2014/main" id="{00000000-0008-0000-0200-000006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Page 4 - Cadre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28575</xdr:colOff>
          <xdr:row>11</xdr:row>
          <xdr:rowOff>19050</xdr:rowOff>
        </xdr:from>
        <xdr:to>
          <xdr:col>16</xdr:col>
          <xdr:colOff>809625</xdr:colOff>
          <xdr:row>11</xdr:row>
          <xdr:rowOff>180975</xdr:rowOff>
        </xdr:to>
        <xdr:sp macro="" textlink="">
          <xdr:nvSpPr>
            <xdr:cNvPr id="9223" name="Button 147" hidden="1">
              <a:extLst>
                <a:ext uri="{63B3BB69-23CF-44E3-9099-C40C66FF867C}">
                  <a14:compatExt spid="_x0000_s9223"/>
                </a:ext>
                <a:ext uri="{FF2B5EF4-FFF2-40B4-BE49-F238E27FC236}">
                  <a16:creationId xmlns:a16="http://schemas.microsoft.com/office/drawing/2014/main" id="{00000000-0008-0000-0200-000007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Page 5 - E(forfait)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28575</xdr:colOff>
          <xdr:row>12</xdr:row>
          <xdr:rowOff>19050</xdr:rowOff>
        </xdr:from>
        <xdr:to>
          <xdr:col>16</xdr:col>
          <xdr:colOff>809625</xdr:colOff>
          <xdr:row>12</xdr:row>
          <xdr:rowOff>180975</xdr:rowOff>
        </xdr:to>
        <xdr:sp macro="" textlink="">
          <xdr:nvSpPr>
            <xdr:cNvPr id="9224" name="Button 148" hidden="1">
              <a:extLst>
                <a:ext uri="{63B3BB69-23CF-44E3-9099-C40C66FF867C}">
                  <a14:compatExt spid="_x0000_s9224"/>
                </a:ext>
                <a:ext uri="{FF2B5EF4-FFF2-40B4-BE49-F238E27FC236}">
                  <a16:creationId xmlns:a16="http://schemas.microsoft.com/office/drawing/2014/main" id="{00000000-0008-0000-0200-000008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Page 6 - Employé</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28575</xdr:colOff>
          <xdr:row>13</xdr:row>
          <xdr:rowOff>19050</xdr:rowOff>
        </xdr:from>
        <xdr:to>
          <xdr:col>16</xdr:col>
          <xdr:colOff>809625</xdr:colOff>
          <xdr:row>13</xdr:row>
          <xdr:rowOff>180975</xdr:rowOff>
        </xdr:to>
        <xdr:sp macro="" textlink="">
          <xdr:nvSpPr>
            <xdr:cNvPr id="9225" name="Button 149" hidden="1">
              <a:extLst>
                <a:ext uri="{63B3BB69-23CF-44E3-9099-C40C66FF867C}">
                  <a14:compatExt spid="_x0000_s9225"/>
                </a:ext>
                <a:ext uri="{FF2B5EF4-FFF2-40B4-BE49-F238E27FC236}">
                  <a16:creationId xmlns:a16="http://schemas.microsoft.com/office/drawing/2014/main" id="{00000000-0008-0000-0200-000009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Page 7 - Employé</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28575</xdr:colOff>
          <xdr:row>14</xdr:row>
          <xdr:rowOff>19050</xdr:rowOff>
        </xdr:from>
        <xdr:to>
          <xdr:col>16</xdr:col>
          <xdr:colOff>809625</xdr:colOff>
          <xdr:row>14</xdr:row>
          <xdr:rowOff>180975</xdr:rowOff>
        </xdr:to>
        <xdr:sp macro="" textlink="">
          <xdr:nvSpPr>
            <xdr:cNvPr id="9226" name="Button 150" hidden="1">
              <a:extLst>
                <a:ext uri="{63B3BB69-23CF-44E3-9099-C40C66FF867C}">
                  <a14:compatExt spid="_x0000_s9226"/>
                </a:ext>
                <a:ext uri="{FF2B5EF4-FFF2-40B4-BE49-F238E27FC236}">
                  <a16:creationId xmlns:a16="http://schemas.microsoft.com/office/drawing/2014/main" id="{00000000-0008-0000-0200-00000A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Page 8 - Employé</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28575</xdr:colOff>
          <xdr:row>15</xdr:row>
          <xdr:rowOff>19050</xdr:rowOff>
        </xdr:from>
        <xdr:to>
          <xdr:col>16</xdr:col>
          <xdr:colOff>809625</xdr:colOff>
          <xdr:row>15</xdr:row>
          <xdr:rowOff>180975</xdr:rowOff>
        </xdr:to>
        <xdr:sp macro="" textlink="">
          <xdr:nvSpPr>
            <xdr:cNvPr id="9227" name="Button 151" hidden="1">
              <a:extLst>
                <a:ext uri="{63B3BB69-23CF-44E3-9099-C40C66FF867C}">
                  <a14:compatExt spid="_x0000_s9227"/>
                </a:ext>
                <a:ext uri="{FF2B5EF4-FFF2-40B4-BE49-F238E27FC236}">
                  <a16:creationId xmlns:a16="http://schemas.microsoft.com/office/drawing/2014/main" id="{00000000-0008-0000-0200-00000B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Page 9 - Employé</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28575</xdr:colOff>
          <xdr:row>16</xdr:row>
          <xdr:rowOff>19050</xdr:rowOff>
        </xdr:from>
        <xdr:to>
          <xdr:col>16</xdr:col>
          <xdr:colOff>809625</xdr:colOff>
          <xdr:row>16</xdr:row>
          <xdr:rowOff>180975</xdr:rowOff>
        </xdr:to>
        <xdr:sp macro="" textlink="">
          <xdr:nvSpPr>
            <xdr:cNvPr id="9228" name="Button 152" hidden="1">
              <a:extLst>
                <a:ext uri="{63B3BB69-23CF-44E3-9099-C40C66FF867C}">
                  <a14:compatExt spid="_x0000_s9228"/>
                </a:ext>
                <a:ext uri="{FF2B5EF4-FFF2-40B4-BE49-F238E27FC236}">
                  <a16:creationId xmlns:a16="http://schemas.microsoft.com/office/drawing/2014/main" id="{00000000-0008-0000-0200-00000C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Page 10 - Employé</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28575</xdr:colOff>
          <xdr:row>17</xdr:row>
          <xdr:rowOff>9525</xdr:rowOff>
        </xdr:from>
        <xdr:to>
          <xdr:col>16</xdr:col>
          <xdr:colOff>809625</xdr:colOff>
          <xdr:row>17</xdr:row>
          <xdr:rowOff>171450</xdr:rowOff>
        </xdr:to>
        <xdr:sp macro="" textlink="">
          <xdr:nvSpPr>
            <xdr:cNvPr id="9229" name="Button 153" hidden="1">
              <a:extLst>
                <a:ext uri="{63B3BB69-23CF-44E3-9099-C40C66FF867C}">
                  <a14:compatExt spid="_x0000_s9229"/>
                </a:ext>
                <a:ext uri="{FF2B5EF4-FFF2-40B4-BE49-F238E27FC236}">
                  <a16:creationId xmlns:a16="http://schemas.microsoft.com/office/drawing/2014/main" id="{00000000-0008-0000-0200-00000D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Page 11 - Employé</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28575</xdr:colOff>
          <xdr:row>18</xdr:row>
          <xdr:rowOff>9525</xdr:rowOff>
        </xdr:from>
        <xdr:to>
          <xdr:col>16</xdr:col>
          <xdr:colOff>809625</xdr:colOff>
          <xdr:row>18</xdr:row>
          <xdr:rowOff>171450</xdr:rowOff>
        </xdr:to>
        <xdr:sp macro="" textlink="">
          <xdr:nvSpPr>
            <xdr:cNvPr id="9230" name="Button 154" hidden="1">
              <a:extLst>
                <a:ext uri="{63B3BB69-23CF-44E3-9099-C40C66FF867C}">
                  <a14:compatExt spid="_x0000_s9230"/>
                </a:ext>
                <a:ext uri="{FF2B5EF4-FFF2-40B4-BE49-F238E27FC236}">
                  <a16:creationId xmlns:a16="http://schemas.microsoft.com/office/drawing/2014/main" id="{00000000-0008-0000-0200-00000E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Page 12 - Employé</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28575</xdr:colOff>
          <xdr:row>19</xdr:row>
          <xdr:rowOff>19050</xdr:rowOff>
        </xdr:from>
        <xdr:to>
          <xdr:col>16</xdr:col>
          <xdr:colOff>809625</xdr:colOff>
          <xdr:row>19</xdr:row>
          <xdr:rowOff>180975</xdr:rowOff>
        </xdr:to>
        <xdr:sp macro="" textlink="">
          <xdr:nvSpPr>
            <xdr:cNvPr id="9231" name="Button 155" hidden="1">
              <a:extLst>
                <a:ext uri="{63B3BB69-23CF-44E3-9099-C40C66FF867C}">
                  <a14:compatExt spid="_x0000_s9231"/>
                </a:ext>
                <a:ext uri="{FF2B5EF4-FFF2-40B4-BE49-F238E27FC236}">
                  <a16:creationId xmlns:a16="http://schemas.microsoft.com/office/drawing/2014/main" id="{00000000-0008-0000-0200-00000F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Page 13 - Employé</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28575</xdr:colOff>
          <xdr:row>20</xdr:row>
          <xdr:rowOff>9525</xdr:rowOff>
        </xdr:from>
        <xdr:to>
          <xdr:col>16</xdr:col>
          <xdr:colOff>809625</xdr:colOff>
          <xdr:row>20</xdr:row>
          <xdr:rowOff>171450</xdr:rowOff>
        </xdr:to>
        <xdr:sp macro="" textlink="">
          <xdr:nvSpPr>
            <xdr:cNvPr id="9232" name="Button 156" hidden="1">
              <a:extLst>
                <a:ext uri="{63B3BB69-23CF-44E3-9099-C40C66FF867C}">
                  <a14:compatExt spid="_x0000_s9232"/>
                </a:ext>
                <a:ext uri="{FF2B5EF4-FFF2-40B4-BE49-F238E27FC236}">
                  <a16:creationId xmlns:a16="http://schemas.microsoft.com/office/drawing/2014/main" id="{00000000-0008-0000-0200-000010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Page 14 - Employé</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28575</xdr:colOff>
          <xdr:row>21</xdr:row>
          <xdr:rowOff>9525</xdr:rowOff>
        </xdr:from>
        <xdr:to>
          <xdr:col>16</xdr:col>
          <xdr:colOff>809625</xdr:colOff>
          <xdr:row>21</xdr:row>
          <xdr:rowOff>171450</xdr:rowOff>
        </xdr:to>
        <xdr:sp macro="" textlink="">
          <xdr:nvSpPr>
            <xdr:cNvPr id="9233" name="Button 157" hidden="1">
              <a:extLst>
                <a:ext uri="{63B3BB69-23CF-44E3-9099-C40C66FF867C}">
                  <a14:compatExt spid="_x0000_s9233"/>
                </a:ext>
                <a:ext uri="{FF2B5EF4-FFF2-40B4-BE49-F238E27FC236}">
                  <a16:creationId xmlns:a16="http://schemas.microsoft.com/office/drawing/2014/main" id="{00000000-0008-0000-0200-000011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Page 15 - Employé</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28575</xdr:colOff>
          <xdr:row>22</xdr:row>
          <xdr:rowOff>0</xdr:rowOff>
        </xdr:from>
        <xdr:to>
          <xdr:col>16</xdr:col>
          <xdr:colOff>809625</xdr:colOff>
          <xdr:row>22</xdr:row>
          <xdr:rowOff>161925</xdr:rowOff>
        </xdr:to>
        <xdr:sp macro="" textlink="">
          <xdr:nvSpPr>
            <xdr:cNvPr id="9234" name="Button 158" hidden="1">
              <a:extLst>
                <a:ext uri="{63B3BB69-23CF-44E3-9099-C40C66FF867C}">
                  <a14:compatExt spid="_x0000_s9234"/>
                </a:ext>
                <a:ext uri="{FF2B5EF4-FFF2-40B4-BE49-F238E27FC236}">
                  <a16:creationId xmlns:a16="http://schemas.microsoft.com/office/drawing/2014/main" id="{00000000-0008-0000-0200-000012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Page 16 - Employé</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28575</xdr:colOff>
          <xdr:row>23</xdr:row>
          <xdr:rowOff>9525</xdr:rowOff>
        </xdr:from>
        <xdr:to>
          <xdr:col>16</xdr:col>
          <xdr:colOff>809625</xdr:colOff>
          <xdr:row>23</xdr:row>
          <xdr:rowOff>171450</xdr:rowOff>
        </xdr:to>
        <xdr:sp macro="" textlink="">
          <xdr:nvSpPr>
            <xdr:cNvPr id="9235" name="Button 159" hidden="1">
              <a:extLst>
                <a:ext uri="{63B3BB69-23CF-44E3-9099-C40C66FF867C}">
                  <a14:compatExt spid="_x0000_s9235"/>
                </a:ext>
                <a:ext uri="{FF2B5EF4-FFF2-40B4-BE49-F238E27FC236}">
                  <a16:creationId xmlns:a16="http://schemas.microsoft.com/office/drawing/2014/main" id="{00000000-0008-0000-0200-000013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Page 17 - Employé</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28575</xdr:colOff>
          <xdr:row>24</xdr:row>
          <xdr:rowOff>0</xdr:rowOff>
        </xdr:from>
        <xdr:to>
          <xdr:col>16</xdr:col>
          <xdr:colOff>809625</xdr:colOff>
          <xdr:row>24</xdr:row>
          <xdr:rowOff>161925</xdr:rowOff>
        </xdr:to>
        <xdr:sp macro="" textlink="">
          <xdr:nvSpPr>
            <xdr:cNvPr id="9236" name="Button 160" hidden="1">
              <a:extLst>
                <a:ext uri="{63B3BB69-23CF-44E3-9099-C40C66FF867C}">
                  <a14:compatExt spid="_x0000_s9236"/>
                </a:ext>
                <a:ext uri="{FF2B5EF4-FFF2-40B4-BE49-F238E27FC236}">
                  <a16:creationId xmlns:a16="http://schemas.microsoft.com/office/drawing/2014/main" id="{00000000-0008-0000-0200-000014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Page 18 - Employé</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28575</xdr:colOff>
          <xdr:row>24</xdr:row>
          <xdr:rowOff>190500</xdr:rowOff>
        </xdr:from>
        <xdr:to>
          <xdr:col>16</xdr:col>
          <xdr:colOff>809625</xdr:colOff>
          <xdr:row>25</xdr:row>
          <xdr:rowOff>152400</xdr:rowOff>
        </xdr:to>
        <xdr:sp macro="" textlink="">
          <xdr:nvSpPr>
            <xdr:cNvPr id="9237" name="Button 161" hidden="1">
              <a:extLst>
                <a:ext uri="{63B3BB69-23CF-44E3-9099-C40C66FF867C}">
                  <a14:compatExt spid="_x0000_s9237"/>
                </a:ext>
                <a:ext uri="{FF2B5EF4-FFF2-40B4-BE49-F238E27FC236}">
                  <a16:creationId xmlns:a16="http://schemas.microsoft.com/office/drawing/2014/main" id="{00000000-0008-0000-0200-000015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Page 19 - Employé</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28575</xdr:colOff>
          <xdr:row>25</xdr:row>
          <xdr:rowOff>190500</xdr:rowOff>
        </xdr:from>
        <xdr:to>
          <xdr:col>16</xdr:col>
          <xdr:colOff>809625</xdr:colOff>
          <xdr:row>26</xdr:row>
          <xdr:rowOff>152400</xdr:rowOff>
        </xdr:to>
        <xdr:sp macro="" textlink="">
          <xdr:nvSpPr>
            <xdr:cNvPr id="9238" name="Button 162" hidden="1">
              <a:extLst>
                <a:ext uri="{63B3BB69-23CF-44E3-9099-C40C66FF867C}">
                  <a14:compatExt spid="_x0000_s9238"/>
                </a:ext>
                <a:ext uri="{FF2B5EF4-FFF2-40B4-BE49-F238E27FC236}">
                  <a16:creationId xmlns:a16="http://schemas.microsoft.com/office/drawing/2014/main" id="{00000000-0008-0000-0200-000016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Page 20 - Employé</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15</xdr:col>
      <xdr:colOff>152401</xdr:colOff>
      <xdr:row>0</xdr:row>
      <xdr:rowOff>19051</xdr:rowOff>
    </xdr:from>
    <xdr:to>
      <xdr:col>52</xdr:col>
      <xdr:colOff>152400</xdr:colOff>
      <xdr:row>10</xdr:row>
      <xdr:rowOff>151261</xdr:rowOff>
    </xdr:to>
    <xdr:pic>
      <xdr:nvPicPr>
        <xdr:cNvPr id="2" name="Image 1">
          <a:extLst>
            <a:ext uri="{FF2B5EF4-FFF2-40B4-BE49-F238E27FC236}">
              <a16:creationId xmlns:a16="http://schemas.microsoft.com/office/drawing/2014/main" id="{40552CA1-1FB4-400A-D835-505F6011EF98}"/>
            </a:ext>
          </a:extLst>
        </xdr:cNvPr>
        <xdr:cNvPicPr>
          <a:picLocks noChangeAspect="1"/>
        </xdr:cNvPicPr>
      </xdr:nvPicPr>
      <xdr:blipFill>
        <a:blip xmlns:r="http://schemas.openxmlformats.org/officeDocument/2006/relationships" r:embed="rId1"/>
        <a:stretch>
          <a:fillRect/>
        </a:stretch>
      </xdr:blipFill>
      <xdr:spPr>
        <a:xfrm>
          <a:off x="14992351" y="19051"/>
          <a:ext cx="5486400" cy="203721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352425</xdr:colOff>
      <xdr:row>1</xdr:row>
      <xdr:rowOff>9525</xdr:rowOff>
    </xdr:from>
    <xdr:to>
      <xdr:col>2</xdr:col>
      <xdr:colOff>425715</xdr:colOff>
      <xdr:row>4</xdr:row>
      <xdr:rowOff>23292</xdr:rowOff>
    </xdr:to>
    <xdr:pic>
      <xdr:nvPicPr>
        <xdr:cNvPr id="2" name="Image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a:stretch>
          <a:fillRect/>
        </a:stretch>
      </xdr:blipFill>
      <xdr:spPr>
        <a:xfrm>
          <a:off x="352425" y="200025"/>
          <a:ext cx="1597290" cy="585267"/>
        </a:xfrm>
        <a:prstGeom prst="rect">
          <a:avLst/>
        </a:prstGeom>
      </xdr:spPr>
    </xdr:pic>
    <xdr:clientData/>
  </xdr:twoCellAnchor>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3" Type="http://schemas.openxmlformats.org/officeDocument/2006/relationships/vmlDrawing" Target="../drawings/vmlDrawing2.vml"/><Relationship Id="rId21" Type="http://schemas.openxmlformats.org/officeDocument/2006/relationships/ctrlProp" Target="../ctrlProps/ctrlProp18.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drawing" Target="../drawings/drawing2.xml"/><Relationship Id="rId16" Type="http://schemas.openxmlformats.org/officeDocument/2006/relationships/ctrlProp" Target="../ctrlProps/ctrlProp13.xml"/><Relationship Id="rId20" Type="http://schemas.openxmlformats.org/officeDocument/2006/relationships/ctrlProp" Target="../ctrlProps/ctrlProp17.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omments" Target="../comments2.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10" Type="http://schemas.openxmlformats.org/officeDocument/2006/relationships/ctrlProp" Target="../ctrlProps/ctrlProp7.xml"/><Relationship Id="rId19" Type="http://schemas.openxmlformats.org/officeDocument/2006/relationships/ctrlProp" Target="../ctrlProps/ctrlProp16.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25.xml"/><Relationship Id="rId13" Type="http://schemas.openxmlformats.org/officeDocument/2006/relationships/ctrlProp" Target="../ctrlProps/ctrlProp30.xml"/><Relationship Id="rId18" Type="http://schemas.openxmlformats.org/officeDocument/2006/relationships/ctrlProp" Target="../ctrlProps/ctrlProp35.xml"/><Relationship Id="rId3" Type="http://schemas.openxmlformats.org/officeDocument/2006/relationships/vmlDrawing" Target="../drawings/vmlDrawing3.vml"/><Relationship Id="rId21" Type="http://schemas.openxmlformats.org/officeDocument/2006/relationships/ctrlProp" Target="../ctrlProps/ctrlProp38.xml"/><Relationship Id="rId7" Type="http://schemas.openxmlformats.org/officeDocument/2006/relationships/ctrlProp" Target="../ctrlProps/ctrlProp24.xml"/><Relationship Id="rId12" Type="http://schemas.openxmlformats.org/officeDocument/2006/relationships/ctrlProp" Target="../ctrlProps/ctrlProp29.xml"/><Relationship Id="rId17" Type="http://schemas.openxmlformats.org/officeDocument/2006/relationships/ctrlProp" Target="../ctrlProps/ctrlProp34.xml"/><Relationship Id="rId2" Type="http://schemas.openxmlformats.org/officeDocument/2006/relationships/drawing" Target="../drawings/drawing3.xml"/><Relationship Id="rId16" Type="http://schemas.openxmlformats.org/officeDocument/2006/relationships/ctrlProp" Target="../ctrlProps/ctrlProp33.xml"/><Relationship Id="rId20" Type="http://schemas.openxmlformats.org/officeDocument/2006/relationships/ctrlProp" Target="../ctrlProps/ctrlProp37.xml"/><Relationship Id="rId1" Type="http://schemas.openxmlformats.org/officeDocument/2006/relationships/printerSettings" Target="../printerSettings/printerSettings3.bin"/><Relationship Id="rId6" Type="http://schemas.openxmlformats.org/officeDocument/2006/relationships/ctrlProp" Target="../ctrlProps/ctrlProp23.xml"/><Relationship Id="rId11" Type="http://schemas.openxmlformats.org/officeDocument/2006/relationships/ctrlProp" Target="../ctrlProps/ctrlProp28.xml"/><Relationship Id="rId5" Type="http://schemas.openxmlformats.org/officeDocument/2006/relationships/ctrlProp" Target="../ctrlProps/ctrlProp22.xml"/><Relationship Id="rId15" Type="http://schemas.openxmlformats.org/officeDocument/2006/relationships/ctrlProp" Target="../ctrlProps/ctrlProp32.xml"/><Relationship Id="rId23" Type="http://schemas.openxmlformats.org/officeDocument/2006/relationships/ctrlProp" Target="../ctrlProps/ctrlProp40.xml"/><Relationship Id="rId10" Type="http://schemas.openxmlformats.org/officeDocument/2006/relationships/ctrlProp" Target="../ctrlProps/ctrlProp27.xml"/><Relationship Id="rId19" Type="http://schemas.openxmlformats.org/officeDocument/2006/relationships/ctrlProp" Target="../ctrlProps/ctrlProp36.xml"/><Relationship Id="rId4" Type="http://schemas.openxmlformats.org/officeDocument/2006/relationships/ctrlProp" Target="../ctrlProps/ctrlProp21.xml"/><Relationship Id="rId9" Type="http://schemas.openxmlformats.org/officeDocument/2006/relationships/ctrlProp" Target="../ctrlProps/ctrlProp26.xml"/><Relationship Id="rId14" Type="http://schemas.openxmlformats.org/officeDocument/2006/relationships/ctrlProp" Target="../ctrlProps/ctrlProp31.xml"/><Relationship Id="rId22" Type="http://schemas.openxmlformats.org/officeDocument/2006/relationships/ctrlProp" Target="../ctrlProps/ctrlProp39.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6.v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7.bin"/><Relationship Id="rId4" Type="http://schemas.openxmlformats.org/officeDocument/2006/relationships/comments" Target="../comments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tabColor rgb="FF92D050"/>
    <pageSetUpPr fitToPage="1"/>
  </sheetPr>
  <dimension ref="A1:N32"/>
  <sheetViews>
    <sheetView tabSelected="1" workbookViewId="0">
      <selection activeCell="D4" sqref="D4"/>
    </sheetView>
  </sheetViews>
  <sheetFormatPr baseColWidth="10" defaultColWidth="9.140625" defaultRowHeight="15" x14ac:dyDescent="0.25"/>
  <cols>
    <col min="1" max="1" width="11.140625" style="136" customWidth="1"/>
    <col min="2" max="2" width="23.140625" style="136" customWidth="1"/>
    <col min="3" max="9" width="15.28515625" style="136" customWidth="1"/>
    <col min="10" max="10" width="2.85546875" style="136" customWidth="1"/>
    <col min="11" max="11" width="21.85546875" style="136" customWidth="1"/>
    <col min="12" max="12" width="23.28515625" style="136" bestFit="1" customWidth="1"/>
    <col min="13" max="13" width="21.85546875" style="136" customWidth="1"/>
    <col min="14" max="14" width="15.5703125" style="136" customWidth="1"/>
    <col min="15" max="16384" width="9.140625" style="136"/>
  </cols>
  <sheetData>
    <row r="1" spans="1:14" ht="15" customHeight="1" x14ac:dyDescent="0.25">
      <c r="C1" s="298" t="s">
        <v>0</v>
      </c>
      <c r="D1" s="298"/>
      <c r="E1" s="298"/>
      <c r="F1" s="298"/>
      <c r="G1" s="298"/>
      <c r="H1" s="298"/>
      <c r="I1" s="298"/>
      <c r="J1" s="137"/>
      <c r="K1" s="137"/>
      <c r="L1" s="137"/>
      <c r="N1" s="183" t="s">
        <v>696</v>
      </c>
    </row>
    <row r="2" spans="1:14" x14ac:dyDescent="0.25">
      <c r="C2" s="298"/>
      <c r="D2" s="298"/>
      <c r="E2" s="298"/>
      <c r="F2" s="298"/>
      <c r="G2" s="298"/>
      <c r="H2" s="298"/>
      <c r="I2" s="298"/>
      <c r="J2" s="137"/>
      <c r="K2" s="137"/>
      <c r="L2" s="137"/>
      <c r="N2" s="184" t="s">
        <v>701</v>
      </c>
    </row>
    <row r="3" spans="1:14" x14ac:dyDescent="0.25">
      <c r="C3" s="298"/>
      <c r="D3" s="298"/>
      <c r="E3" s="298"/>
      <c r="F3" s="298"/>
      <c r="G3" s="298"/>
      <c r="H3" s="298"/>
      <c r="I3" s="298"/>
      <c r="J3" s="137"/>
      <c r="K3" s="138" t="s">
        <v>333</v>
      </c>
      <c r="L3" s="137"/>
    </row>
    <row r="4" spans="1:14" x14ac:dyDescent="0.25">
      <c r="A4" s="139" t="s">
        <v>3</v>
      </c>
      <c r="B4" s="140">
        <v>2026</v>
      </c>
      <c r="C4" s="141" t="s">
        <v>1</v>
      </c>
      <c r="D4" s="142"/>
      <c r="E4" s="138"/>
      <c r="F4" s="138"/>
      <c r="G4" s="138"/>
      <c r="H4" s="141" t="s">
        <v>2</v>
      </c>
      <c r="I4" s="142"/>
      <c r="K4" s="138" t="s">
        <v>330</v>
      </c>
    </row>
    <row r="5" spans="1:14" x14ac:dyDescent="0.25">
      <c r="A5" s="139" t="s">
        <v>64</v>
      </c>
      <c r="B5" s="143"/>
      <c r="C5" s="144">
        <v>46023</v>
      </c>
      <c r="H5" s="141" t="s">
        <v>206</v>
      </c>
      <c r="I5" s="142" t="s">
        <v>358</v>
      </c>
      <c r="K5" s="145" t="s">
        <v>399</v>
      </c>
    </row>
    <row r="6" spans="1:14" x14ac:dyDescent="0.25">
      <c r="A6" s="139" t="s">
        <v>10</v>
      </c>
      <c r="B6" s="138"/>
      <c r="C6" s="50" t="s">
        <v>803</v>
      </c>
      <c r="D6" s="146"/>
      <c r="K6" s="138" t="s">
        <v>334</v>
      </c>
    </row>
    <row r="7" spans="1:14" x14ac:dyDescent="0.25">
      <c r="K7" s="138" t="s">
        <v>331</v>
      </c>
      <c r="N7" s="175" t="s">
        <v>431</v>
      </c>
    </row>
    <row r="8" spans="1:14" x14ac:dyDescent="0.25">
      <c r="A8" s="147" t="s">
        <v>301</v>
      </c>
      <c r="K8" s="138" t="s">
        <v>335</v>
      </c>
      <c r="N8" s="175" t="s">
        <v>432</v>
      </c>
    </row>
    <row r="9" spans="1:14" x14ac:dyDescent="0.25">
      <c r="A9" s="201" t="s">
        <v>468</v>
      </c>
      <c r="B9" s="148"/>
      <c r="C9" s="148"/>
      <c r="D9" s="148"/>
      <c r="E9" s="148"/>
      <c r="F9" s="148"/>
      <c r="G9" s="148"/>
      <c r="H9" s="148"/>
      <c r="I9" s="149"/>
      <c r="K9" s="150" t="s">
        <v>332</v>
      </c>
      <c r="N9" s="176">
        <f>'Base Matricule Siège'!L10</f>
        <v>50.142857142857146</v>
      </c>
    </row>
    <row r="10" spans="1:14" ht="57" x14ac:dyDescent="0.25">
      <c r="A10" s="151" t="s">
        <v>6</v>
      </c>
      <c r="B10" s="152" t="s">
        <v>57</v>
      </c>
      <c r="C10" s="152" t="s">
        <v>309</v>
      </c>
      <c r="D10" s="152" t="s">
        <v>310</v>
      </c>
      <c r="E10" s="152" t="s">
        <v>323</v>
      </c>
      <c r="F10" s="152" t="s">
        <v>311</v>
      </c>
      <c r="G10" s="152" t="s">
        <v>557</v>
      </c>
      <c r="H10" s="152" t="s">
        <v>312</v>
      </c>
      <c r="I10" s="153" t="s">
        <v>503</v>
      </c>
      <c r="K10" s="154" t="s">
        <v>329</v>
      </c>
      <c r="L10" s="155" t="s">
        <v>328</v>
      </c>
      <c r="M10" s="156" t="s">
        <v>398</v>
      </c>
      <c r="N10" s="177" t="s">
        <v>433</v>
      </c>
    </row>
    <row r="11" spans="1:14" x14ac:dyDescent="0.25">
      <c r="A11" s="157" t="str">
        <f>'Base Synthèse Horaires'!B58</f>
        <v/>
      </c>
      <c r="B11" s="136" t="str">
        <f>IF(A11&lt;"",'Base Synthèse Horaires'!C58,"")</f>
        <v/>
      </c>
      <c r="C11" s="136" t="str">
        <f>IF(A11&lt;"",'Base Synthèse Horaires'!D58,"")</f>
        <v/>
      </c>
      <c r="D11" s="136" t="str">
        <f>IF(A11&lt;"",'Base Synthèse Horaires'!E58,"")</f>
        <v/>
      </c>
      <c r="E11" s="136" t="str">
        <f>IF(A11&lt;"",'Base Synthèse Horaires'!F58,"")</f>
        <v/>
      </c>
      <c r="F11" s="136" t="str">
        <f>IF(A11&lt;"",'Base Synthèse Horaires'!G58,"")</f>
        <v/>
      </c>
      <c r="G11" s="136" t="str">
        <f>IF(A11&lt;"",'Base Synthèse Horaires'!J58,"")</f>
        <v/>
      </c>
      <c r="H11" s="136" t="str">
        <f>IF(A11&lt;"",'Base Synthèse Horaires'!H58,"")</f>
        <v/>
      </c>
      <c r="I11" s="158" t="str">
        <f>IF(A11&lt;"",'Base Synthèse Horaires'!I58,"")</f>
        <v/>
      </c>
      <c r="K11" s="159" t="str">
        <f>IF(ISERROR(D11-C11),"",D11-C11)</f>
        <v/>
      </c>
      <c r="L11" s="160" t="str">
        <f>IF(ISERROR(F11-(E11/2)),"",F11-(E11/2))</f>
        <v/>
      </c>
      <c r="M11" s="161" t="str">
        <f>IF(K11="","",((K11/(((DATEDIF('Base Matricule Siège'!$L$8,'Base Matricule Siège'!$I$3,"d"))-(L11/6*7))/7))))</f>
        <v/>
      </c>
      <c r="N11" s="178" t="str">
        <f>IFERROR(-(5-M11)*$N$9,"")</f>
        <v/>
      </c>
    </row>
    <row r="12" spans="1:14" x14ac:dyDescent="0.25">
      <c r="A12" s="157" t="str">
        <f>IF('Base Synthèse Horaires'!B59='Base Synthèse Horaires'!B58,"",'Base Synthèse Horaires'!B59)</f>
        <v/>
      </c>
      <c r="B12" s="136" t="str">
        <f>IF(A12&lt;"",'Base Synthèse Horaires'!C59,"")</f>
        <v/>
      </c>
      <c r="C12" s="136" t="str">
        <f>IF(A12&lt;"",'Base Synthèse Horaires'!D59,"")</f>
        <v/>
      </c>
      <c r="D12" s="136" t="str">
        <f>IF(A12&lt;"",'Base Synthèse Horaires'!E59,"")</f>
        <v/>
      </c>
      <c r="E12" s="136" t="str">
        <f>IF(A12&lt;"",'Base Synthèse Horaires'!F59,"")</f>
        <v/>
      </c>
      <c r="F12" s="136" t="str">
        <f>IF(A12&lt;"",'Base Synthèse Horaires'!G59,"")</f>
        <v/>
      </c>
      <c r="G12" s="136" t="str">
        <f>IF(A12&lt;"",'Base Synthèse Horaires'!J59,"")</f>
        <v/>
      </c>
      <c r="H12" s="136" t="str">
        <f>IF(A12&lt;"",'Base Synthèse Horaires'!H59,"")</f>
        <v/>
      </c>
      <c r="I12" s="158" t="str">
        <f>IF(A12&lt;"",'Base Synthèse Horaires'!I59,"")</f>
        <v/>
      </c>
      <c r="K12" s="162" t="str">
        <f>IF(ISERROR(D12-C12),"",D12-C12)</f>
        <v/>
      </c>
      <c r="L12" s="136" t="str">
        <f>IF(ISERROR(F12-(E12/2)),"",F12-(E12/2))</f>
        <v/>
      </c>
      <c r="M12" s="163" t="str">
        <f>IF(K12="","",((K12/(((DATEDIF('Base Matricule Siège'!$L$8,'Base Matricule Siège'!$I$3,"d"))-(L12/6*7))/7))))</f>
        <v/>
      </c>
      <c r="N12" s="179" t="str">
        <f>IFERROR(-(5-M12)*$N$9,"")</f>
        <v/>
      </c>
    </row>
    <row r="13" spans="1:14" x14ac:dyDescent="0.25">
      <c r="A13" s="157" t="str">
        <f>IF('Base Synthèse Horaires'!B60='Base Synthèse Horaires'!B59,"",'Base Synthèse Horaires'!B60)</f>
        <v/>
      </c>
      <c r="B13" s="136" t="str">
        <f>IF(A13&lt;"",'Base Synthèse Horaires'!C60,"")</f>
        <v/>
      </c>
      <c r="C13" s="136" t="str">
        <f>IF(A13&lt;"",'Base Synthèse Horaires'!D60,"")</f>
        <v/>
      </c>
      <c r="D13" s="136" t="str">
        <f>IF(A13&lt;"",'Base Synthèse Horaires'!E60,"")</f>
        <v/>
      </c>
      <c r="E13" s="136" t="str">
        <f>IF(A13&lt;"",'Base Synthèse Horaires'!F60,"")</f>
        <v/>
      </c>
      <c r="F13" s="136" t="str">
        <f>IF(A13&lt;"",'Base Synthèse Horaires'!G60,"")</f>
        <v/>
      </c>
      <c r="G13" s="136" t="str">
        <f>IF(A13&lt;"",'Base Synthèse Horaires'!J60,"")</f>
        <v/>
      </c>
      <c r="H13" s="136" t="str">
        <f>IF(A13&lt;"",'Base Synthèse Horaires'!H60,"")</f>
        <v/>
      </c>
      <c r="I13" s="158" t="str">
        <f>IF(A13&lt;"",'Base Synthèse Horaires'!I60,"")</f>
        <v/>
      </c>
      <c r="K13" s="162" t="str">
        <f>IF(ISERROR(D13-C13),"",D13-C13)</f>
        <v/>
      </c>
      <c r="L13" s="136" t="str">
        <f>IF(ISERROR(F13-(E13/2)),"",F13-(E13/2))</f>
        <v/>
      </c>
      <c r="M13" s="163" t="str">
        <f>IF(K13="","",((K13/(((DATEDIF('Base Matricule Siège'!$L$8,'Base Matricule Siège'!$I$3,"d"))-(L13/6*7))/7))))</f>
        <v/>
      </c>
      <c r="N13" s="179" t="str">
        <f>IFERROR(-(5-M13)*$N$9,"")</f>
        <v/>
      </c>
    </row>
    <row r="14" spans="1:14" x14ac:dyDescent="0.25">
      <c r="A14" s="157" t="str">
        <f>IF('Base Synthèse Horaires'!B61='Base Synthèse Horaires'!B60,"",'Base Synthèse Horaires'!B61)</f>
        <v/>
      </c>
      <c r="B14" s="136" t="str">
        <f>IF(A14&lt;"",'Base Synthèse Horaires'!C61,"")</f>
        <v/>
      </c>
      <c r="C14" s="136" t="str">
        <f>IF(A14&lt;"",'Base Synthèse Horaires'!D61,"")</f>
        <v/>
      </c>
      <c r="D14" s="136" t="str">
        <f>IF(A14&lt;"",'Base Synthèse Horaires'!E61,"")</f>
        <v/>
      </c>
      <c r="E14" s="136" t="str">
        <f>IF(A14&lt;"",'Base Synthèse Horaires'!F61,"")</f>
        <v/>
      </c>
      <c r="F14" s="136" t="str">
        <f>IF(A14&lt;"",'Base Synthèse Horaires'!G61,"")</f>
        <v/>
      </c>
      <c r="G14" s="136" t="str">
        <f>IF(A14&lt;"",'Base Synthèse Horaires'!J61,"")</f>
        <v/>
      </c>
      <c r="H14" s="136" t="str">
        <f>IF(A14&lt;"",'Base Synthèse Horaires'!H61,"")</f>
        <v/>
      </c>
      <c r="I14" s="158" t="str">
        <f>IF(A14&lt;"",'Base Synthèse Horaires'!I61,"")</f>
        <v/>
      </c>
      <c r="K14" s="162" t="str">
        <f>IF(ISERROR(D14-C14),"",D14-C14)</f>
        <v/>
      </c>
      <c r="L14" s="136" t="str">
        <f>IF(ISERROR(F14-(E14/2)),"",F14-(E14/2))</f>
        <v/>
      </c>
      <c r="M14" s="163" t="str">
        <f>IF(K14="","",((K14/(((DATEDIF('Base Matricule Siège'!$L$8,'Base Matricule Siège'!$I$3,"d"))-(L14/6*7))/7))))</f>
        <v/>
      </c>
      <c r="N14" s="179" t="str">
        <f t="shared" ref="N14:N15" si="0">IFERROR(-(5-M14)*$N$9,"")</f>
        <v/>
      </c>
    </row>
    <row r="15" spans="1:14" x14ac:dyDescent="0.25">
      <c r="A15" s="157" t="str">
        <f>IF('Base Synthèse Horaires'!B62='Base Synthèse Horaires'!B61,"",'Base Synthèse Horaires'!B62)</f>
        <v/>
      </c>
      <c r="B15" s="136" t="str">
        <f>IF(A15&lt;"",'Base Synthèse Horaires'!C62,"")</f>
        <v/>
      </c>
      <c r="C15" s="136" t="str">
        <f>IF(A15&lt;"",'Base Synthèse Horaires'!D62,"")</f>
        <v/>
      </c>
      <c r="D15" s="136" t="str">
        <f>IF(A15&lt;"",'Base Synthèse Horaires'!E62,"")</f>
        <v/>
      </c>
      <c r="E15" s="136" t="str">
        <f>IF(A15&lt;"",'Base Synthèse Horaires'!F62,"")</f>
        <v/>
      </c>
      <c r="F15" s="136" t="str">
        <f>IF(A15&lt;"",'Base Synthèse Horaires'!G62,"")</f>
        <v/>
      </c>
      <c r="G15" s="136" t="str">
        <f>IF(A15&lt;"",'Base Synthèse Horaires'!J62,"")</f>
        <v/>
      </c>
      <c r="H15" s="136" t="str">
        <f>IF(A15&lt;"",'Base Synthèse Horaires'!H62,"")</f>
        <v/>
      </c>
      <c r="I15" s="158" t="str">
        <f>IF(A15&lt;"",'Base Synthèse Horaires'!I62,"")</f>
        <v/>
      </c>
      <c r="K15" s="164" t="str">
        <f>IF(ISERROR(D15-C15),"",D15-C15)</f>
        <v/>
      </c>
      <c r="L15" s="165" t="str">
        <f>IF(ISERROR(F15-(E15/2)),"",F15-(E15/2))</f>
        <v/>
      </c>
      <c r="M15" s="166" t="str">
        <f>IF(K15="","",((K15/(((DATEDIF('Base Matricule Siège'!$L$8,'Base Matricule Siège'!$I$3,"d"))-(L15/6*7))/7))))</f>
        <v/>
      </c>
      <c r="N15" s="180" t="str">
        <f t="shared" si="0"/>
        <v/>
      </c>
    </row>
    <row r="16" spans="1:14" x14ac:dyDescent="0.25">
      <c r="A16" s="167" t="s">
        <v>5</v>
      </c>
      <c r="B16" s="146"/>
      <c r="C16" s="146"/>
      <c r="D16" s="146"/>
      <c r="E16" s="146"/>
      <c r="F16" s="146"/>
      <c r="G16" s="146"/>
      <c r="H16" s="146"/>
      <c r="I16" s="168"/>
      <c r="K16" s="150" t="s">
        <v>332</v>
      </c>
      <c r="N16" s="181" t="s">
        <v>434</v>
      </c>
    </row>
    <row r="17" spans="1:14" ht="29.25" customHeight="1" x14ac:dyDescent="0.25">
      <c r="A17" s="151" t="s">
        <v>6</v>
      </c>
      <c r="B17" s="152" t="s">
        <v>57</v>
      </c>
      <c r="C17" s="152" t="s">
        <v>324</v>
      </c>
      <c r="D17" s="152" t="s">
        <v>336</v>
      </c>
      <c r="E17" s="152" t="s">
        <v>322</v>
      </c>
      <c r="F17" s="152" t="s">
        <v>311</v>
      </c>
      <c r="G17" s="152" t="s">
        <v>556</v>
      </c>
      <c r="H17" s="152" t="s">
        <v>325</v>
      </c>
      <c r="I17" s="153" t="s">
        <v>326</v>
      </c>
      <c r="K17" s="169" t="s">
        <v>327</v>
      </c>
      <c r="L17" s="170" t="s">
        <v>328</v>
      </c>
      <c r="M17" s="171" t="s">
        <v>398</v>
      </c>
      <c r="N17" s="177" t="s">
        <v>433</v>
      </c>
    </row>
    <row r="18" spans="1:14" x14ac:dyDescent="0.25">
      <c r="A18" s="157" t="str">
        <f>'Base Synthèse Horaires'!B65</f>
        <v/>
      </c>
      <c r="B18" s="136" t="str">
        <f>IF(A18&lt;"",'Base Synthèse Horaires'!C65,"")</f>
        <v/>
      </c>
      <c r="C18" s="136" t="str">
        <f>IF(A18&lt;"",'Base Synthèse Horaires'!D65,"")</f>
        <v/>
      </c>
      <c r="D18" s="136" t="str">
        <f>IF(A18&lt;"",'Base Synthèse Horaires'!E65,"")</f>
        <v/>
      </c>
      <c r="E18" s="136" t="str">
        <f>IF(A18&lt;"",'Base Synthèse Horaires'!F65,"")</f>
        <v/>
      </c>
      <c r="F18" s="136" t="str">
        <f>IF(A18&lt;"",'Base Synthèse Horaires'!G65,"")</f>
        <v/>
      </c>
      <c r="G18" s="136" t="str">
        <f>IF(A18&lt;"",'Base Synthèse Horaires'!J65,"")</f>
        <v/>
      </c>
      <c r="H18" s="136" t="str">
        <f>IF(A18&lt;"",'Base Synthèse Horaires'!H65,"")</f>
        <v/>
      </c>
      <c r="I18" s="158" t="str">
        <f>IF(A18&lt;"",'Base Synthèse Horaires'!I65,"")</f>
        <v/>
      </c>
      <c r="K18" s="159" t="str">
        <f>IF(ISERROR(D18-C18),"",D18-C18)</f>
        <v/>
      </c>
      <c r="L18" s="160" t="str">
        <f>IF(ISERROR(F18-(E18)),"",F18-(E18))</f>
        <v/>
      </c>
      <c r="M18" s="161" t="str">
        <f>IF(K18="","",(K18/($N$9-(L18/6))))</f>
        <v/>
      </c>
      <c r="N18" s="178" t="str">
        <f>IFERROR((-(VLOOKUP(A18,'Base Matricule Siège'!B11:E500,4,FALSE)-M18)*$N$9)/1.33,"")</f>
        <v/>
      </c>
    </row>
    <row r="19" spans="1:14" x14ac:dyDescent="0.25">
      <c r="A19" s="157" t="str">
        <f>IF(ISBLANK('Base Synthèse Horaires'!B66),"",'Base Synthèse Horaires'!B66)</f>
        <v/>
      </c>
      <c r="B19" s="136" t="str">
        <f>IF(A19&lt;"",'Base Synthèse Horaires'!C66,"")</f>
        <v/>
      </c>
      <c r="C19" s="136" t="str">
        <f>IF(A19&lt;"",'Base Synthèse Horaires'!D66,"")</f>
        <v/>
      </c>
      <c r="D19" s="136" t="str">
        <f>IF(A19&lt;"",'Base Synthèse Horaires'!E66,"")</f>
        <v/>
      </c>
      <c r="E19" s="136" t="str">
        <f>IF(A19&lt;"",'Base Synthèse Horaires'!F66,"")</f>
        <v/>
      </c>
      <c r="F19" s="136" t="str">
        <f>IF(A19&lt;"",'Base Synthèse Horaires'!G66,"")</f>
        <v/>
      </c>
      <c r="G19" s="136" t="str">
        <f>IF(A19&lt;"",'Base Synthèse Horaires'!J66,"")</f>
        <v/>
      </c>
      <c r="H19" s="136" t="str">
        <f>IF(A19&lt;"",'Base Synthèse Horaires'!H66,"")</f>
        <v/>
      </c>
      <c r="I19" s="158" t="str">
        <f>IF(A19&lt;"",'Base Synthèse Horaires'!I66,"")</f>
        <v/>
      </c>
      <c r="K19" s="162" t="str">
        <f t="shared" ref="K19:K32" si="1">IF(ISERROR(D19-C19),"",D19-C19)</f>
        <v/>
      </c>
      <c r="L19" s="136" t="str">
        <f>IF(ISERROR(F19-(E19)),"",F19-(E19))</f>
        <v/>
      </c>
      <c r="M19" s="163" t="str">
        <f>IF(K19="","",(K19/($N$9-(L19/6))))</f>
        <v/>
      </c>
      <c r="N19" s="179" t="str">
        <f>IFERROR((-(VLOOKUP(A19,'Base Matricule Siège'!B11:E500,4,FALSE)-M19)*$N$9)/1.33,"")</f>
        <v/>
      </c>
    </row>
    <row r="20" spans="1:14" x14ac:dyDescent="0.25">
      <c r="A20" s="157" t="str">
        <f>IF(ISBLANK('Base Synthèse Horaires'!B67),"",'Base Synthèse Horaires'!B67)</f>
        <v/>
      </c>
      <c r="B20" s="136" t="str">
        <f>IF(A20&lt;"",'Base Synthèse Horaires'!C67,"")</f>
        <v/>
      </c>
      <c r="C20" s="136" t="str">
        <f>IF(A20&lt;"",'Base Synthèse Horaires'!D67,"")</f>
        <v/>
      </c>
      <c r="D20" s="136" t="str">
        <f>IF(A20&lt;"",'Base Synthèse Horaires'!E67,"")</f>
        <v/>
      </c>
      <c r="E20" s="136" t="str">
        <f>IF(A20&lt;"",'Base Synthèse Horaires'!F67,"")</f>
        <v/>
      </c>
      <c r="F20" s="136" t="str">
        <f>IF(A20&lt;"",'Base Synthèse Horaires'!G67,"")</f>
        <v/>
      </c>
      <c r="G20" s="136" t="str">
        <f>IF(A20&lt;"",'Base Synthèse Horaires'!J67,"")</f>
        <v/>
      </c>
      <c r="H20" s="136" t="str">
        <f>IF(A20&lt;"",'Base Synthèse Horaires'!H67,"")</f>
        <v/>
      </c>
      <c r="I20" s="158" t="str">
        <f>IF(A20&lt;"",'Base Synthèse Horaires'!I67,"")</f>
        <v/>
      </c>
      <c r="K20" s="162" t="str">
        <f t="shared" si="1"/>
        <v/>
      </c>
      <c r="L20" s="136" t="str">
        <f t="shared" ref="L20:L32" si="2">IF(ISERROR(F20-(E20)),"",F20-(E20))</f>
        <v/>
      </c>
      <c r="M20" s="163" t="str">
        <f t="shared" ref="M20:M32" si="3">IF(K20="","",(K20/($N$9-(L20/6))))</f>
        <v/>
      </c>
      <c r="N20" s="179" t="str">
        <f>IFERROR((-(VLOOKUP(A20,'Base Matricule Siège'!B11:E500,4,FALSE)-M20)*$N$9)/1.33,"")</f>
        <v/>
      </c>
    </row>
    <row r="21" spans="1:14" x14ac:dyDescent="0.25">
      <c r="A21" s="157" t="str">
        <f>IF(ISBLANK('Base Synthèse Horaires'!B68),"",'Base Synthèse Horaires'!B68)</f>
        <v/>
      </c>
      <c r="B21" s="136" t="str">
        <f>IF(A21&lt;"",'Base Synthèse Horaires'!C68,"")</f>
        <v/>
      </c>
      <c r="C21" s="136" t="str">
        <f>IF(A21&lt;"",'Base Synthèse Horaires'!D68,"")</f>
        <v/>
      </c>
      <c r="D21" s="136" t="str">
        <f>IF(A21&lt;"",'Base Synthèse Horaires'!E68,"")</f>
        <v/>
      </c>
      <c r="E21" s="136" t="str">
        <f>IF(A21&lt;"",'Base Synthèse Horaires'!F68,"")</f>
        <v/>
      </c>
      <c r="F21" s="136" t="str">
        <f>IF(A21&lt;"",'Base Synthèse Horaires'!G68,"")</f>
        <v/>
      </c>
      <c r="G21" s="136" t="str">
        <f>IF(A21&lt;"",'Base Synthèse Horaires'!J68,"")</f>
        <v/>
      </c>
      <c r="H21" s="136" t="str">
        <f>IF(A21&lt;"",'Base Synthèse Horaires'!H68,"")</f>
        <v/>
      </c>
      <c r="I21" s="158" t="str">
        <f>IF(A21&lt;"",'Base Synthèse Horaires'!I68,"")</f>
        <v/>
      </c>
      <c r="K21" s="162" t="str">
        <f t="shared" si="1"/>
        <v/>
      </c>
      <c r="L21" s="136" t="str">
        <f t="shared" si="2"/>
        <v/>
      </c>
      <c r="M21" s="163" t="str">
        <f t="shared" si="3"/>
        <v/>
      </c>
      <c r="N21" s="179" t="str">
        <f>IFERROR((-(VLOOKUP(A21,'Base Matricule Siège'!B11:E500,4,FALSE)-M21)*$N$9)/1.33,"")</f>
        <v/>
      </c>
    </row>
    <row r="22" spans="1:14" x14ac:dyDescent="0.25">
      <c r="A22" s="157" t="str">
        <f>IF(ISBLANK('Base Synthèse Horaires'!B69),"",'Base Synthèse Horaires'!B69)</f>
        <v/>
      </c>
      <c r="B22" s="136" t="str">
        <f>IF(A22&lt;"",'Base Synthèse Horaires'!C69,"")</f>
        <v/>
      </c>
      <c r="C22" s="136" t="str">
        <f>IF(A22&lt;"",'Base Synthèse Horaires'!D69,"")</f>
        <v/>
      </c>
      <c r="D22" s="136" t="str">
        <f>IF(A22&lt;"",'Base Synthèse Horaires'!E69,"")</f>
        <v/>
      </c>
      <c r="E22" s="136" t="str">
        <f>IF(A22&lt;"",'Base Synthèse Horaires'!F69,"")</f>
        <v/>
      </c>
      <c r="F22" s="136" t="str">
        <f>IF(A22&lt;"",'Base Synthèse Horaires'!G69,"")</f>
        <v/>
      </c>
      <c r="G22" s="136" t="str">
        <f>IF(A22&lt;"",'Base Synthèse Horaires'!J69,"")</f>
        <v/>
      </c>
      <c r="H22" s="136" t="str">
        <f>IF(A22&lt;"",'Base Synthèse Horaires'!H69,"")</f>
        <v/>
      </c>
      <c r="I22" s="158" t="str">
        <f>IF(A22&lt;"",'Base Synthèse Horaires'!I69,"")</f>
        <v/>
      </c>
      <c r="K22" s="162" t="str">
        <f t="shared" si="1"/>
        <v/>
      </c>
      <c r="L22" s="136" t="str">
        <f t="shared" si="2"/>
        <v/>
      </c>
      <c r="M22" s="163" t="str">
        <f t="shared" si="3"/>
        <v/>
      </c>
      <c r="N22" s="179" t="str">
        <f>IFERROR((-(VLOOKUP(A22,'Base Matricule Siège'!B11:E500,4,FALSE)-M22)*$N$9)/1.33,"")</f>
        <v/>
      </c>
    </row>
    <row r="23" spans="1:14" x14ac:dyDescent="0.25">
      <c r="A23" s="157" t="str">
        <f>IF(ISBLANK('Base Synthèse Horaires'!B70),"",'Base Synthèse Horaires'!B70)</f>
        <v/>
      </c>
      <c r="B23" s="136" t="str">
        <f>IF(A23&lt;"",'Base Synthèse Horaires'!C70,"")</f>
        <v/>
      </c>
      <c r="C23" s="136" t="str">
        <f>IF(A23&lt;"",'Base Synthèse Horaires'!D70,"")</f>
        <v/>
      </c>
      <c r="D23" s="136" t="str">
        <f>IF(A23&lt;"",'Base Synthèse Horaires'!E70,"")</f>
        <v/>
      </c>
      <c r="E23" s="136" t="str">
        <f>IF(A23&lt;"",'Base Synthèse Horaires'!F70,"")</f>
        <v/>
      </c>
      <c r="F23" s="136" t="str">
        <f>IF(A23&lt;"",'Base Synthèse Horaires'!G70,"")</f>
        <v/>
      </c>
      <c r="G23" s="136" t="str">
        <f>IF(A23&lt;"",'Base Synthèse Horaires'!J70,"")</f>
        <v/>
      </c>
      <c r="H23" s="136" t="str">
        <f>IF(A23&lt;"",'Base Synthèse Horaires'!H70,"")</f>
        <v/>
      </c>
      <c r="I23" s="158" t="str">
        <f>IF(A23&lt;"",'Base Synthèse Horaires'!I70,"")</f>
        <v/>
      </c>
      <c r="K23" s="162" t="str">
        <f t="shared" si="1"/>
        <v/>
      </c>
      <c r="L23" s="136" t="str">
        <f t="shared" si="2"/>
        <v/>
      </c>
      <c r="M23" s="163" t="str">
        <f t="shared" si="3"/>
        <v/>
      </c>
      <c r="N23" s="179" t="str">
        <f>IFERROR((-(VLOOKUP(A23,'Base Matricule Siège'!B11:E500,4,FALSE)-M23)*$N$9)/1.33,"")</f>
        <v/>
      </c>
    </row>
    <row r="24" spans="1:14" x14ac:dyDescent="0.25">
      <c r="A24" s="157" t="str">
        <f>IF(ISBLANK('Base Synthèse Horaires'!B71),"",'Base Synthèse Horaires'!B71)</f>
        <v/>
      </c>
      <c r="B24" s="136" t="str">
        <f>IF(A24&lt;"",'Base Synthèse Horaires'!C71,"")</f>
        <v/>
      </c>
      <c r="C24" s="136" t="str">
        <f>IF(A24&lt;"",'Base Synthèse Horaires'!D71,"")</f>
        <v/>
      </c>
      <c r="D24" s="136" t="str">
        <f>IF(A24&lt;"",'Base Synthèse Horaires'!E71,"")</f>
        <v/>
      </c>
      <c r="E24" s="136" t="str">
        <f>IF(A24&lt;"",'Base Synthèse Horaires'!F71,"")</f>
        <v/>
      </c>
      <c r="F24" s="136" t="str">
        <f>IF(A24&lt;"",'Base Synthèse Horaires'!G71,"")</f>
        <v/>
      </c>
      <c r="G24" s="136" t="str">
        <f>IF(A24&lt;"",'Base Synthèse Horaires'!J71,"")</f>
        <v/>
      </c>
      <c r="H24" s="136" t="str">
        <f>IF(A24&lt;"",'Base Synthèse Horaires'!H71,"")</f>
        <v/>
      </c>
      <c r="I24" s="158" t="str">
        <f>IF(A24&lt;"",'Base Synthèse Horaires'!I71,"")</f>
        <v/>
      </c>
      <c r="K24" s="162" t="str">
        <f t="shared" si="1"/>
        <v/>
      </c>
      <c r="L24" s="136" t="str">
        <f t="shared" si="2"/>
        <v/>
      </c>
      <c r="M24" s="163" t="str">
        <f t="shared" si="3"/>
        <v/>
      </c>
      <c r="N24" s="179" t="str">
        <f>IFERROR((-(VLOOKUP(A24,'Base Matricule Siège'!B11:E500,4,FALSE)-M24)*$N$9)/1.33,"")</f>
        <v/>
      </c>
    </row>
    <row r="25" spans="1:14" x14ac:dyDescent="0.25">
      <c r="A25" s="157" t="str">
        <f>IF(ISBLANK('Base Synthèse Horaires'!B72),"",'Base Synthèse Horaires'!B72)</f>
        <v/>
      </c>
      <c r="B25" s="136" t="str">
        <f>IF(A25&lt;"",'Base Synthèse Horaires'!C72,"")</f>
        <v/>
      </c>
      <c r="C25" s="136" t="str">
        <f>IF(A25&lt;"",'Base Synthèse Horaires'!D72,"")</f>
        <v/>
      </c>
      <c r="D25" s="136" t="str">
        <f>IF(A25&lt;"",'Base Synthèse Horaires'!E72,"")</f>
        <v/>
      </c>
      <c r="E25" s="136" t="str">
        <f>IF(A25&lt;"",'Base Synthèse Horaires'!F72,"")</f>
        <v/>
      </c>
      <c r="F25" s="136" t="str">
        <f>IF(A25&lt;"",'Base Synthèse Horaires'!G72,"")</f>
        <v/>
      </c>
      <c r="G25" s="136" t="str">
        <f>IF(A25&lt;"",'Base Synthèse Horaires'!J72,"")</f>
        <v/>
      </c>
      <c r="H25" s="136" t="str">
        <f>IF(A25&lt;"",'Base Synthèse Horaires'!H72,"")</f>
        <v/>
      </c>
      <c r="I25" s="158" t="str">
        <f>IF(A25&lt;"",'Base Synthèse Horaires'!I72,"")</f>
        <v/>
      </c>
      <c r="K25" s="162" t="str">
        <f t="shared" si="1"/>
        <v/>
      </c>
      <c r="L25" s="136" t="str">
        <f t="shared" si="2"/>
        <v/>
      </c>
      <c r="M25" s="163" t="str">
        <f t="shared" si="3"/>
        <v/>
      </c>
      <c r="N25" s="179" t="str">
        <f>IFERROR((-(VLOOKUP(A25,'Base Matricule Siège'!B11:E500,4,FALSE)-M25)*$N$9)/1.33,"")</f>
        <v/>
      </c>
    </row>
    <row r="26" spans="1:14" x14ac:dyDescent="0.25">
      <c r="A26" s="157" t="str">
        <f>IF(ISBLANK('Base Synthèse Horaires'!B73),"",'Base Synthèse Horaires'!B73)</f>
        <v/>
      </c>
      <c r="B26" s="136" t="str">
        <f>IF(A26&lt;"",'Base Synthèse Horaires'!C73,"")</f>
        <v/>
      </c>
      <c r="C26" s="136" t="str">
        <f>IF(A26&lt;"",'Base Synthèse Horaires'!D73,"")</f>
        <v/>
      </c>
      <c r="D26" s="136" t="str">
        <f>IF(A26&lt;"",'Base Synthèse Horaires'!E73,"")</f>
        <v/>
      </c>
      <c r="E26" s="136" t="str">
        <f>IF(A26&lt;"",'Base Synthèse Horaires'!F73,"")</f>
        <v/>
      </c>
      <c r="F26" s="136" t="str">
        <f>IF(A26&lt;"",'Base Synthèse Horaires'!G73,"")</f>
        <v/>
      </c>
      <c r="G26" s="136" t="str">
        <f>IF(A26&lt;"",'Base Synthèse Horaires'!J73,"")</f>
        <v/>
      </c>
      <c r="H26" s="136" t="str">
        <f>IF(A26&lt;"",'Base Synthèse Horaires'!H73,"")</f>
        <v/>
      </c>
      <c r="I26" s="158" t="str">
        <f>IF(A26&lt;"",'Base Synthèse Horaires'!I73,"")</f>
        <v/>
      </c>
      <c r="K26" s="162" t="str">
        <f t="shared" si="1"/>
        <v/>
      </c>
      <c r="L26" s="136" t="str">
        <f t="shared" si="2"/>
        <v/>
      </c>
      <c r="M26" s="163" t="str">
        <f t="shared" si="3"/>
        <v/>
      </c>
      <c r="N26" s="179" t="str">
        <f>IFERROR((-(VLOOKUP(A26,'Base Matricule Siège'!B11:E500,4,FALSE)-M26)*$N$9)/1.33,"")</f>
        <v/>
      </c>
    </row>
    <row r="27" spans="1:14" x14ac:dyDescent="0.25">
      <c r="A27" s="157" t="str">
        <f>IF(ISBLANK('Base Synthèse Horaires'!B74),"",'Base Synthèse Horaires'!B74)</f>
        <v/>
      </c>
      <c r="B27" s="136" t="str">
        <f>IF(A27&lt;"",'Base Synthèse Horaires'!C74,"")</f>
        <v/>
      </c>
      <c r="C27" s="136" t="str">
        <f>IF(A27&lt;"",'Base Synthèse Horaires'!D74,"")</f>
        <v/>
      </c>
      <c r="D27" s="136" t="str">
        <f>IF(A27&lt;"",'Base Synthèse Horaires'!E74,"")</f>
        <v/>
      </c>
      <c r="E27" s="136" t="str">
        <f>IF(A27&lt;"",'Base Synthèse Horaires'!F74,"")</f>
        <v/>
      </c>
      <c r="F27" s="136" t="str">
        <f>IF(A27&lt;"",'Base Synthèse Horaires'!G74,"")</f>
        <v/>
      </c>
      <c r="G27" s="136" t="str">
        <f>IF(A27&lt;"",'Base Synthèse Horaires'!J74,"")</f>
        <v/>
      </c>
      <c r="H27" s="136" t="str">
        <f>IF(A27&lt;"",'Base Synthèse Horaires'!H74,"")</f>
        <v/>
      </c>
      <c r="I27" s="158" t="str">
        <f>IF(A27&lt;"",'Base Synthèse Horaires'!I74,"")</f>
        <v/>
      </c>
      <c r="K27" s="162" t="str">
        <f t="shared" si="1"/>
        <v/>
      </c>
      <c r="L27" s="136" t="str">
        <f t="shared" si="2"/>
        <v/>
      </c>
      <c r="M27" s="163" t="str">
        <f t="shared" si="3"/>
        <v/>
      </c>
      <c r="N27" s="179" t="str">
        <f>IFERROR((-(VLOOKUP(A27,'Base Matricule Siège'!B11:E500,4,FALSE)-M27)*$N$9)/1.33,"")</f>
        <v/>
      </c>
    </row>
    <row r="28" spans="1:14" x14ac:dyDescent="0.25">
      <c r="A28" s="157" t="str">
        <f>IF(ISBLANK('Base Synthèse Horaires'!B75),"",'Base Synthèse Horaires'!B75)</f>
        <v/>
      </c>
      <c r="B28" s="136" t="str">
        <f>IF(A28&lt;"",'Base Synthèse Horaires'!C75,"")</f>
        <v/>
      </c>
      <c r="C28" s="136" t="str">
        <f>IF(A28&lt;"",'Base Synthèse Horaires'!D75,"")</f>
        <v/>
      </c>
      <c r="D28" s="136" t="str">
        <f>IF(A28&lt;"",'Base Synthèse Horaires'!E75,"")</f>
        <v/>
      </c>
      <c r="E28" s="136" t="str">
        <f>IF(A28&lt;"",'Base Synthèse Horaires'!F75,"")</f>
        <v/>
      </c>
      <c r="F28" s="136" t="str">
        <f>IF(A28&lt;"",'Base Synthèse Horaires'!G75,"")</f>
        <v/>
      </c>
      <c r="G28" s="136" t="str">
        <f>IF(A28&lt;"",'Base Synthèse Horaires'!J75,"")</f>
        <v/>
      </c>
      <c r="H28" s="136" t="str">
        <f>IF(A28&lt;"",'Base Synthèse Horaires'!H75,"")</f>
        <v/>
      </c>
      <c r="I28" s="158" t="str">
        <f>IF(A28&lt;"",'Base Synthèse Horaires'!I75,"")</f>
        <v/>
      </c>
      <c r="K28" s="162" t="str">
        <f t="shared" si="1"/>
        <v/>
      </c>
      <c r="L28" s="136" t="str">
        <f t="shared" si="2"/>
        <v/>
      </c>
      <c r="M28" s="163" t="str">
        <f t="shared" si="3"/>
        <v/>
      </c>
      <c r="N28" s="179" t="str">
        <f>IFERROR((-(VLOOKUP(A28,'Base Matricule Siège'!B11:E500,4,FALSE)-M28)*$N$9)/1.33,"")</f>
        <v/>
      </c>
    </row>
    <row r="29" spans="1:14" x14ac:dyDescent="0.25">
      <c r="A29" s="157" t="str">
        <f>IF(ISBLANK('Base Synthèse Horaires'!B76),"",'Base Synthèse Horaires'!B76)</f>
        <v/>
      </c>
      <c r="B29" s="136" t="str">
        <f>IF(A29&lt;"",'Base Synthèse Horaires'!C76,"")</f>
        <v/>
      </c>
      <c r="C29" s="136" t="str">
        <f>IF(A29&lt;"",'Base Synthèse Horaires'!D76,"")</f>
        <v/>
      </c>
      <c r="D29" s="136" t="str">
        <f>IF(A29&lt;"",'Base Synthèse Horaires'!E76,"")</f>
        <v/>
      </c>
      <c r="E29" s="136" t="str">
        <f>IF(A29&lt;"",'Base Synthèse Horaires'!F76,"")</f>
        <v/>
      </c>
      <c r="F29" s="136" t="str">
        <f>IF(A29&lt;"",'Base Synthèse Horaires'!G76,"")</f>
        <v/>
      </c>
      <c r="G29" s="136" t="str">
        <f>IF(A29&lt;"",'Base Synthèse Horaires'!J76,"")</f>
        <v/>
      </c>
      <c r="H29" s="136" t="str">
        <f>IF(A29&lt;"",'Base Synthèse Horaires'!H76,"")</f>
        <v/>
      </c>
      <c r="I29" s="158" t="str">
        <f>IF(A29&lt;"",'Base Synthèse Horaires'!I76,"")</f>
        <v/>
      </c>
      <c r="K29" s="162" t="str">
        <f t="shared" si="1"/>
        <v/>
      </c>
      <c r="L29" s="136" t="str">
        <f t="shared" si="2"/>
        <v/>
      </c>
      <c r="M29" s="163" t="str">
        <f t="shared" si="3"/>
        <v/>
      </c>
      <c r="N29" s="179" t="str">
        <f>IFERROR((-(VLOOKUP(A29,'Base Matricule Siège'!B11:E500,4,FALSE)-M29)*$N$9)/1.33,"")</f>
        <v/>
      </c>
    </row>
    <row r="30" spans="1:14" x14ac:dyDescent="0.25">
      <c r="A30" s="157" t="str">
        <f>IF(ISBLANK('Base Synthèse Horaires'!B77),"",'Base Synthèse Horaires'!B77)</f>
        <v/>
      </c>
      <c r="B30" s="136" t="str">
        <f>IF(A30&lt;"",'Base Synthèse Horaires'!C77,"")</f>
        <v/>
      </c>
      <c r="C30" s="136" t="str">
        <f>IF(A30&lt;"",'Base Synthèse Horaires'!D77,"")</f>
        <v/>
      </c>
      <c r="D30" s="136" t="str">
        <f>IF(A30&lt;"",'Base Synthèse Horaires'!E77,"")</f>
        <v/>
      </c>
      <c r="E30" s="136" t="str">
        <f>IF(A30&lt;"",'Base Synthèse Horaires'!F77,"")</f>
        <v/>
      </c>
      <c r="F30" s="136" t="str">
        <f>IF(A30&lt;"",'Base Synthèse Horaires'!G77,"")</f>
        <v/>
      </c>
      <c r="G30" s="136" t="str">
        <f>IF(A30&lt;"",'Base Synthèse Horaires'!J77,"")</f>
        <v/>
      </c>
      <c r="H30" s="136" t="str">
        <f>IF(A30&lt;"",'Base Synthèse Horaires'!H77,"")</f>
        <v/>
      </c>
      <c r="I30" s="158" t="str">
        <f>IF(A30&lt;"",'Base Synthèse Horaires'!I77,"")</f>
        <v/>
      </c>
      <c r="K30" s="162" t="str">
        <f t="shared" si="1"/>
        <v/>
      </c>
      <c r="L30" s="136" t="str">
        <f t="shared" si="2"/>
        <v/>
      </c>
      <c r="M30" s="163" t="str">
        <f t="shared" si="3"/>
        <v/>
      </c>
      <c r="N30" s="179" t="str">
        <f>IFERROR((-(VLOOKUP(A30,'Base Matricule Siège'!B11:E500,4,FALSE)-M30)*$N$9)/1.33,"")</f>
        <v/>
      </c>
    </row>
    <row r="31" spans="1:14" x14ac:dyDescent="0.25">
      <c r="A31" s="157" t="str">
        <f>IF(ISBLANK('Base Synthèse Horaires'!B78),"",'Base Synthèse Horaires'!B78)</f>
        <v/>
      </c>
      <c r="B31" s="136" t="str">
        <f>IF(A31&lt;"",'Base Synthèse Horaires'!C78,"")</f>
        <v/>
      </c>
      <c r="C31" s="136" t="str">
        <f>IF(A31&lt;"",'Base Synthèse Horaires'!D78,"")</f>
        <v/>
      </c>
      <c r="D31" s="136" t="str">
        <f>IF(A31&lt;"",'Base Synthèse Horaires'!E78,"")</f>
        <v/>
      </c>
      <c r="E31" s="136" t="str">
        <f>IF(A31&lt;"",'Base Synthèse Horaires'!F78,"")</f>
        <v/>
      </c>
      <c r="F31" s="136" t="str">
        <f>IF(A31&lt;"",'Base Synthèse Horaires'!G78,"")</f>
        <v/>
      </c>
      <c r="G31" s="136" t="str">
        <f>IF(A31&lt;"",'Base Synthèse Horaires'!J78,"")</f>
        <v/>
      </c>
      <c r="H31" s="136" t="str">
        <f>IF(A31&lt;"",'Base Synthèse Horaires'!H78,"")</f>
        <v/>
      </c>
      <c r="I31" s="158" t="str">
        <f>IF(A31&lt;"",'Base Synthèse Horaires'!I78,"")</f>
        <v/>
      </c>
      <c r="K31" s="162" t="str">
        <f t="shared" si="1"/>
        <v/>
      </c>
      <c r="L31" s="136" t="str">
        <f t="shared" si="2"/>
        <v/>
      </c>
      <c r="M31" s="163" t="str">
        <f>IF(K31="","",(K31/($N$9-(L31/6))))</f>
        <v/>
      </c>
      <c r="N31" s="179" t="str">
        <f>IFERROR((-(VLOOKUP(A31,'Base Matricule Siège'!B11:E500,4,FALSE)-M31)*$N$9)/1.33,"")</f>
        <v/>
      </c>
    </row>
    <row r="32" spans="1:14" x14ac:dyDescent="0.25">
      <c r="A32" s="172" t="str">
        <f>IF(ISBLANK('Base Synthèse Horaires'!B79),"",'Base Synthèse Horaires'!B79)</f>
        <v/>
      </c>
      <c r="B32" s="165" t="str">
        <f>IF(A32&lt;"",'Base Synthèse Horaires'!C79,"")</f>
        <v/>
      </c>
      <c r="C32" s="165" t="str">
        <f>IF(A32&lt;"",'Base Synthèse Horaires'!D79,"")</f>
        <v/>
      </c>
      <c r="D32" s="165" t="str">
        <f>IF(A32&lt;"",'Base Synthèse Horaires'!E79,"")</f>
        <v/>
      </c>
      <c r="E32" s="165" t="str">
        <f>IF(A32&lt;"",'Base Synthèse Horaires'!F79,"")</f>
        <v/>
      </c>
      <c r="F32" s="165" t="str">
        <f>IF(A32&lt;"",'Base Synthèse Horaires'!G79,"")</f>
        <v/>
      </c>
      <c r="G32" s="165" t="str">
        <f>IF(A32&lt;"",'Base Synthèse Horaires'!J79,"")</f>
        <v/>
      </c>
      <c r="H32" s="165" t="str">
        <f>IF(A32&lt;"",'Base Synthèse Horaires'!H79,"")</f>
        <v/>
      </c>
      <c r="I32" s="173" t="str">
        <f>IF(A32&lt;"",'Base Synthèse Horaires'!I79,"")</f>
        <v/>
      </c>
      <c r="K32" s="164" t="str">
        <f t="shared" si="1"/>
        <v/>
      </c>
      <c r="L32" s="165" t="str">
        <f t="shared" si="2"/>
        <v/>
      </c>
      <c r="M32" s="166" t="str">
        <f t="shared" si="3"/>
        <v/>
      </c>
      <c r="N32" s="180" t="str">
        <f>IFERROR((-(VLOOKUP(A32,'Base Matricule Siège'!B11:E500,4,FALSE)-M32)*$N$9)/1.33,"")</f>
        <v/>
      </c>
    </row>
  </sheetData>
  <sheetProtection algorithmName="SHA-512" hashValue="7sRTkUfaW8/dot/2g3AHraY7KsagHWvzehI2PZoDw2WMWx2aEofESgGLKzfLbN6otfC6HyGFDX0UG7JyGyu/lg==" saltValue="UiIFUsaUfzvMzRUlwdqeNg==" spinCount="100000" sheet="1" selectLockedCells="1"/>
  <mergeCells count="1">
    <mergeCell ref="C1:I3"/>
  </mergeCells>
  <dataValidations count="2">
    <dataValidation type="list" allowBlank="1" showInputMessage="1" showErrorMessage="1" errorTitle="Non respect de champs." error="Non respect de champs." sqref="D4" xr:uid="{00000000-0002-0000-0000-000000000000}">
      <formula1>"But,Siège,Darty,La Compagnie Du Lit"</formula1>
    </dataValidation>
    <dataValidation type="list" allowBlank="1" showInputMessage="1" showErrorMessage="1" sqref="I5" xr:uid="{00000000-0002-0000-0000-000001000000}">
      <formula1>"Janvier,Février,Mars,Avril,Mai,Juin,Juillet,Août,Septembre,Octobre,Novembre,Décembre"</formula1>
    </dataValidation>
  </dataValidations>
  <pageMargins left="0.25" right="0.25" top="0.75" bottom="0.75" header="0.3" footer="0.3"/>
  <pageSetup paperSize="9" scale="60" orientation="landscape"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000-000002000000}">
          <x14:formula1>
            <xm:f>'Data Base'!$B$5:$B$28</xm:f>
          </x14:formula1>
          <xm:sqref>I4</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tabColor theme="9" tint="0.59999389629810485"/>
    <pageSetUpPr fitToPage="1"/>
  </sheetPr>
  <dimension ref="A1:AJ661"/>
  <sheetViews>
    <sheetView zoomScaleNormal="100" workbookViewId="0">
      <selection activeCell="B8" sqref="B8"/>
    </sheetView>
  </sheetViews>
  <sheetFormatPr baseColWidth="10" defaultRowHeight="15" outlineLevelRow="2" x14ac:dyDescent="0.25"/>
  <cols>
    <col min="1" max="1" width="11"/>
    <col min="2" max="2" width="12" bestFit="1" customWidth="1"/>
    <col min="3" max="3" width="4.85546875" bestFit="1" customWidth="1"/>
    <col min="4" max="4" width="11"/>
    <col min="5" max="5" width="12.7109375" customWidth="1"/>
    <col min="6" max="6" width="11.42578125" customWidth="1"/>
    <col min="7" max="7" width="1" customWidth="1"/>
    <col min="8" max="9" width="11"/>
    <col min="10" max="10" width="4.85546875" bestFit="1" customWidth="1"/>
    <col min="11" max="11" width="11"/>
    <col min="12" max="12" width="12" customWidth="1"/>
    <col min="13" max="13" width="11"/>
    <col min="14" max="14" width="1.140625" customWidth="1"/>
    <col min="15" max="15" width="16.42578125" customWidth="1"/>
    <col min="16" max="16" width="16.42578125" hidden="1" customWidth="1"/>
    <col min="17" max="17" width="24.42578125" hidden="1" customWidth="1"/>
    <col min="18" max="27" width="11.42578125" hidden="1" customWidth="1"/>
    <col min="28" max="28" width="25.140625" hidden="1" customWidth="1"/>
    <col min="29" max="29" width="11.42578125" hidden="1" customWidth="1"/>
    <col min="30" max="31" width="11.42578125" customWidth="1"/>
    <col min="32" max="35" width="11"/>
    <col min="36" max="36" width="11.85546875" customWidth="1"/>
  </cols>
  <sheetData>
    <row r="1" spans="1:36" x14ac:dyDescent="0.25">
      <c r="D1" s="302" t="s">
        <v>298</v>
      </c>
      <c r="E1" s="302"/>
      <c r="F1" s="302"/>
      <c r="G1" s="302"/>
      <c r="H1" s="302"/>
      <c r="I1" s="302"/>
      <c r="J1" s="302"/>
      <c r="K1" s="302"/>
      <c r="L1" s="42" t="s">
        <v>278</v>
      </c>
      <c r="N1" s="43"/>
      <c r="O1" s="43" t="s">
        <v>179</v>
      </c>
      <c r="P1" s="15" t="s">
        <v>157</v>
      </c>
      <c r="AA1" s="15" t="s">
        <v>157</v>
      </c>
    </row>
    <row r="2" spans="1:36" x14ac:dyDescent="0.25">
      <c r="D2" s="302"/>
      <c r="E2" s="302"/>
      <c r="F2" s="302"/>
      <c r="G2" s="302"/>
      <c r="H2" s="302"/>
      <c r="I2" s="302"/>
      <c r="J2" s="302"/>
      <c r="K2" s="302"/>
      <c r="N2" s="43"/>
      <c r="O2" s="43" t="s">
        <v>180</v>
      </c>
      <c r="AC2" t="s">
        <v>201</v>
      </c>
    </row>
    <row r="3" spans="1:36" ht="15.75" thickBot="1" x14ac:dyDescent="0.3">
      <c r="D3" s="302"/>
      <c r="E3" s="302"/>
      <c r="F3" s="302"/>
      <c r="G3" s="302"/>
      <c r="H3" s="302"/>
      <c r="I3" s="302"/>
      <c r="J3" s="302"/>
      <c r="K3" s="302"/>
      <c r="N3" s="44"/>
      <c r="O3" s="44" t="s">
        <v>181</v>
      </c>
      <c r="AA3" s="15" t="s">
        <v>200</v>
      </c>
      <c r="AC3" s="2" t="str">
        <f>I5</f>
        <v>Juin</v>
      </c>
    </row>
    <row r="4" spans="1:36" x14ac:dyDescent="0.25">
      <c r="A4" s="45" t="s">
        <v>3</v>
      </c>
      <c r="B4" s="46">
        <f>'Synthèse Horaires'!$B$4</f>
        <v>2026</v>
      </c>
      <c r="C4" s="47"/>
      <c r="D4" s="48" t="s">
        <v>1</v>
      </c>
      <c r="E4" s="46">
        <f>'Synthèse Horaires'!$D$4</f>
        <v>0</v>
      </c>
      <c r="F4" s="49"/>
      <c r="G4" s="49"/>
      <c r="H4" s="48" t="s">
        <v>2</v>
      </c>
      <c r="I4" s="47">
        <f>'Synthèse Horaires'!$I$4</f>
        <v>0</v>
      </c>
      <c r="J4" s="50"/>
      <c r="K4" s="50"/>
      <c r="N4" s="44"/>
      <c r="O4" s="44" t="s">
        <v>202</v>
      </c>
      <c r="V4" s="10" t="s">
        <v>174</v>
      </c>
      <c r="W4" s="51" t="e">
        <f>IF(K8="non",SUM(K27:K33)*(35/6),SUM(K27:K33)*(K8/6))</f>
        <v>#N/A</v>
      </c>
      <c r="AB4" t="s">
        <v>6</v>
      </c>
      <c r="AC4" s="14">
        <f>B8</f>
        <v>0</v>
      </c>
      <c r="AF4" s="299" t="s">
        <v>318</v>
      </c>
      <c r="AG4" s="300"/>
      <c r="AH4" s="300"/>
      <c r="AI4" s="300"/>
      <c r="AJ4" s="301"/>
    </row>
    <row r="5" spans="1:36" x14ac:dyDescent="0.25">
      <c r="A5" s="45" t="s">
        <v>10</v>
      </c>
      <c r="B5" s="49"/>
      <c r="C5" s="49"/>
      <c r="D5" s="50" t="str">
        <f>'Synthèse Horaires'!$C$6</f>
        <v>01 juin 2026 au 31 mai 2027.</v>
      </c>
      <c r="E5" s="2"/>
      <c r="H5" s="48" t="s">
        <v>205</v>
      </c>
      <c r="I5" s="47" t="str">
        <f>'Synthèse Horaires'!$I$5</f>
        <v>Juin</v>
      </c>
      <c r="N5" s="44"/>
      <c r="O5" s="44" t="s">
        <v>203</v>
      </c>
      <c r="V5" s="10" t="s">
        <v>173</v>
      </c>
      <c r="W5">
        <f>W11+W12</f>
        <v>0</v>
      </c>
      <c r="AB5" t="s">
        <v>57</v>
      </c>
      <c r="AC5" s="14" t="e">
        <f>B9</f>
        <v>#N/A</v>
      </c>
      <c r="AF5" s="24" t="s">
        <v>319</v>
      </c>
      <c r="AJ5" s="21"/>
    </row>
    <row r="6" spans="1:36" ht="9.75" customHeight="1" thickBot="1" x14ac:dyDescent="0.3">
      <c r="A6" s="22"/>
      <c r="B6" s="22"/>
      <c r="C6" s="22"/>
      <c r="D6" s="22"/>
      <c r="E6" s="22"/>
      <c r="F6" s="22"/>
      <c r="G6" s="22"/>
      <c r="H6" s="22"/>
      <c r="I6" s="22"/>
      <c r="J6" s="22"/>
      <c r="K6" s="22"/>
      <c r="L6" s="22"/>
      <c r="M6" s="22"/>
      <c r="N6" s="22"/>
      <c r="O6" s="22"/>
      <c r="AB6" t="s">
        <v>211</v>
      </c>
      <c r="AC6" s="14" t="e">
        <f>H9</f>
        <v>#N/A</v>
      </c>
      <c r="AF6" s="24" t="s">
        <v>321</v>
      </c>
      <c r="AJ6" s="21"/>
    </row>
    <row r="7" spans="1:36" x14ac:dyDescent="0.25">
      <c r="A7" s="4" t="s">
        <v>58</v>
      </c>
      <c r="B7" s="4"/>
      <c r="C7" s="4"/>
      <c r="D7" s="4"/>
      <c r="E7" s="4"/>
      <c r="F7" s="4"/>
      <c r="G7" s="4"/>
      <c r="H7" s="4"/>
      <c r="O7" s="265" t="str">
        <f>"H. Férié. "&amp;A10</f>
        <v>H. Férié. Semaine 23</v>
      </c>
      <c r="P7" s="53" t="s">
        <v>6</v>
      </c>
      <c r="Q7" s="2">
        <f>B8</f>
        <v>0</v>
      </c>
      <c r="T7" s="10" t="s">
        <v>76</v>
      </c>
      <c r="U7" s="2" t="e">
        <f>VLOOKUP(B8,'Base Matricule Siège'!$B$12:$F$1000,5,FALSE)</f>
        <v>#N/A</v>
      </c>
      <c r="AA7" t="s">
        <v>215</v>
      </c>
      <c r="AB7" t="s">
        <v>207</v>
      </c>
      <c r="AC7" s="14" t="e">
        <f>IF(AC6="Cadre",0,W32)</f>
        <v>#N/A</v>
      </c>
      <c r="AF7" s="41"/>
      <c r="AG7" s="40"/>
      <c r="AH7" s="54" t="s">
        <v>6</v>
      </c>
      <c r="AI7" s="55" t="s">
        <v>320</v>
      </c>
      <c r="AJ7" s="56"/>
    </row>
    <row r="8" spans="1:36" ht="15.75" thickBot="1" x14ac:dyDescent="0.3">
      <c r="A8" s="49" t="s">
        <v>18</v>
      </c>
      <c r="B8" s="113">
        <v>0</v>
      </c>
      <c r="E8" s="49"/>
      <c r="G8" s="57" t="s">
        <v>317</v>
      </c>
      <c r="H8" s="58" t="e">
        <f>VLOOKUP(B8,'Base Matricule Siège'!$B$13:$H$1000,5,FALSE)</f>
        <v>#N/A</v>
      </c>
      <c r="J8" s="10" t="s">
        <v>161</v>
      </c>
      <c r="K8" s="58" t="e">
        <f>IF((VLOOKUP('MASQUE COLLABORATEUR'!B8,'Base Matricule Siège'!$B$13:$E$1000,4,FALSE)&lt;'Base Matricule Siège'!$G$5),(VLOOKUP('MASQUE COLLABORATEUR'!B8,'Base Matricule Siège'!$B$13:$E$1000,4,FALSE)),"non")</f>
        <v>#N/A</v>
      </c>
      <c r="O8" s="267"/>
      <c r="R8" t="s">
        <v>151</v>
      </c>
      <c r="S8" t="s">
        <v>152</v>
      </c>
      <c r="T8" t="s">
        <v>153</v>
      </c>
      <c r="U8" t="s">
        <v>154</v>
      </c>
      <c r="V8" t="s">
        <v>155</v>
      </c>
      <c r="W8" s="59" t="s">
        <v>156</v>
      </c>
      <c r="AB8" t="s">
        <v>11</v>
      </c>
      <c r="AC8" s="14" t="e">
        <f>W33</f>
        <v>#N/A</v>
      </c>
      <c r="AF8" s="41"/>
      <c r="AG8" s="40"/>
      <c r="AH8" s="60">
        <f>B8</f>
        <v>0</v>
      </c>
      <c r="AI8" s="61" t="str">
        <f>IF(ISERROR(B9),"Vérifier la fiche",B9)</f>
        <v>Vérifier la fiche</v>
      </c>
      <c r="AJ8" s="62"/>
    </row>
    <row r="9" spans="1:36" ht="15.75" thickBot="1" x14ac:dyDescent="0.3">
      <c r="A9" s="49" t="s">
        <v>59</v>
      </c>
      <c r="B9" s="2" t="e">
        <f>VLOOKUP(B8,'Base Matricule Siège'!$B$13:$C$1000,2,FALSE)</f>
        <v>#N/A</v>
      </c>
      <c r="C9" s="2"/>
      <c r="D9" s="2"/>
      <c r="G9" s="57" t="s">
        <v>158</v>
      </c>
      <c r="H9" s="58" t="e">
        <f>VLOOKUP(B8,'Base Matricule Siège'!$B$13:$G$1000,6,FALSE)</f>
        <v>#N/A</v>
      </c>
      <c r="O9" s="264" t="str">
        <f>"H. Férié. "&amp;H10</f>
        <v>H. Férié. Semaine 24</v>
      </c>
      <c r="P9" s="10" t="s">
        <v>142</v>
      </c>
      <c r="Q9" s="10" t="s">
        <v>149</v>
      </c>
      <c r="R9">
        <f>IF(F11=Q9,E11,0)+IF(F12=Q9,E12,0)+IF(F13=Q9,E13,0)+IF(Q9=F14,E14,0)+IF(F15=Q9,E15,0)+IF(F16=Q9,E16,0)</f>
        <v>0</v>
      </c>
      <c r="S9">
        <f>IF(M11=Q9,L11,0)+IF(M12=Q9,L12,0)+IF(M13=Q9,L13,0)+IF(Q9=M14,L14,0)+IF(M15=Q9,L15,0)+IF(M16=Q9,L16,0)</f>
        <v>0</v>
      </c>
      <c r="T9">
        <f>IF(F19=Q9,E19,0)+IF(F20=Q9,E20,0)+IF(F21=Q9,E21,0)+IF(Q9=F22,E22,0)+IF(F23=Q9,E23,0)+IF(F24=Q9,E24,0)</f>
        <v>0</v>
      </c>
      <c r="U9">
        <f>IF(M19=Q9,L19,0)+IF(M20=Q9,L20,0)+IF(M21=Q9,L21,0)+IF(Q9=M22,L22,0)+IF(M23=Q9,L23,0)+IF(M24=Q9,L24,0)</f>
        <v>0</v>
      </c>
      <c r="V9">
        <f>IF(F27=Q9,E27,0)+IF(F28=Q9,E28,0)+IF(F29=Q9,E29,0)+IF(Q9=F30,E30,0)+IF(F31=Q9,E31,0)+IF(F32=Q9,E32,0)</f>
        <v>0</v>
      </c>
      <c r="W9" s="63">
        <f>SUM(R9:V9)</f>
        <v>0</v>
      </c>
      <c r="AB9" t="s">
        <v>208</v>
      </c>
      <c r="AC9" s="14">
        <f>SUM(K27:K33)</f>
        <v>0</v>
      </c>
      <c r="AF9" s="41"/>
      <c r="AG9" s="40"/>
      <c r="AH9" s="60">
        <f>B41</f>
        <v>0</v>
      </c>
      <c r="AI9" s="61" t="str">
        <f>IF(ISERROR(B42),"Vérifier la fiche",B42)</f>
        <v>Vérifier la fiche</v>
      </c>
      <c r="AJ9" s="62"/>
    </row>
    <row r="10" spans="1:36" ht="15.75" thickBot="1" x14ac:dyDescent="0.3">
      <c r="A10" s="64" t="str">
        <f>"Semaine "&amp;'Base Matricule Siège'!L3&amp;""</f>
        <v>Semaine 23</v>
      </c>
      <c r="B10" s="65" t="e">
        <f>IF(H9="Cadre","Demi J. Réalisées","H. Réalisées")</f>
        <v>#N/A</v>
      </c>
      <c r="C10" s="65" t="s">
        <v>141</v>
      </c>
      <c r="D10" s="66" t="e">
        <f>IF(H9="Cadre","CP en Demi J.","CP en jours")</f>
        <v>#N/A</v>
      </c>
      <c r="E10" s="66" t="e">
        <f>IF(H9="Cadre","Abs. En Demi J.","Absence en H.")</f>
        <v>#N/A</v>
      </c>
      <c r="F10" s="67" t="s">
        <v>110</v>
      </c>
      <c r="H10" s="64" t="str">
        <f>"Semaine "&amp;'Base Matricule Siège'!L4&amp;""</f>
        <v>Semaine 24</v>
      </c>
      <c r="I10" s="65" t="e">
        <f>B10</f>
        <v>#N/A</v>
      </c>
      <c r="J10" s="65" t="str">
        <f>C10</f>
        <v>Férié</v>
      </c>
      <c r="K10" s="66" t="e">
        <f>D10</f>
        <v>#N/A</v>
      </c>
      <c r="L10" s="66" t="e">
        <f>E10</f>
        <v>#N/A</v>
      </c>
      <c r="M10" s="67" t="str">
        <f>F10</f>
        <v>Type absence</v>
      </c>
      <c r="N10" s="263"/>
      <c r="O10" s="267"/>
      <c r="Q10" s="10" t="s">
        <v>143</v>
      </c>
      <c r="R10">
        <f>IF(F11=Q10,E11,0)+IF(F12=Q10,E12,0)+IF(F13=Q10,E13,0)+IF(Q10=F14,E14,0)+IF(F16=Q10,E15,0)+IF(F15=Q10,E16,0)</f>
        <v>0</v>
      </c>
      <c r="S10">
        <f>IF(M12=Q10,L12,0)+IF(M13=Q10,L13,0)+IF(M14=Q10,L14,0)+IF(Q10=M15,L15,0)+IF(M16=Q10,L16,0)+IF(M11=Q10,L11,0)</f>
        <v>0</v>
      </c>
      <c r="T10">
        <f>IF(F19=Q10,E19,0)+IF(F20=Q10,E20,0)+IF(F21=Q10,E21,0)+IF(Q10=F22,E22,0)+IF(F23=Q10,E23,0)+IF(F24=Q10,E24,0)</f>
        <v>0</v>
      </c>
      <c r="U10">
        <f>IF(M19=Q10,L19,0)+IF(M20=Q10,L20,0)+IF(M21=Q10,L21,0)+IF(Q10=M22,L22,0)+IF(M23=Q10,L23,0)+IF(M24=Q10,L24,0)</f>
        <v>0</v>
      </c>
      <c r="V10">
        <f>IF(F27=Q10,E27,0)+IF(F28=Q10,E28,0)+IF(F29=Q10,E29,0)+IF(Q10=F30,E30,0)+IF(F31=Q10,E31,0)+IF(F32=Q10,E32,0)</f>
        <v>0</v>
      </c>
      <c r="W10" s="63">
        <f t="shared" ref="W10:W22" si="0">SUM(R10:V10)</f>
        <v>0</v>
      </c>
      <c r="AB10" t="s">
        <v>8</v>
      </c>
      <c r="AC10" s="14"/>
      <c r="AF10" s="41"/>
      <c r="AG10" s="40"/>
      <c r="AH10" s="60">
        <f>B74</f>
        <v>0</v>
      </c>
      <c r="AI10" s="61" t="str">
        <f>IF(ISERROR(B75),"Vérifier la fiche",B75)</f>
        <v>Vérifier la fiche</v>
      </c>
      <c r="AJ10" s="62"/>
    </row>
    <row r="11" spans="1:36" x14ac:dyDescent="0.25">
      <c r="A11" s="68" t="s">
        <v>103</v>
      </c>
      <c r="B11" s="98"/>
      <c r="C11" s="98"/>
      <c r="D11" s="99"/>
      <c r="E11" s="100"/>
      <c r="F11" s="101"/>
      <c r="H11" s="69" t="s">
        <v>103</v>
      </c>
      <c r="I11" s="95"/>
      <c r="J11" s="95"/>
      <c r="K11" s="106"/>
      <c r="L11" s="105"/>
      <c r="M11" s="101"/>
      <c r="N11" s="262"/>
      <c r="O11" s="264" t="str">
        <f>"H. Férié. "&amp;A18</f>
        <v>H. Férié. Ne pas saisir</v>
      </c>
      <c r="Q11" s="10" t="s">
        <v>144</v>
      </c>
      <c r="R11">
        <f>IF(F13=Q11,E13,0)+IF(F14=Q11,E14,0)+IF(F15=Q11,E15,0)+IF(Q11=F16,E16,0)+IF(F11=Q11,E11,0)+IF(F12=Q11,E12,0)</f>
        <v>0</v>
      </c>
      <c r="S11">
        <f>IF(M13=Q11,L13,0)+IF(M14=Q11,L14,0)+IF(M15=Q11,L15,0)+IF(Q11=M16,L16,0)+IF(M11=Q11,L11,0)+IF(M12=Q11,L12,0)</f>
        <v>0</v>
      </c>
      <c r="T11">
        <f>IF(F19=Q11,E19,0)+IF(F20=Q11,E20,0)+IF(F21=Q11,E21,0)+IF(Q11=F22,E22,0)+IF(F23=Q11,E23,0)+IF(F24=Q11,E24,0)</f>
        <v>0</v>
      </c>
      <c r="U11">
        <f>IF(M19=Q11,L19,0)+IF(M20=Q11,L20,0)+IF(M21=Q11,L21,0)+IF(Q11=M22,L22,0)+IF(M23=Q11,L23,0)+IF(M24=Q11,L24,0)</f>
        <v>0</v>
      </c>
      <c r="V11">
        <f>IF(F27=Q11,E27,0)+IF(F28=Q11,E28,0)+IF(F29=Q11,E29,0)+IF(Q11=F30,E30,0)+IF(F31=Q11,E31,0)+IF(F32=Q11,E32,0)</f>
        <v>0</v>
      </c>
      <c r="W11" s="63">
        <f t="shared" si="0"/>
        <v>0</v>
      </c>
      <c r="AB11" t="s">
        <v>209</v>
      </c>
      <c r="AC11" s="14">
        <f>W11</f>
        <v>0</v>
      </c>
      <c r="AF11" s="41"/>
      <c r="AG11" s="40"/>
      <c r="AH11" s="60">
        <f>B107</f>
        <v>0</v>
      </c>
      <c r="AI11" s="61" t="str">
        <f>IF(ISERROR(B108),"Vérifier la fiche",B108)</f>
        <v>Vérifier la fiche</v>
      </c>
      <c r="AJ11" s="62"/>
    </row>
    <row r="12" spans="1:36" ht="15.75" thickBot="1" x14ac:dyDescent="0.3">
      <c r="A12" s="69" t="s">
        <v>104</v>
      </c>
      <c r="B12" s="96"/>
      <c r="C12" s="96"/>
      <c r="D12" s="102"/>
      <c r="E12" s="103"/>
      <c r="F12" s="38"/>
      <c r="H12" s="69" t="s">
        <v>104</v>
      </c>
      <c r="I12" s="96"/>
      <c r="J12" s="96"/>
      <c r="K12" s="102"/>
      <c r="L12" s="103"/>
      <c r="M12" s="38"/>
      <c r="O12" s="267"/>
      <c r="Q12" s="10" t="s">
        <v>145</v>
      </c>
      <c r="R12">
        <f>IF(F14=Q12,E14,0)+IF(F15=Q12,E15,0)+IF(F16=Q12,E16,0)+IF(Q12=F11,E11,0)+IF(F12=Q12,E12,0)+IF(F13=Q12,E13,0)</f>
        <v>0</v>
      </c>
      <c r="S12">
        <f>IF(M14=Q12,L14,0)+IF(M15=Q12,L15,0)+IF(M16=Q12,L16,0)+IF(Q12=M11,L11,0)+IF(M12=Q12,L12,0)+IF(M13=Q12,L13,0)</f>
        <v>0</v>
      </c>
      <c r="T12">
        <f>IF(F19=Q12,$E19,0)+IF(F20=Q12,E20,0)+IF(F21=Q12,E21,0)+IF(Q12=F22,E22,0)+IF(F23=Q12,E23,0)+IF(F24=Q12,E24,0)</f>
        <v>0</v>
      </c>
      <c r="U12">
        <f>IF(M19=Q12,L19,0)+IF(M20=Q12,L20,0)+IF(M21=Q12,L21,0)+IF(Q12=M22,L22,0)+IF(M23=Q12,L23,0)+IF(M24=Q12,L24,0)</f>
        <v>0</v>
      </c>
      <c r="V12">
        <f>IF(F27=Q12,E27,0)+IF(F28=Q12,E28,0)+IF(F29=Q12,E29,0)+IF(Q12=F30,E30,0)+IF(F31=Q12,E31,0)+IF(F32=Q12,E32,0)</f>
        <v>0</v>
      </c>
      <c r="W12" s="63">
        <f t="shared" si="0"/>
        <v>0</v>
      </c>
      <c r="AB12" t="s">
        <v>210</v>
      </c>
      <c r="AC12" s="14">
        <f>SUM(W9:W22)-W11</f>
        <v>0</v>
      </c>
      <c r="AF12" s="41"/>
      <c r="AG12" s="40"/>
      <c r="AH12" s="60">
        <f>B140</f>
        <v>0</v>
      </c>
      <c r="AI12" s="61" t="str">
        <f>IF(ISERROR(B141),"Vérifier la fiche",B141)</f>
        <v>Vérifier la fiche</v>
      </c>
      <c r="AJ12" s="62"/>
    </row>
    <row r="13" spans="1:36" x14ac:dyDescent="0.25">
      <c r="A13" s="69" t="s">
        <v>105</v>
      </c>
      <c r="B13" s="96"/>
      <c r="C13" s="96"/>
      <c r="D13" s="102"/>
      <c r="E13" s="103"/>
      <c r="F13" s="38"/>
      <c r="H13" s="69" t="s">
        <v>105</v>
      </c>
      <c r="I13" s="96"/>
      <c r="J13" s="96"/>
      <c r="K13" s="102"/>
      <c r="L13" s="103"/>
      <c r="M13" s="38"/>
      <c r="O13" s="264" t="str">
        <f>"H. Férié. "&amp;H18</f>
        <v>H. Férié. Ne pas saisir</v>
      </c>
      <c r="Q13" s="10" t="s">
        <v>212</v>
      </c>
      <c r="R13">
        <f>IF(F15=Q13,E15,0)+IF(F16=Q13,E16,0)+IF(F11=Q13,E11,0)+IF(Q13=F12,E12,0)+IF(F13=Q13,E13,0)+IF(F14=Q13,E14,0)</f>
        <v>0</v>
      </c>
      <c r="S13">
        <f>IF(M14=Q13,L14,0)+IF(M15=Q13,L15,0)+IF(M16=Q13,L16,0)+IF(Q13=M11,L11,0)+IF(M12=Q13,L12,0)+IF(M13=Q13,L13,0)</f>
        <v>0</v>
      </c>
      <c r="T13">
        <f>IF(F19=Q13,E19,0)+IF(F20=Q13,E20,0)+IF(F21=Q13,E21,0)+IF(Q13=F22,E22,0)+IF(F23=Q13,E23,0)+IF(F24=Q13,E24,0)</f>
        <v>0</v>
      </c>
      <c r="U13">
        <f>IF(M19=Q13,L19,0)+IF(M20=Q13,L20,0)+IF(M21=Q13,L21,0)+IF(Q13=M22,L22,0)+IF(M23=Q13,L23,0)+IF(M24=Q13,L24,0)</f>
        <v>0</v>
      </c>
      <c r="V13">
        <f>IF(F27=Q13,E27,0)+IF(F28=Q13,E28,0)+IF(F29=Q13,E29,0)+IF(Q13=F30,E30,0)+IF(F31=Q13,E31,0)+IF(F32=Q13,E32,0)</f>
        <v>0</v>
      </c>
      <c r="W13" s="63">
        <f t="shared" si="0"/>
        <v>0</v>
      </c>
      <c r="AA13" t="s">
        <v>214</v>
      </c>
      <c r="AB13" t="s">
        <v>213</v>
      </c>
      <c r="AC13" s="14" t="e">
        <f>IF(AC6="Cadre",(W13/2),(W13))</f>
        <v>#N/A</v>
      </c>
      <c r="AF13" s="41"/>
      <c r="AG13" s="40"/>
      <c r="AH13" s="60">
        <f>B173</f>
        <v>0</v>
      </c>
      <c r="AI13" s="61" t="str">
        <f>IF(ISERROR(B174),"Vérifier la fiche",B174)</f>
        <v>Vérifier la fiche</v>
      </c>
      <c r="AJ13" s="62"/>
    </row>
    <row r="14" spans="1:36" ht="15.75" thickBot="1" x14ac:dyDescent="0.3">
      <c r="A14" s="69" t="s">
        <v>106</v>
      </c>
      <c r="B14" s="96"/>
      <c r="C14" s="96"/>
      <c r="D14" s="102"/>
      <c r="E14" s="103"/>
      <c r="F14" s="38"/>
      <c r="H14" s="69" t="s">
        <v>106</v>
      </c>
      <c r="I14" s="96"/>
      <c r="J14" s="96"/>
      <c r="K14" s="102"/>
      <c r="L14" s="103"/>
      <c r="M14" s="38"/>
      <c r="O14" s="267"/>
      <c r="Q14" s="10" t="s">
        <v>146</v>
      </c>
      <c r="R14">
        <f>IF(F16=Q14,E16,0)+IF(F11=Q14,E11,0)+IF(F12=Q14,E12,0)+IF(Q14=F13,E13,0)+IF(F14=Q14,E14,0)+IF(F15=Q14,E15,0)</f>
        <v>0</v>
      </c>
      <c r="S14">
        <f>IF(M14=Q14,L14,0)+IF(M15=Q14,L15,0)+IF(M16=Q14,L16,0)+IF(Q14=M11,$L$11,0)+IF(M12=Q14,L12,0)+IF(M13=Q14,L13,0)</f>
        <v>0</v>
      </c>
      <c r="T14">
        <f>IF(F19=Q14,E19,0)+IF(F20=Q14,E20,0)+IF(F21=Q14,E21,0)+IF(Q14=F22,E22,0)+IF(F23=Q14,E23,0)+IF(F24=Q14,E24,0)</f>
        <v>0</v>
      </c>
      <c r="U14">
        <f>IF(M19=Q14,L19,0)+IF(M20=Q14,L20,0)+IF(M21=Q14,L21,0)+IF(Q14=M22,L22,0)+IF(M23=Q14,L23,0)+IF(M24=Q14,L24,0)</f>
        <v>0</v>
      </c>
      <c r="V14">
        <f>IF(F27=Q14,E27,0)+IF(F28=Q14,E28,0)+IF(F29=Q14,E29,0)+IF(Q14=F30,E30,0)+IF(F31=Q14,E31,0)+IF(F32=Q14,E32,0)</f>
        <v>0</v>
      </c>
      <c r="W14" s="63">
        <f t="shared" si="0"/>
        <v>0</v>
      </c>
      <c r="AA14" t="s">
        <v>216</v>
      </c>
      <c r="AB14" t="s">
        <v>217</v>
      </c>
      <c r="AC14" s="14" t="e">
        <f>W26+W27</f>
        <v>#N/A</v>
      </c>
      <c r="AF14" s="41"/>
      <c r="AG14" s="40"/>
      <c r="AH14" s="60">
        <f>B206</f>
        <v>0</v>
      </c>
      <c r="AI14" s="61" t="str">
        <f>IF(ISERROR(B207),"Vérifier la fiche",B207)</f>
        <v>Vérifier la fiche</v>
      </c>
      <c r="AJ14" s="62"/>
    </row>
    <row r="15" spans="1:36" x14ac:dyDescent="0.25">
      <c r="A15" s="69" t="s">
        <v>107</v>
      </c>
      <c r="B15" s="96"/>
      <c r="C15" s="96"/>
      <c r="D15" s="102"/>
      <c r="E15" s="103"/>
      <c r="F15" s="38"/>
      <c r="H15" s="69" t="s">
        <v>107</v>
      </c>
      <c r="I15" s="96"/>
      <c r="J15" s="96"/>
      <c r="K15" s="102"/>
      <c r="L15" s="103"/>
      <c r="M15" s="38"/>
      <c r="O15" s="264" t="str">
        <f>"H. Férié. "&amp;A26</f>
        <v>H. Férié. Ne pas saisir</v>
      </c>
      <c r="Q15" s="10" t="s">
        <v>499</v>
      </c>
      <c r="R15">
        <f>IF(F11=Q15,E11,0)+IF(F12=Q15,E12,0)+IF(F13=Q15,E13,0)+IF(Q15=F14,E14,0)+IF(F15=Q15,E15,0)+IF(F16=Q15,E16,0)</f>
        <v>0</v>
      </c>
      <c r="S15">
        <f>IF(M14=Q15,L14,0)+IF(M15=Q15,L15,0)+IF(M16=Q15,L16,0)+IF(Q15=M11,L11,0)+IF(M12=Q15,L12,0)+IF(M13=Q15,L13,0)</f>
        <v>0</v>
      </c>
      <c r="T15">
        <f>IF(F19=Q15,E19,0)+IF(F20=Q15,E20,0)+IF(F21=Q15,E21,0)+IF(Q15=F22,E22,0)+IF(F23=Q15,E23,0)+IF(F24=Q15,E24,0)</f>
        <v>0</v>
      </c>
      <c r="U15">
        <f>IF(M19=Q15,L19,0)+IF(M20=Q15,L20,0)+IF(M21=Q15,L21,0)+IF(Q15=M22,L22,0)+IF(M23=Q15,L23,0)+IF(M24=Q15,L24,0)</f>
        <v>0</v>
      </c>
      <c r="V15">
        <f>IF(F27=Q15,E27,0)+IF(F28=Q15,E28,0)+IF(F29=Q15,E29,0)+IF(Q15=F30,E30,0)+IF(F31=Q15,E31,0)+IF(F32=Q15,E32,0)</f>
        <v>0</v>
      </c>
      <c r="W15" s="63">
        <f t="shared" si="0"/>
        <v>0</v>
      </c>
      <c r="AA15" t="s">
        <v>218</v>
      </c>
      <c r="AB15" t="s">
        <v>219</v>
      </c>
      <c r="AC15" s="14">
        <f>W25</f>
        <v>0</v>
      </c>
      <c r="AF15" s="41"/>
      <c r="AG15" s="40"/>
      <c r="AH15" s="60">
        <f>B239</f>
        <v>0</v>
      </c>
      <c r="AI15" s="61" t="str">
        <f>IF(ISERROR(B240),"Vérifier la fiche",B240)</f>
        <v>Vérifier la fiche</v>
      </c>
      <c r="AJ15" s="62"/>
    </row>
    <row r="16" spans="1:36" ht="15.75" thickBot="1" x14ac:dyDescent="0.3">
      <c r="A16" s="69" t="s">
        <v>108</v>
      </c>
      <c r="B16" s="96"/>
      <c r="C16" s="96"/>
      <c r="D16" s="102"/>
      <c r="E16" s="103"/>
      <c r="F16" s="38"/>
      <c r="H16" s="69" t="s">
        <v>108</v>
      </c>
      <c r="I16" s="96"/>
      <c r="J16" s="96"/>
      <c r="K16" s="102"/>
      <c r="L16" s="103"/>
      <c r="M16" s="38"/>
      <c r="O16" s="267"/>
      <c r="Q16" s="10" t="s">
        <v>147</v>
      </c>
      <c r="R16">
        <f>IF(F12=Q16,E12,0)+IF(F13=Q16,E13,0)+IF(F14=Q16,E14,0)+IF(Q16=F15,E15,0)+IF(F16=Q16,E16,0)+IF(F11=Q16,E11,0)</f>
        <v>0</v>
      </c>
      <c r="S16">
        <f>IF(M14=Q16,L14,0)+IF(M15=Q16,L15,0)+IF(M16=Q16,L16,0)+IF(Q16=M11,L11,0)+IF(M12=Q16,L12,0)+IF(M13=Q16,L13,0)</f>
        <v>0</v>
      </c>
      <c r="T16">
        <f>IF(F19=Q16,E19,0)+IF(F20=Q16,E20,0)+IF(F21=Q16,E21,0)+IF(Q16=F22,E22,0)+IF(F23=Q16,E23,0)+IF(F24=Q16,E24,0)</f>
        <v>0</v>
      </c>
      <c r="U16">
        <f>IF(M19=Q16,L19,0)+IF(M20=Q16,L20,0)+IF(M21=Q16,L21,0)+IF(Q16=M22,L22,0)+IF(M23=Q16,L23,0)+IF(M24=Q16,L24,0)</f>
        <v>0</v>
      </c>
      <c r="V16">
        <f>IF(F27=Q16,E27,0)+IF(F28=Q16,E28,0)+IF(F29=Q16,E29,0)+IF(Q16=F30,E30,0)+IF(F31=Q16,E31,0)+IF(F32=Q16,E32,0)</f>
        <v>0</v>
      </c>
      <c r="W16" s="63">
        <f t="shared" si="0"/>
        <v>0</v>
      </c>
      <c r="AA16" t="s">
        <v>166</v>
      </c>
      <c r="AB16" t="s">
        <v>220</v>
      </c>
      <c r="AC16" s="14" t="e">
        <f>W30</f>
        <v>#N/A</v>
      </c>
      <c r="AF16" s="41"/>
      <c r="AG16" s="40"/>
      <c r="AH16" s="60">
        <f>B272</f>
        <v>0</v>
      </c>
      <c r="AI16" s="61" t="str">
        <f>IF(ISERROR(B273),"Vérifier la fiche",B273)</f>
        <v>Vérifier la fiche</v>
      </c>
      <c r="AJ16" s="62"/>
    </row>
    <row r="17" spans="1:36" ht="15.75" thickBot="1" x14ac:dyDescent="0.3">
      <c r="A17" s="70" t="s">
        <v>109</v>
      </c>
      <c r="B17" s="97"/>
      <c r="C17" s="97"/>
      <c r="D17" s="71"/>
      <c r="E17" s="104"/>
      <c r="F17" s="38"/>
      <c r="H17" s="70" t="s">
        <v>109</v>
      </c>
      <c r="I17" s="97"/>
      <c r="J17" s="97"/>
      <c r="K17" s="71"/>
      <c r="L17" s="104"/>
      <c r="M17" s="38"/>
      <c r="O17" s="264" t="str">
        <f>"H. Dim. "&amp;A10</f>
        <v>H. Dim. Semaine 23</v>
      </c>
      <c r="Q17" s="10" t="s">
        <v>500</v>
      </c>
      <c r="R17">
        <f>IF(F13=Q17,E13,0)+IF(F14=Q17,E14,0)+IF(F15=Q17,E15,0)+IF(Q17=F16,E16,0)+IF(F11=Q17,E11,0)+IF(F12=Q17,E12,0)</f>
        <v>0</v>
      </c>
      <c r="S17">
        <f>IF(M14=Q17,L14,0)+IF(M15=Q17,L15,0)+IF(M16=Q17,L16,0)+IF(Q17=M11,L11,0)+IF(M12=Q17,L12,0)+IF(M13=Q17,L13,0)</f>
        <v>0</v>
      </c>
      <c r="T17">
        <f>IF(F19=Q17,E19,0)+IF(F20=Q17,E20,0)+IF(F21=Q17,E21,0)+IF(Q17=F22,E22,0)+IF(F23=Q17,E23,0)+IF(F24=Q17,E24,0)</f>
        <v>0</v>
      </c>
      <c r="U17">
        <f>IF(M19=Q17,L19,0)+IF(M20=Q17,L20,0)+IF(M21=Q17,L21,0)+IF(Q17=M22,L22,0)+IF(M23=Q17,L23,0)+IF(M24=Q17,L24,0)</f>
        <v>0</v>
      </c>
      <c r="V17">
        <f>IF(F27=Q17,E27,0)+IF(F28=Q17,E28,0)+IF(F29=Q17,E29,0)+IF(Q17=F30,E30,0)+IF(F31=Q17,E31,0)+IF(F32=Q17,E32,0)</f>
        <v>0</v>
      </c>
      <c r="W17" s="63">
        <f t="shared" si="0"/>
        <v>0</v>
      </c>
      <c r="AA17" t="s">
        <v>222</v>
      </c>
      <c r="AB17" t="s">
        <v>220</v>
      </c>
      <c r="AC17" s="14">
        <f>W31</f>
        <v>0</v>
      </c>
      <c r="AF17" s="41"/>
      <c r="AG17" s="40"/>
      <c r="AH17" s="60">
        <f>B305</f>
        <v>0</v>
      </c>
      <c r="AI17" s="61" t="str">
        <f>IF(ISERROR(B306),"Vérifier la fiche",B306)</f>
        <v>Vérifier la fiche</v>
      </c>
      <c r="AJ17" s="62"/>
    </row>
    <row r="18" spans="1:36" ht="15.75" thickBot="1" x14ac:dyDescent="0.3">
      <c r="A18" s="64" t="str">
        <f>IF('Base Matricule Siège'!L5="NU","Ne pas saisir",("Semaine "&amp;'Base Matricule Siège'!L5&amp;""))</f>
        <v>Ne pas saisir</v>
      </c>
      <c r="B18" s="65" t="e">
        <f>B10</f>
        <v>#N/A</v>
      </c>
      <c r="C18" s="65" t="str">
        <f>C10</f>
        <v>Férié</v>
      </c>
      <c r="D18" s="66" t="e">
        <f>D10</f>
        <v>#N/A</v>
      </c>
      <c r="E18" s="66" t="e">
        <f>E10</f>
        <v>#N/A</v>
      </c>
      <c r="F18" s="67" t="str">
        <f>F10</f>
        <v>Type absence</v>
      </c>
      <c r="H18" s="64" t="str">
        <f>IF('Base Matricule Siège'!L6="NU","Ne pas saisir",("Semaine "&amp;'Base Matricule Siège'!L6&amp;""))</f>
        <v>Ne pas saisir</v>
      </c>
      <c r="I18" s="65" t="e">
        <f>B10</f>
        <v>#N/A</v>
      </c>
      <c r="J18" s="65" t="str">
        <f>C10</f>
        <v>Férié</v>
      </c>
      <c r="K18" s="66" t="e">
        <f>D10</f>
        <v>#N/A</v>
      </c>
      <c r="L18" s="66" t="e">
        <f>E10</f>
        <v>#N/A</v>
      </c>
      <c r="M18" s="67" t="str">
        <f>F10</f>
        <v>Type absence</v>
      </c>
      <c r="O18" s="267"/>
      <c r="Q18" s="10" t="s">
        <v>148</v>
      </c>
      <c r="R18">
        <f>IF(F14=Q18,E14,0)+IF(F15=Q18,E15,0)+IF(F16=Q18,E16,0)+IF(Q18=F11,E11,0)+IF(F12=Q18,E12,0)+IF(F13=Q18,E13,0)</f>
        <v>0</v>
      </c>
      <c r="S18">
        <f>IF(M14=Q18,L14,0)+IF(M15=Q18,L15,0)+IF(M16=Q18,L16,0)+IF(Q18=M11,L11,0)+IF(M12=Q18,L12,0)+IF(M13=Q18,L13,0)</f>
        <v>0</v>
      </c>
      <c r="T18">
        <f>IF(F19=Q18,E19,0)+IF(F20=Q18,E20,0)+IF(F21=Q18,E21,0)+IF(Q18=F22,E22,0)+IF(F23=Q18,E23,0)+IF(F24=Q18,E24,0)</f>
        <v>0</v>
      </c>
      <c r="U18">
        <f>IF(M19=Q18,L19,0)+IF(M20=Q18,L20,0)+IF(M21=Q18,L21,0)+IF(Q18=M22,L22,0)+IF(M23=Q18,L23,0)+IF(M24=Q18,L24,0)</f>
        <v>0</v>
      </c>
      <c r="V18">
        <f>IF(F27=Q18,E27,0)+IF(F28=Q18,E28,0)+IF(F29=Q18,E29,0)+IF(Q18=F30,E30,0)+IF(F31=Q18,E31,0)+IF(F32=Q18,E32,0)</f>
        <v>0</v>
      </c>
      <c r="W18" s="63">
        <f t="shared" si="0"/>
        <v>0</v>
      </c>
      <c r="AA18" t="s">
        <v>223</v>
      </c>
      <c r="AB18" t="s">
        <v>224</v>
      </c>
      <c r="AC18" s="14">
        <f>W29</f>
        <v>0</v>
      </c>
      <c r="AF18" s="41"/>
      <c r="AG18" s="40"/>
      <c r="AH18" s="60">
        <f>B338</f>
        <v>0</v>
      </c>
      <c r="AI18" s="61" t="str">
        <f>IF(ISERROR(B339),"Vérifier la fiche",B339)</f>
        <v>Vérifier la fiche</v>
      </c>
      <c r="AJ18" s="62"/>
    </row>
    <row r="19" spans="1:36" x14ac:dyDescent="0.25">
      <c r="A19" s="69" t="s">
        <v>103</v>
      </c>
      <c r="B19" s="95"/>
      <c r="C19" s="95"/>
      <c r="D19" s="106"/>
      <c r="E19" s="105"/>
      <c r="F19" s="101"/>
      <c r="H19" s="69" t="s">
        <v>103</v>
      </c>
      <c r="I19" s="95"/>
      <c r="J19" s="95"/>
      <c r="K19" s="106"/>
      <c r="L19" s="105"/>
      <c r="M19" s="101"/>
      <c r="O19" s="264" t="str">
        <f>"H. Dim. "&amp;H10</f>
        <v>H. Dim. Semaine 24</v>
      </c>
      <c r="Q19" s="10" t="s">
        <v>150</v>
      </c>
      <c r="R19">
        <f>IF(F15=Q19,E15,0)+IF(F16=Q19,E16,0)+IF(F11=Q19,E11,0)+IF(Q19=F12,E12,0)+IF(F13=Q19,E13,0)+IF(F14=Q19,E14,0)</f>
        <v>0</v>
      </c>
      <c r="S19">
        <f>IF(M14=Q19,L14,0)+IF(M15=Q19,L15,0)+IF(M16=Q19,L16,0)+IF(Q19=M11,L11,0)+IF(M12=Q19,L12,0)+IF(M13=Q19,L13,0)</f>
        <v>0</v>
      </c>
      <c r="T19">
        <f>IF(F19=Q19,E19,0)+IF(F20=Q19,E20,0)+IF(F21=Q19,E21,0)+IF(Q19=F22,E22,0)+IF(F23=Q19,E23,0)+IF(F24=Q19,E24,0)</f>
        <v>0</v>
      </c>
      <c r="U19">
        <f>IF(M19=Q19,L19,0)+IF(M20=Q19,L20,0)+IF(M21=Q19,L21,0)+IF(Q19=M22,L22,0)+IF(M23=Q19,L23,0)+IF(M24=Q19,L24,0)</f>
        <v>0</v>
      </c>
      <c r="V19">
        <f>IF(F27=Q19,E27,0)+IF(F28=Q19,E28,0)+IF(F29=Q19,E29,0)+IF(Q19=F30,E30,0)+IF(F31=Q19,E31,0)+IF(F32=Q19,E32,0)</f>
        <v>0</v>
      </c>
      <c r="W19" s="63">
        <f t="shared" si="0"/>
        <v>0</v>
      </c>
      <c r="AB19" t="s">
        <v>267</v>
      </c>
      <c r="AC19">
        <f>(SUM(B11:B17))</f>
        <v>0</v>
      </c>
      <c r="AF19" s="41"/>
      <c r="AG19" s="40"/>
      <c r="AH19" s="60">
        <f>B371</f>
        <v>0</v>
      </c>
      <c r="AI19" s="61" t="str">
        <f>IF(ISERROR(B372),"Vérifier la fiche",B372)</f>
        <v>Vérifier la fiche</v>
      </c>
      <c r="AJ19" s="62"/>
    </row>
    <row r="20" spans="1:36" ht="15.75" thickBot="1" x14ac:dyDescent="0.3">
      <c r="A20" s="69" t="s">
        <v>104</v>
      </c>
      <c r="B20" s="96"/>
      <c r="C20" s="96"/>
      <c r="D20" s="102"/>
      <c r="E20" s="103"/>
      <c r="F20" s="38"/>
      <c r="H20" s="69" t="s">
        <v>104</v>
      </c>
      <c r="I20" s="96"/>
      <c r="J20" s="96"/>
      <c r="K20" s="102"/>
      <c r="L20" s="103"/>
      <c r="M20" s="38"/>
      <c r="O20" s="267"/>
      <c r="Q20" s="10" t="s">
        <v>502</v>
      </c>
      <c r="R20">
        <f>IF(F16=Q20,E16,0)+IF(F11=Q20,E11,0)+IF(F12=Q20,E12,0)+IF(Q20=F13,E13,0)+IF(F14=Q20,E14,0)+IF(F15=Q20,E15,0)</f>
        <v>0</v>
      </c>
      <c r="S20">
        <f>IF(M14=Q20,L14,0)+IF(M15=Q20,L15,0)+IF(M16=Q20,L16,0)+IF(Q20=M11,L11,0)+IF(M12=Q20,L12,0)+IF(M13=Q20,L13,0)</f>
        <v>0</v>
      </c>
      <c r="T20">
        <f>IF(F19=Q20,E19,0)+IF(F20=Q20,E20,0)+IF(F21=Q20,E21,0)+IF(Q20=F22,E22,0)+IF(F23=Q20,E23,0)+IF(F24=Q20,E24,0)</f>
        <v>0</v>
      </c>
      <c r="U20">
        <f>IF(M19=Q20,L19,0)+IF(M20=Q20,L20,0)+IF(M21=Q20,L21,0)+IF(Q20=M22,L22,0)+IF(M23=Q20,L23,0)+IF(M24=Q20,L24,0)</f>
        <v>0</v>
      </c>
      <c r="V20">
        <f>IF(F27=Q20,E27,0)+IF(F28=Q20,E28,0)+IF(F29=Q20,E29,0)+IF(Q20=F30,E30,0)+IF(F31=Q20,E31,0)+IF(F32=Q20,E32,0)</f>
        <v>0</v>
      </c>
      <c r="W20" s="63">
        <f t="shared" si="0"/>
        <v>0</v>
      </c>
      <c r="AB20" t="s">
        <v>268</v>
      </c>
      <c r="AC20">
        <f>(SUM(I11:I17))</f>
        <v>0</v>
      </c>
      <c r="AF20" s="41"/>
      <c r="AG20" s="40"/>
      <c r="AH20" s="60">
        <f>B404</f>
        <v>0</v>
      </c>
      <c r="AI20" s="61" t="str">
        <f>IF(ISERROR(B405),"Vérifier la fiche",B405)</f>
        <v>Vérifier la fiche</v>
      </c>
      <c r="AJ20" s="62"/>
    </row>
    <row r="21" spans="1:36" x14ac:dyDescent="0.25">
      <c r="A21" s="69" t="s">
        <v>105</v>
      </c>
      <c r="B21" s="96"/>
      <c r="C21" s="96"/>
      <c r="D21" s="102"/>
      <c r="E21" s="103"/>
      <c r="F21" s="38"/>
      <c r="H21" s="69" t="s">
        <v>105</v>
      </c>
      <c r="I21" s="96"/>
      <c r="J21" s="96"/>
      <c r="K21" s="102"/>
      <c r="L21" s="103"/>
      <c r="M21" s="38"/>
      <c r="O21" s="264" t="str">
        <f>"H. Dim. "&amp;A18</f>
        <v>H. Dim. Ne pas saisir</v>
      </c>
      <c r="Q21" s="10" t="s">
        <v>498</v>
      </c>
      <c r="R21">
        <f>IF(F11=Q21,E11,0)+IF(F12=Q21,E12,0)+IF(F13=Q21,E13,0)+IF(Q21=F14,E14,0)+IF(F15=Q21,E15,0)+IF(F16=Q21,E16,0)</f>
        <v>0</v>
      </c>
      <c r="S21">
        <f>IF(M14=Q21,L14,0)+IF(M15=Q21,L15,0)+IF(M16=Q21,L16,0)+IF(Q21=M11,L11,0)+IF(M12=Q21,L12,0)+IF(M13=Q21,L13,0)</f>
        <v>0</v>
      </c>
      <c r="T21">
        <f>IF(F19=Q21,E19,0)+IF(F20=Q21,E20,0)+IF(F21=Q21,E21,0)+IF(Q21=F22,E22,0)+IF(F23=Q21,E23,0)+IF(F24=Q21,E24,0)</f>
        <v>0</v>
      </c>
      <c r="U21">
        <f>IF(M19=Q21,L19,0)+IF(M20=Q21,L20,0)+IF(M21=Q21,L21,0)+IF(Q21=M22,L22,0)+IF(M23=Q21,L23,0)+IF(M24=Q21,L24,0)</f>
        <v>0</v>
      </c>
      <c r="V21">
        <f>IF(F27=Q21,E27,0)+IF(F28=Q21,E28,0)+IF(F29=Q21,E29,0)+IF(Q21=F30,E30,0)+IF(F31=Q21,E31,0)+IF(F32=Q21,E32,0)</f>
        <v>0</v>
      </c>
      <c r="W21" s="63">
        <f t="shared" si="0"/>
        <v>0</v>
      </c>
      <c r="AB21" t="s">
        <v>269</v>
      </c>
      <c r="AC21">
        <f>(SUM(B19:B25))</f>
        <v>0</v>
      </c>
      <c r="AF21" s="41"/>
      <c r="AG21" s="40"/>
      <c r="AH21" s="60">
        <f>B437</f>
        <v>0</v>
      </c>
      <c r="AI21" s="61" t="str">
        <f>IF(ISERROR(B438),"Vérifier la fiche",B438)</f>
        <v>Vérifier la fiche</v>
      </c>
      <c r="AJ21" s="62"/>
    </row>
    <row r="22" spans="1:36" ht="15.75" thickBot="1" x14ac:dyDescent="0.3">
      <c r="A22" s="69" t="s">
        <v>106</v>
      </c>
      <c r="B22" s="96"/>
      <c r="C22" s="96"/>
      <c r="D22" s="102"/>
      <c r="E22" s="103"/>
      <c r="F22" s="38"/>
      <c r="H22" s="69" t="s">
        <v>106</v>
      </c>
      <c r="I22" s="96"/>
      <c r="J22" s="96"/>
      <c r="K22" s="102"/>
      <c r="L22" s="103"/>
      <c r="M22" s="38"/>
      <c r="O22" s="267"/>
      <c r="P22" s="72"/>
      <c r="Q22" s="73" t="s">
        <v>501</v>
      </c>
      <c r="R22" s="72">
        <f>IF(F12=Q22,E12,0)+IF(F13=Q22,E13,0)+IF(F14=Q22,E14,0)+IF(Q22=F15,E15,0)+IF(F16=Q22,E16,0)+IF(F11=Q22,E11,0)</f>
        <v>0</v>
      </c>
      <c r="S22" s="72">
        <f>IF(M14=Q22,L14,0)+IF(M15=Q22,L15,0)+IF(M16=Q22,L16,0)+IF(Q22=M11,L11,0)+IF(M12=Q22,L12,0)+IF(M13=Q22,L13,0)</f>
        <v>0</v>
      </c>
      <c r="T22" s="72">
        <f>IF(F19=Q22,E19,0)+IF(F20=Q22,E20,0)+IF(F21=Q22,E21,0)+IF(Q22=F22,E22,0)+IF(F23=Q22,E23,0)+IF(F24=Q22,E24,0)</f>
        <v>0</v>
      </c>
      <c r="U22" s="72">
        <f>IF(M19=Q22,L19,0)+IF(M20=Q22,L20,0)+IF(M21=Q22,L21,0)+IF(Q22=M22,L22,0)+IF(M23=Q22,L23,0)+IF(M24=Q22,L24,0)</f>
        <v>0</v>
      </c>
      <c r="V22" s="72">
        <f>IF(F27=Q22,E27,0)+IF(F28=Q22,E28,0)+IF(F29=Q22,E29,0)+IF(Q22=F30,E30,0)+IF(F31=Q22,E31,0)+IF(F32=Q22,E32,0)</f>
        <v>0</v>
      </c>
      <c r="W22" s="74">
        <f t="shared" si="0"/>
        <v>0</v>
      </c>
      <c r="AB22" t="s">
        <v>270</v>
      </c>
      <c r="AC22">
        <f>(SUM(I19:I25))</f>
        <v>0</v>
      </c>
      <c r="AF22" s="41"/>
      <c r="AG22" s="40"/>
      <c r="AH22" s="60">
        <f>B470</f>
        <v>0</v>
      </c>
      <c r="AI22" s="61" t="str">
        <f>IF(ISERROR(B471),"Vérifier la fiche",B471)</f>
        <v>Vérifier la fiche</v>
      </c>
      <c r="AJ22" s="62"/>
    </row>
    <row r="23" spans="1:36" x14ac:dyDescent="0.25">
      <c r="A23" s="69" t="s">
        <v>107</v>
      </c>
      <c r="B23" s="96"/>
      <c r="C23" s="96"/>
      <c r="D23" s="102"/>
      <c r="E23" s="103"/>
      <c r="F23" s="38"/>
      <c r="H23" s="69" t="s">
        <v>107</v>
      </c>
      <c r="I23" s="96"/>
      <c r="J23" s="96"/>
      <c r="K23" s="102"/>
      <c r="L23" s="103"/>
      <c r="M23" s="38"/>
      <c r="O23" s="264" t="str">
        <f>"H. Dim. "&amp;H18</f>
        <v>H. Dim. Ne pas saisir</v>
      </c>
      <c r="Q23" s="75" t="s">
        <v>169</v>
      </c>
      <c r="W23" s="76"/>
      <c r="AB23" t="s">
        <v>271</v>
      </c>
      <c r="AC23">
        <f>(SUM(B27:B33))</f>
        <v>0</v>
      </c>
      <c r="AF23" s="41"/>
      <c r="AG23" s="40"/>
      <c r="AH23" s="60">
        <f>B503</f>
        <v>0</v>
      </c>
      <c r="AI23" s="61" t="str">
        <f>IF(ISERROR(B504),"Vérifier la fiche",B504)</f>
        <v>Vérifier la fiche</v>
      </c>
      <c r="AJ23" s="62"/>
    </row>
    <row r="24" spans="1:36" ht="15.75" thickBot="1" x14ac:dyDescent="0.3">
      <c r="A24" s="69" t="s">
        <v>108</v>
      </c>
      <c r="B24" s="96"/>
      <c r="C24" s="96"/>
      <c r="D24" s="102"/>
      <c r="E24" s="103"/>
      <c r="F24" s="38"/>
      <c r="H24" s="69" t="s">
        <v>108</v>
      </c>
      <c r="I24" s="96"/>
      <c r="J24" s="96"/>
      <c r="K24" s="102"/>
      <c r="L24" s="103"/>
      <c r="M24" s="38"/>
      <c r="O24" s="267"/>
      <c r="Q24" s="75" t="s">
        <v>175</v>
      </c>
      <c r="W24" s="63">
        <f>SUM((IF(R24&gt;0,R24,0)+(IF(S24&gt;0,S24,0)+(IF(T24&gt;0,T24,0)+(IF(U24&gt;0,U24,0)+(IF(V24&gt;0,V24,0)))))))</f>
        <v>0</v>
      </c>
      <c r="AA24" t="s">
        <v>313</v>
      </c>
      <c r="AB24" t="s">
        <v>314</v>
      </c>
      <c r="AC24" t="e">
        <f>W28</f>
        <v>#N/A</v>
      </c>
      <c r="AF24" s="41"/>
      <c r="AG24" s="40"/>
      <c r="AH24" s="60">
        <f>B536</f>
        <v>0</v>
      </c>
      <c r="AI24" s="61" t="str">
        <f>IF(ISERROR(B537),"Vérifier la fiche",B537)</f>
        <v>Vérifier la fiche</v>
      </c>
      <c r="AJ24" s="62"/>
    </row>
    <row r="25" spans="1:36" ht="15.75" thickBot="1" x14ac:dyDescent="0.3">
      <c r="A25" s="70" t="s">
        <v>109</v>
      </c>
      <c r="B25" s="97"/>
      <c r="C25" s="97"/>
      <c r="D25" s="71"/>
      <c r="E25" s="104"/>
      <c r="F25" s="38"/>
      <c r="H25" s="70" t="s">
        <v>109</v>
      </c>
      <c r="I25" s="97"/>
      <c r="J25" s="97"/>
      <c r="K25" s="71"/>
      <c r="L25" s="104"/>
      <c r="M25" s="39"/>
      <c r="O25" s="264" t="str">
        <f>"H. Dim. "&amp;A26</f>
        <v>H. Dim. Ne pas saisir</v>
      </c>
      <c r="P25" t="s">
        <v>170</v>
      </c>
      <c r="Q25" s="10" t="s">
        <v>162</v>
      </c>
      <c r="R25">
        <f>IF(R24&gt;=R23,R23,R24)</f>
        <v>0</v>
      </c>
      <c r="S25">
        <f>IF(S24&gt;=S23,S23,S24)</f>
        <v>0</v>
      </c>
      <c r="T25">
        <f>IF(T24&gt;=T23,T23,T24)</f>
        <v>0</v>
      </c>
      <c r="U25">
        <f>IF(U24&gt;=U23,U23,U24)</f>
        <v>0</v>
      </c>
      <c r="V25">
        <f>IF(V24&gt;=V23,V23,V24)</f>
        <v>0</v>
      </c>
      <c r="W25" s="63">
        <f>SUM((IF(R25&gt;0,R25,0)+(IF(S25&gt;0,S25,0)+(IF(T25&gt;0,T25,0)+(IF(U25&gt;0,U25,0)+(IF(V25&gt;0,V25,0)))))))</f>
        <v>0</v>
      </c>
      <c r="AF25" s="41"/>
      <c r="AG25" s="40"/>
      <c r="AH25" s="60">
        <f>B569</f>
        <v>0</v>
      </c>
      <c r="AI25" s="61" t="str">
        <f>IF(ISERROR(B570),"Vérifier la fiche",B570)</f>
        <v>Vérifier la fiche</v>
      </c>
      <c r="AJ25" s="62"/>
    </row>
    <row r="26" spans="1:36" ht="15.75" thickBot="1" x14ac:dyDescent="0.3">
      <c r="A26" s="64" t="str">
        <f>IF('Base Matricule Siège'!L7="NU","Ne pas saisir",("Semaine "&amp;'Base Matricule Siège'!L7&amp;""))</f>
        <v>Ne pas saisir</v>
      </c>
      <c r="B26" s="65" t="e">
        <f>B10</f>
        <v>#N/A</v>
      </c>
      <c r="C26" s="65" t="str">
        <f>C10</f>
        <v>Férié</v>
      </c>
      <c r="D26" s="66" t="e">
        <f>D10</f>
        <v>#N/A</v>
      </c>
      <c r="E26" s="66" t="e">
        <f>E10</f>
        <v>#N/A</v>
      </c>
      <c r="F26" s="67" t="str">
        <f>F10</f>
        <v>Type absence</v>
      </c>
      <c r="H26" s="77" t="s">
        <v>136</v>
      </c>
      <c r="I26" s="78" t="e">
        <f>B10</f>
        <v>#N/A</v>
      </c>
      <c r="J26" s="78" t="str">
        <f>C10</f>
        <v>Férié</v>
      </c>
      <c r="K26" s="79" t="e">
        <f>D10</f>
        <v>#N/A</v>
      </c>
      <c r="L26" s="80" t="e">
        <f>E10</f>
        <v>#N/A</v>
      </c>
      <c r="M26" s="49"/>
      <c r="O26" s="267"/>
      <c r="P26" t="s">
        <v>170</v>
      </c>
      <c r="Q26" s="10" t="s">
        <v>163</v>
      </c>
      <c r="R26">
        <f>R24-R25</f>
        <v>0</v>
      </c>
      <c r="S26">
        <f>S24-S25</f>
        <v>0</v>
      </c>
      <c r="T26">
        <f>T24-T25</f>
        <v>0</v>
      </c>
      <c r="U26">
        <f>U24-U25</f>
        <v>0</v>
      </c>
      <c r="V26">
        <f>V24-V25</f>
        <v>0</v>
      </c>
      <c r="W26" s="63">
        <f t="shared" ref="W26:W31" si="1">SUM(R26:V26)</f>
        <v>0</v>
      </c>
      <c r="AF26" s="41"/>
      <c r="AG26" s="40"/>
      <c r="AH26" s="60">
        <f>B602</f>
        <v>0</v>
      </c>
      <c r="AI26" s="61" t="str">
        <f>IF(ISERROR(B603),"Vérifier la fiche",B603)</f>
        <v>Vérifier la fiche</v>
      </c>
      <c r="AJ26" s="62"/>
    </row>
    <row r="27" spans="1:36" ht="15.75" thickBot="1" x14ac:dyDescent="0.3">
      <c r="A27" s="69" t="s">
        <v>103</v>
      </c>
      <c r="B27" s="95"/>
      <c r="C27" s="95"/>
      <c r="D27" s="106"/>
      <c r="E27" s="105"/>
      <c r="F27" s="101"/>
      <c r="H27" s="81" t="s">
        <v>103</v>
      </c>
      <c r="I27" s="82">
        <f t="shared" ref="I27:L28" si="2">B11+I11+B19+I19+B27</f>
        <v>0</v>
      </c>
      <c r="J27" s="82">
        <f t="shared" si="2"/>
        <v>0</v>
      </c>
      <c r="K27" s="83">
        <f t="shared" si="2"/>
        <v>0</v>
      </c>
      <c r="L27" s="84">
        <f t="shared" si="2"/>
        <v>0</v>
      </c>
      <c r="M27" s="303" t="s">
        <v>177</v>
      </c>
      <c r="N27" s="304"/>
      <c r="O27" s="304"/>
      <c r="Q27" s="10" t="s">
        <v>164</v>
      </c>
      <c r="R27" t="e">
        <f>IF(AND(K8="non",(SUM(B11:B17)&gt;U7)),SUM(B11:B17)-U7,0)</f>
        <v>#N/A</v>
      </c>
      <c r="S27" t="e">
        <f>IF(AND(K8="non",(SUM(I11:I17)&gt;U7)),SUM(I11:I17)-U7,0)</f>
        <v>#N/A</v>
      </c>
      <c r="T27" t="e">
        <f>IF(AND(K8="non",(SUM(B19:B25)&gt;U7)),SUM(B19:B25)-U7,0)</f>
        <v>#N/A</v>
      </c>
      <c r="U27" t="e">
        <f>IF(AND(K8="non",(SUM(I19:I25)&gt;U7)),SUM(I19:I25)-U7,0)</f>
        <v>#N/A</v>
      </c>
      <c r="V27" t="e">
        <f>IF(AND(K8="non",(SUM(B27:B33)&gt;U7)),SUM(B27:B33)-U7,0)</f>
        <v>#N/A</v>
      </c>
      <c r="W27" s="63" t="e">
        <f t="shared" si="1"/>
        <v>#N/A</v>
      </c>
      <c r="AF27" s="107"/>
      <c r="AG27" s="108"/>
      <c r="AH27" s="85">
        <f>B635</f>
        <v>0</v>
      </c>
      <c r="AI27" s="86" t="str">
        <f>IF(ISERROR(B636),"Vérifier la fiche",B636)</f>
        <v>Vérifier la fiche</v>
      </c>
      <c r="AJ27" s="87"/>
    </row>
    <row r="28" spans="1:36" x14ac:dyDescent="0.25">
      <c r="A28" s="69" t="s">
        <v>104</v>
      </c>
      <c r="B28" s="96"/>
      <c r="C28" s="96"/>
      <c r="D28" s="102"/>
      <c r="E28" s="103"/>
      <c r="F28" s="38"/>
      <c r="H28" s="81" t="s">
        <v>104</v>
      </c>
      <c r="I28" s="88">
        <f t="shared" si="2"/>
        <v>0</v>
      </c>
      <c r="J28" s="88">
        <f t="shared" si="2"/>
        <v>0</v>
      </c>
      <c r="K28" s="89">
        <f t="shared" si="2"/>
        <v>0</v>
      </c>
      <c r="L28" s="90">
        <f t="shared" si="2"/>
        <v>0</v>
      </c>
      <c r="M28" s="49"/>
      <c r="P28" t="s">
        <v>167</v>
      </c>
      <c r="Q28" s="10" t="s">
        <v>165</v>
      </c>
      <c r="R28" t="e">
        <f>IF(H9="Cadre",0,SUM(C11:C17))</f>
        <v>#N/A</v>
      </c>
      <c r="S28" t="e">
        <f>IF(H9="Cadre",0,SUM(J11:J17))</f>
        <v>#N/A</v>
      </c>
      <c r="T28" t="e">
        <f>IF(H9="Cadre",0,SUM(C19:C25))</f>
        <v>#N/A</v>
      </c>
      <c r="U28" t="e">
        <f>IF(H9="Cadre",0,SUM(J19:J25))</f>
        <v>#N/A</v>
      </c>
      <c r="V28" t="e">
        <f>IF(H9="Cadre",0,SUM(C27:C33))</f>
        <v>#N/A</v>
      </c>
      <c r="W28" s="63" t="e">
        <f t="shared" si="1"/>
        <v>#N/A</v>
      </c>
    </row>
    <row r="29" spans="1:36" x14ac:dyDescent="0.25">
      <c r="A29" s="69" t="s">
        <v>105</v>
      </c>
      <c r="B29" s="96"/>
      <c r="C29" s="96"/>
      <c r="D29" s="102"/>
      <c r="E29" s="103"/>
      <c r="F29" s="38"/>
      <c r="H29" s="81" t="s">
        <v>105</v>
      </c>
      <c r="I29" s="88">
        <f t="shared" ref="I29:L32" si="3">B13+I13+B21+I21+B29</f>
        <v>0</v>
      </c>
      <c r="J29" s="88">
        <f t="shared" si="3"/>
        <v>0</v>
      </c>
      <c r="K29" s="89">
        <f t="shared" si="3"/>
        <v>0</v>
      </c>
      <c r="L29" s="90">
        <f t="shared" si="3"/>
        <v>0</v>
      </c>
      <c r="M29" s="49"/>
      <c r="P29" t="s">
        <v>168</v>
      </c>
      <c r="Q29" s="10" t="s">
        <v>165</v>
      </c>
      <c r="R29" s="266">
        <f>O8</f>
        <v>0</v>
      </c>
      <c r="S29" s="266">
        <f>O10</f>
        <v>0</v>
      </c>
      <c r="T29" s="266">
        <f>O12</f>
        <v>0</v>
      </c>
      <c r="U29" s="266">
        <f>O14</f>
        <v>0</v>
      </c>
      <c r="V29" s="266">
        <f>O16</f>
        <v>0</v>
      </c>
      <c r="W29" s="63">
        <f t="shared" si="1"/>
        <v>0</v>
      </c>
    </row>
    <row r="30" spans="1:36" x14ac:dyDescent="0.25">
      <c r="A30" s="69" t="s">
        <v>106</v>
      </c>
      <c r="B30" s="96"/>
      <c r="C30" s="96"/>
      <c r="D30" s="102"/>
      <c r="E30" s="103"/>
      <c r="F30" s="38"/>
      <c r="H30" s="81" t="s">
        <v>106</v>
      </c>
      <c r="I30" s="88">
        <f t="shared" si="3"/>
        <v>0</v>
      </c>
      <c r="J30" s="88">
        <f t="shared" si="3"/>
        <v>0</v>
      </c>
      <c r="K30" s="89">
        <f t="shared" si="3"/>
        <v>0</v>
      </c>
      <c r="L30" s="90">
        <f t="shared" si="3"/>
        <v>0</v>
      </c>
      <c r="M30" s="49"/>
      <c r="P30" t="s">
        <v>166</v>
      </c>
      <c r="Q30" s="10" t="s">
        <v>159</v>
      </c>
      <c r="R30" t="e">
        <f>IF(H9="Employé",B17,0)</f>
        <v>#N/A</v>
      </c>
      <c r="S30" t="e">
        <f>IF(H9="Employé",I17,0)</f>
        <v>#N/A</v>
      </c>
      <c r="T30" t="e">
        <f>IF(H9="Employé",B25,0)</f>
        <v>#N/A</v>
      </c>
      <c r="U30" t="e">
        <f>IF(H9="Employé",I25,0)</f>
        <v>#N/A</v>
      </c>
      <c r="V30" t="e">
        <f>IF(H9="Employé",B33,0)</f>
        <v>#N/A</v>
      </c>
      <c r="W30" s="63" t="e">
        <f>SUM(R30:V30)</f>
        <v>#N/A</v>
      </c>
    </row>
    <row r="31" spans="1:36" x14ac:dyDescent="0.25">
      <c r="A31" s="69" t="s">
        <v>107</v>
      </c>
      <c r="B31" s="96"/>
      <c r="C31" s="96"/>
      <c r="D31" s="102"/>
      <c r="E31" s="103"/>
      <c r="F31" s="38"/>
      <c r="H31" s="81" t="s">
        <v>107</v>
      </c>
      <c r="I31" s="88">
        <f t="shared" si="3"/>
        <v>0</v>
      </c>
      <c r="J31" s="88">
        <f t="shared" si="3"/>
        <v>0</v>
      </c>
      <c r="K31" s="89">
        <f t="shared" si="3"/>
        <v>0</v>
      </c>
      <c r="L31" s="90">
        <f t="shared" si="3"/>
        <v>0</v>
      </c>
      <c r="M31" s="303" t="s">
        <v>178</v>
      </c>
      <c r="N31" s="304"/>
      <c r="O31" s="304"/>
      <c r="P31" t="s">
        <v>297</v>
      </c>
      <c r="Q31" s="10" t="s">
        <v>159</v>
      </c>
      <c r="R31" s="266">
        <f>O18</f>
        <v>0</v>
      </c>
      <c r="S31" s="266">
        <f>O20</f>
        <v>0</v>
      </c>
      <c r="T31" s="266">
        <f>O22</f>
        <v>0</v>
      </c>
      <c r="U31" s="266">
        <f>O24</f>
        <v>0</v>
      </c>
      <c r="V31" s="266">
        <f>O26</f>
        <v>0</v>
      </c>
      <c r="W31" s="63">
        <f t="shared" si="1"/>
        <v>0</v>
      </c>
    </row>
    <row r="32" spans="1:36" x14ac:dyDescent="0.25">
      <c r="A32" s="69" t="s">
        <v>108</v>
      </c>
      <c r="B32" s="96"/>
      <c r="C32" s="96"/>
      <c r="D32" s="102"/>
      <c r="E32" s="103"/>
      <c r="F32" s="38"/>
      <c r="H32" s="81" t="s">
        <v>108</v>
      </c>
      <c r="I32" s="88">
        <f t="shared" si="3"/>
        <v>0</v>
      </c>
      <c r="J32" s="88">
        <f t="shared" si="3"/>
        <v>0</v>
      </c>
      <c r="K32" s="89">
        <f t="shared" si="3"/>
        <v>0</v>
      </c>
      <c r="L32" s="90">
        <f t="shared" si="3"/>
        <v>0</v>
      </c>
      <c r="M32" s="49"/>
      <c r="P32" t="s">
        <v>171</v>
      </c>
      <c r="Q32" s="10" t="s">
        <v>172</v>
      </c>
      <c r="R32" s="2"/>
      <c r="S32" s="2"/>
      <c r="T32" s="2"/>
      <c r="U32" s="2"/>
      <c r="V32" s="2"/>
      <c r="W32" s="91" t="e">
        <f>IF(AND(K8="non",H9="Employé"),SUM(I27:I33)+(SUM(W9:W22)-W5),(SUM(I27:I33)-W24)+(SUM(W9:W22)-W5))</f>
        <v>#N/A</v>
      </c>
    </row>
    <row r="33" spans="1:29" ht="15.75" thickBot="1" x14ac:dyDescent="0.3">
      <c r="A33" s="70" t="s">
        <v>109</v>
      </c>
      <c r="B33" s="97"/>
      <c r="C33" s="97"/>
      <c r="D33" s="71"/>
      <c r="E33" s="104"/>
      <c r="F33" s="39"/>
      <c r="H33" s="92" t="s">
        <v>109</v>
      </c>
      <c r="I33" s="93">
        <f>(B17+I17+B25+I25+B33)</f>
        <v>0</v>
      </c>
      <c r="J33" s="93">
        <f>(C17+J17+C25+J25+C33)</f>
        <v>0</v>
      </c>
      <c r="K33" s="71">
        <f>(D17+K17+D25+K25+D33)</f>
        <v>0</v>
      </c>
      <c r="L33" s="94">
        <f>(E17+L17+E25+L25+E33)</f>
        <v>0</v>
      </c>
      <c r="M33" s="49"/>
      <c r="P33" t="s">
        <v>176</v>
      </c>
      <c r="Q33" s="10" t="s">
        <v>172</v>
      </c>
      <c r="R33" s="2"/>
      <c r="S33" s="2"/>
      <c r="T33" s="2"/>
      <c r="U33" s="2"/>
      <c r="V33" s="2"/>
      <c r="W33" s="91" t="e">
        <f>IF(H9="Cadre",((SUM(I27:I33)+SUM(W9:W22)-W11-W12)/2),0)</f>
        <v>#N/A</v>
      </c>
    </row>
    <row r="34" spans="1:29" ht="15" hidden="1" customHeight="1" outlineLevel="1" x14ac:dyDescent="0.25">
      <c r="D34" s="302" t="s">
        <v>298</v>
      </c>
      <c r="E34" s="302"/>
      <c r="F34" s="302"/>
      <c r="G34" s="302"/>
      <c r="H34" s="302"/>
      <c r="I34" s="302"/>
      <c r="J34" s="302"/>
      <c r="K34" s="302"/>
      <c r="L34" s="42" t="s">
        <v>279</v>
      </c>
      <c r="N34" s="43"/>
      <c r="O34" s="43" t="s">
        <v>179</v>
      </c>
      <c r="P34" s="15" t="s">
        <v>157</v>
      </c>
      <c r="AA34" s="15" t="s">
        <v>157</v>
      </c>
    </row>
    <row r="35" spans="1:29" hidden="1" outlineLevel="1" x14ac:dyDescent="0.25">
      <c r="D35" s="302"/>
      <c r="E35" s="302"/>
      <c r="F35" s="302"/>
      <c r="G35" s="302"/>
      <c r="H35" s="302"/>
      <c r="I35" s="302"/>
      <c r="J35" s="302"/>
      <c r="K35" s="302"/>
      <c r="N35" s="43"/>
      <c r="O35" s="43" t="s">
        <v>180</v>
      </c>
      <c r="AC35" t="s">
        <v>201</v>
      </c>
    </row>
    <row r="36" spans="1:29" hidden="1" outlineLevel="1" x14ac:dyDescent="0.25">
      <c r="D36" s="302"/>
      <c r="E36" s="302"/>
      <c r="F36" s="302"/>
      <c r="G36" s="302"/>
      <c r="H36" s="302"/>
      <c r="I36" s="302"/>
      <c r="J36" s="302"/>
      <c r="K36" s="302"/>
      <c r="N36" s="44"/>
      <c r="O36" s="44" t="s">
        <v>181</v>
      </c>
      <c r="AA36" s="15" t="s">
        <v>200</v>
      </c>
      <c r="AC36" s="2" t="str">
        <f>I38</f>
        <v>Juin</v>
      </c>
    </row>
    <row r="37" spans="1:29" hidden="1" outlineLevel="1" x14ac:dyDescent="0.25">
      <c r="A37" s="45" t="s">
        <v>3</v>
      </c>
      <c r="B37" s="46">
        <f>'Synthèse Horaires'!$B$4</f>
        <v>2026</v>
      </c>
      <c r="C37" s="47"/>
      <c r="D37" s="48" t="s">
        <v>1</v>
      </c>
      <c r="E37" s="46">
        <f>'Synthèse Horaires'!$D$4</f>
        <v>0</v>
      </c>
      <c r="F37" s="49"/>
      <c r="G37" s="49"/>
      <c r="H37" s="48" t="s">
        <v>2</v>
      </c>
      <c r="I37" s="47">
        <f>'Synthèse Horaires'!$I$4</f>
        <v>0</v>
      </c>
      <c r="J37" s="50"/>
      <c r="K37" s="50"/>
      <c r="N37" s="44"/>
      <c r="O37" s="44" t="s">
        <v>202</v>
      </c>
      <c r="V37" s="10" t="s">
        <v>174</v>
      </c>
      <c r="W37" s="51" t="e">
        <f>IF(K41="non",SUM(K60:K66)*(35/6),SUM(K60:K66)*(K41/6))</f>
        <v>#N/A</v>
      </c>
      <c r="AB37" t="s">
        <v>6</v>
      </c>
      <c r="AC37" s="14">
        <f>B41</f>
        <v>0</v>
      </c>
    </row>
    <row r="38" spans="1:29" hidden="1" outlineLevel="1" x14ac:dyDescent="0.25">
      <c r="A38" s="45" t="s">
        <v>10</v>
      </c>
      <c r="B38" s="49"/>
      <c r="C38" s="49"/>
      <c r="D38" s="50" t="str">
        <f>'Synthèse Horaires'!$C$6</f>
        <v>01 juin 2026 au 31 mai 2027.</v>
      </c>
      <c r="E38" s="2"/>
      <c r="H38" s="48" t="s">
        <v>205</v>
      </c>
      <c r="I38" s="52" t="str">
        <f>'Synthèse Horaires'!$I$5</f>
        <v>Juin</v>
      </c>
      <c r="N38" s="44"/>
      <c r="O38" s="44" t="s">
        <v>203</v>
      </c>
      <c r="V38" s="10" t="s">
        <v>173</v>
      </c>
      <c r="W38">
        <f>W44+W45</f>
        <v>0</v>
      </c>
      <c r="AB38" t="s">
        <v>57</v>
      </c>
      <c r="AC38" s="14" t="e">
        <f>B42</f>
        <v>#N/A</v>
      </c>
    </row>
    <row r="39" spans="1:29" ht="9.75" hidden="1" customHeight="1" outlineLevel="1" thickBot="1" x14ac:dyDescent="0.3">
      <c r="A39" s="22"/>
      <c r="B39" s="22"/>
      <c r="C39" s="22"/>
      <c r="D39" s="22"/>
      <c r="E39" s="22"/>
      <c r="F39" s="22"/>
      <c r="G39" s="22"/>
      <c r="H39" s="22"/>
      <c r="I39" s="22"/>
      <c r="J39" s="22"/>
      <c r="K39" s="22"/>
      <c r="L39" s="22"/>
      <c r="M39" s="22"/>
      <c r="N39" s="22"/>
      <c r="O39" s="22"/>
      <c r="AB39" t="s">
        <v>211</v>
      </c>
      <c r="AC39" s="14" t="e">
        <f>H42</f>
        <v>#N/A</v>
      </c>
    </row>
    <row r="40" spans="1:29" hidden="1" outlineLevel="1" x14ac:dyDescent="0.25">
      <c r="A40" s="4" t="s">
        <v>58</v>
      </c>
      <c r="B40" s="4"/>
      <c r="C40" s="4"/>
      <c r="D40" s="4"/>
      <c r="E40" s="4"/>
      <c r="F40" s="4"/>
      <c r="G40" s="4"/>
      <c r="H40" s="4"/>
      <c r="O40" s="265" t="str">
        <f>"H. Férié. "&amp;A43</f>
        <v>H. Férié. Semaine 23</v>
      </c>
      <c r="P40" s="53" t="s">
        <v>6</v>
      </c>
      <c r="Q40" s="2">
        <f>B41</f>
        <v>0</v>
      </c>
      <c r="T40" s="10" t="s">
        <v>76</v>
      </c>
      <c r="U40" s="2" t="e">
        <f>VLOOKUP(B41,'Base Matricule Siège'!$B$12:$F$1000,5,FALSE)</f>
        <v>#N/A</v>
      </c>
      <c r="AA40" t="s">
        <v>215</v>
      </c>
      <c r="AB40" t="s">
        <v>207</v>
      </c>
      <c r="AC40" s="14" t="e">
        <f>IF(AC39="Cadre",0,W65)</f>
        <v>#N/A</v>
      </c>
    </row>
    <row r="41" spans="1:29" ht="15.75" hidden="1" outlineLevel="1" thickBot="1" x14ac:dyDescent="0.3">
      <c r="A41" s="49" t="s">
        <v>18</v>
      </c>
      <c r="B41" s="113">
        <v>0</v>
      </c>
      <c r="E41" s="49"/>
      <c r="G41" s="57" t="s">
        <v>317</v>
      </c>
      <c r="H41" s="58" t="e">
        <f>VLOOKUP(B41,'Base Matricule Siège'!$B$13:$H$1000,5,FALSE)</f>
        <v>#N/A</v>
      </c>
      <c r="J41" s="10" t="s">
        <v>161</v>
      </c>
      <c r="K41" s="58" t="e">
        <f>IF((VLOOKUP('MASQUE COLLABORATEUR'!B41,'Base Matricule Siège'!$B$13:$E$1000,4,FALSE)&lt;'Base Matricule Siège'!$G$5),(VLOOKUP('MASQUE COLLABORATEUR'!B41,'Base Matricule Siège'!$B$13:$E$1000,4,FALSE)),"non")</f>
        <v>#N/A</v>
      </c>
      <c r="O41" s="267"/>
      <c r="R41" t="s">
        <v>151</v>
      </c>
      <c r="S41" t="s">
        <v>152</v>
      </c>
      <c r="T41" t="s">
        <v>153</v>
      </c>
      <c r="U41" t="s">
        <v>154</v>
      </c>
      <c r="V41" t="s">
        <v>155</v>
      </c>
      <c r="W41" s="59" t="s">
        <v>156</v>
      </c>
      <c r="AB41" t="s">
        <v>11</v>
      </c>
      <c r="AC41" s="14" t="e">
        <f>W66</f>
        <v>#N/A</v>
      </c>
    </row>
    <row r="42" spans="1:29" ht="15.75" hidden="1" outlineLevel="1" thickBot="1" x14ac:dyDescent="0.3">
      <c r="A42" s="49" t="s">
        <v>59</v>
      </c>
      <c r="B42" s="2" t="e">
        <f>VLOOKUP(B41,'Base Matricule Siège'!$B$13:$C$1000,2,FALSE)</f>
        <v>#N/A</v>
      </c>
      <c r="C42" s="2"/>
      <c r="D42" s="2"/>
      <c r="G42" s="57" t="s">
        <v>158</v>
      </c>
      <c r="H42" s="58" t="e">
        <f>VLOOKUP(B41,'Base Matricule Siège'!$B$13:$G$1000,6,FALSE)</f>
        <v>#N/A</v>
      </c>
      <c r="O42" s="264" t="str">
        <f>"H. Férié. "&amp;H43</f>
        <v>H. Férié. Semaine 24</v>
      </c>
      <c r="P42" s="10" t="s">
        <v>142</v>
      </c>
      <c r="Q42" s="10" t="s">
        <v>149</v>
      </c>
      <c r="R42">
        <f>IF(F44=Q42,E44,0)+IF(F45=Q42,E45,0)+IF(F46=Q42,E46,0)+IF(Q42=F47,E47,0)+IF(F48=Q42,E48,0)+IF(F49=Q42,E49,0)</f>
        <v>0</v>
      </c>
      <c r="S42">
        <f>IF(M44=Q42,L44,0)+IF(M45=Q42,L45,0)+IF(M46=Q42,L46,0)+IF(Q42=M47,L47,0)+IF(M48=Q42,L48,0)+IF(M49=Q42,L49,0)</f>
        <v>0</v>
      </c>
      <c r="T42">
        <f>IF(F52=Q42,E52,0)+IF(F53=Q42,E53,0)+IF(F54=Q42,E54,0)+IF(Q42=F55,E55,0)+IF(F56=Q42,E56,0)+IF(F57=Q42,E57,0)</f>
        <v>0</v>
      </c>
      <c r="U42">
        <f>IF(M52=Q42,L52,0)+IF(M53=Q42,L53,0)+IF(M54=Q42,L54,0)+IF(Q42=M55,L55,0)+IF(M56=Q42,L56,0)+IF(M57=Q42,L57,0)</f>
        <v>0</v>
      </c>
      <c r="V42">
        <f>IF(F60=Q42,E60,0)+IF(F61=Q42,E61,0)+IF(F62=Q42,E62,0)+IF(Q42=F63,E63,0)+IF(F64=Q42,E64,0)+IF(F65=Q42,E65,0)</f>
        <v>0</v>
      </c>
      <c r="W42" s="63">
        <f>SUM(R42:V42)</f>
        <v>0</v>
      </c>
      <c r="AB42" t="s">
        <v>208</v>
      </c>
      <c r="AC42" s="14">
        <f>SUM(K60:K66)</f>
        <v>0</v>
      </c>
    </row>
    <row r="43" spans="1:29" ht="15.75" hidden="1" outlineLevel="1" thickBot="1" x14ac:dyDescent="0.3">
      <c r="A43" s="64" t="str">
        <f>A10</f>
        <v>Semaine 23</v>
      </c>
      <c r="B43" s="65" t="e">
        <f>IF(H42="Cadre","Demi J. Réalisées","H. Réalisées")</f>
        <v>#N/A</v>
      </c>
      <c r="C43" s="65" t="s">
        <v>141</v>
      </c>
      <c r="D43" s="66" t="e">
        <f>IF(H42="Cadre","CP en Demi J.","CP en jours")</f>
        <v>#N/A</v>
      </c>
      <c r="E43" s="66" t="e">
        <f>IF(H42="Cadre","Abs. En Demi J.","Absence en H.")</f>
        <v>#N/A</v>
      </c>
      <c r="F43" s="67" t="s">
        <v>110</v>
      </c>
      <c r="H43" s="64" t="str">
        <f>H10</f>
        <v>Semaine 24</v>
      </c>
      <c r="I43" s="65" t="e">
        <f>B43</f>
        <v>#N/A</v>
      </c>
      <c r="J43" s="65" t="str">
        <f>C43</f>
        <v>Férié</v>
      </c>
      <c r="K43" s="66" t="e">
        <f>D43</f>
        <v>#N/A</v>
      </c>
      <c r="L43" s="66" t="e">
        <f>E43</f>
        <v>#N/A</v>
      </c>
      <c r="M43" s="67" t="str">
        <f>F43</f>
        <v>Type absence</v>
      </c>
      <c r="O43" s="267"/>
      <c r="Q43" s="10" t="s">
        <v>143</v>
      </c>
      <c r="R43">
        <f>IF(F44=Q43,E44,0)+IF(F45=Q43,E45,0)+IF(F46=Q43,E46,0)+IF(Q43=F47,E47,0)+IF(F49=Q43,E48,0)+IF(F48=Q43,E49,0)</f>
        <v>0</v>
      </c>
      <c r="S43">
        <f>IF(M45=Q43,L45,0)+IF(M46=Q43,L46,0)+IF(M47=Q43,L47,0)+IF(Q43=M48,L48,0)+IF(M49=Q43,L49,0)+IF(M44=Q43,L44,0)</f>
        <v>0</v>
      </c>
      <c r="T43">
        <f>IF(F52=Q43,E52,0)+IF(F53=Q43,E53,0)+IF(F54=Q43,E54,0)+IF(Q43=F55,E55,0)+IF(F56=Q43,E56,0)+IF(F57=Q43,E57,0)</f>
        <v>0</v>
      </c>
      <c r="U43">
        <f>IF(M52=Q43,L52,0)+IF(M53=Q43,L53,0)+IF(M54=Q43,L54,0)+IF(Q43=M55,L55,0)+IF(M56=Q43,L56,0)+IF(M57=Q43,L57,0)</f>
        <v>0</v>
      </c>
      <c r="V43">
        <f>IF(F60=Q43,E60,0)+IF(F61=Q43,E61,0)+IF(F62=Q43,E62,0)+IF(Q43=F63,E63,0)+IF(F64=Q43,E64,0)+IF(F65=Q43,E65,0)</f>
        <v>0</v>
      </c>
      <c r="W43" s="63">
        <f t="shared" ref="W43:W55" si="4">SUM(R43:V43)</f>
        <v>0</v>
      </c>
      <c r="AB43" t="s">
        <v>8</v>
      </c>
      <c r="AC43" s="14"/>
    </row>
    <row r="44" spans="1:29" hidden="1" outlineLevel="1" x14ac:dyDescent="0.25">
      <c r="A44" s="68" t="s">
        <v>103</v>
      </c>
      <c r="B44" s="98"/>
      <c r="C44" s="98"/>
      <c r="D44" s="99"/>
      <c r="E44" s="100"/>
      <c r="F44" s="101"/>
      <c r="H44" s="69" t="s">
        <v>103</v>
      </c>
      <c r="I44" s="95"/>
      <c r="J44" s="95"/>
      <c r="K44" s="106"/>
      <c r="L44" s="105"/>
      <c r="M44" s="101"/>
      <c r="O44" s="264" t="str">
        <f>"H. Férié. "&amp;A51</f>
        <v>H. Férié. Ne pas saisir</v>
      </c>
      <c r="Q44" s="10" t="s">
        <v>144</v>
      </c>
      <c r="R44">
        <f>IF(F46=Q44,E46,0)+IF(F47=Q44,E47,0)+IF(F48=Q44,E48,0)+IF(Q44=F49,E49,0)+IF(F44=Q44,E44,0)+IF(F45=Q44,E45,0)</f>
        <v>0</v>
      </c>
      <c r="S44">
        <f>IF(M46=Q44,L46,0)+IF(M47=Q44,L47,0)+IF(M48=Q44,L48,0)+IF(Q44=M49,L49,0)+IF(M44=Q44,L44,0)+IF(M45=Q44,L45,0)</f>
        <v>0</v>
      </c>
      <c r="T44">
        <f>IF(F52=Q44,E52,0)+IF(F53=Q44,E53,0)+IF(F54=Q44,E54,0)+IF(Q44=F55,E55,0)+IF(F56=Q44,E56,0)+IF(F57=Q44,E57,0)</f>
        <v>0</v>
      </c>
      <c r="U44">
        <f>IF(M52=Q44,L52,0)+IF(M53=Q44,L53,0)+IF(M54=Q44,L54,0)+IF(Q44=M55,L55,0)+IF(M56=Q44,L56,0)+IF(M57=Q44,L57,0)</f>
        <v>0</v>
      </c>
      <c r="V44">
        <f>IF(F60=Q44,E60,0)+IF(F61=Q44,E61,0)+IF(F62=Q44,E62,0)+IF(Q44=F63,E63,0)+IF(F64=Q44,E64,0)+IF(F65=Q44,E65,0)</f>
        <v>0</v>
      </c>
      <c r="W44" s="63">
        <f t="shared" si="4"/>
        <v>0</v>
      </c>
      <c r="AB44" t="s">
        <v>209</v>
      </c>
      <c r="AC44" s="14">
        <f>W44</f>
        <v>0</v>
      </c>
    </row>
    <row r="45" spans="1:29" ht="15.75" hidden="1" outlineLevel="1" thickBot="1" x14ac:dyDescent="0.3">
      <c r="A45" s="69" t="s">
        <v>104</v>
      </c>
      <c r="B45" s="96"/>
      <c r="C45" s="96"/>
      <c r="D45" s="102"/>
      <c r="E45" s="103"/>
      <c r="F45" s="38"/>
      <c r="H45" s="69" t="s">
        <v>104</v>
      </c>
      <c r="I45" s="96"/>
      <c r="J45" s="96"/>
      <c r="K45" s="102"/>
      <c r="L45" s="103"/>
      <c r="M45" s="38"/>
      <c r="O45" s="267"/>
      <c r="Q45" s="10" t="s">
        <v>145</v>
      </c>
      <c r="R45">
        <f>IF(F47=Q45,E47,0)+IF(F48=Q45,E48,0)+IF(F49=Q45,E49,0)+IF(Q45=F44,E44,0)+IF(F45=Q45,E45,0)+IF(F46=Q45,E46,0)</f>
        <v>0</v>
      </c>
      <c r="S45">
        <f>IF(M47=Q45,L47,0)+IF(M48=Q45,L48,0)+IF(M49=Q45,L49,0)+IF(Q45=M44,L44,0)+IF(M45=Q45,L45,0)+IF(M46=Q45,L46,0)</f>
        <v>0</v>
      </c>
      <c r="T45">
        <f>IF(F52=Q45,$E52,0)+IF(F53=Q45,E53,0)+IF(F54=Q45,E54,0)+IF(Q45=F55,E55,0)+IF(F56=Q45,E56,0)+IF(F57=Q45,E57,0)</f>
        <v>0</v>
      </c>
      <c r="U45">
        <f>IF(M52=Q45,L52,0)+IF(M53=Q45,L53,0)+IF(M54=Q45,L54,0)+IF(Q45=M55,L55,0)+IF(M56=Q45,L56,0)+IF(M57=Q45,L57,0)</f>
        <v>0</v>
      </c>
      <c r="V45">
        <f>IF(F60=Q45,E60,0)+IF(F61=Q45,E61,0)+IF(F62=Q45,E62,0)+IF(Q45=F63,E63,0)+IF(F64=Q45,E64,0)+IF(F65=Q45,E65,0)</f>
        <v>0</v>
      </c>
      <c r="W45" s="63">
        <f t="shared" si="4"/>
        <v>0</v>
      </c>
      <c r="AB45" t="s">
        <v>210</v>
      </c>
      <c r="AC45" s="14">
        <f>SUM(W42:W55)-W44</f>
        <v>0</v>
      </c>
    </row>
    <row r="46" spans="1:29" hidden="1" outlineLevel="1" x14ac:dyDescent="0.25">
      <c r="A46" s="69" t="s">
        <v>105</v>
      </c>
      <c r="B46" s="96"/>
      <c r="C46" s="96"/>
      <c r="D46" s="102"/>
      <c r="E46" s="103"/>
      <c r="F46" s="38"/>
      <c r="H46" s="69" t="s">
        <v>105</v>
      </c>
      <c r="I46" s="96"/>
      <c r="J46" s="96"/>
      <c r="K46" s="102"/>
      <c r="L46" s="103"/>
      <c r="M46" s="38"/>
      <c r="O46" s="264" t="str">
        <f>"H. Férié. "&amp;H51</f>
        <v>H. Férié. Ne pas saisir</v>
      </c>
      <c r="Q46" s="10" t="s">
        <v>212</v>
      </c>
      <c r="R46">
        <f>IF(F48=Q46,E48,0)+IF(F49=Q46,E49,0)+IF(F44=Q46,E44,0)+IF(Q46=F45,E45,0)+IF(F46=Q46,E46,0)+IF(F47=Q46,E47,0)</f>
        <v>0</v>
      </c>
      <c r="S46">
        <f>IF(M47=Q46,L47,0)+IF(M48=Q46,L48,0)+IF(M49=Q46,L49,0)+IF(Q46=M44,L44,0)+IF(M45=Q46,L45,0)+IF(M46=Q46,L46,0)</f>
        <v>0</v>
      </c>
      <c r="T46">
        <f>IF(F52=Q46,E52,0)+IF(F53=Q46,E53,0)+IF(F54=Q46,E54,0)+IF(Q46=F55,E55,0)+IF(F56=Q46,E56,0)+IF(F57=Q46,E57,0)</f>
        <v>0</v>
      </c>
      <c r="U46">
        <f>IF(M52=Q46,L52,0)+IF(M53=Q46,L53,0)+IF(M54=Q46,L54,0)+IF(Q46=M55,L55,0)+IF(M56=Q46,L56,0)+IF(M57=Q46,L57,0)</f>
        <v>0</v>
      </c>
      <c r="V46">
        <f>IF(F60=Q46,E60,0)+IF(F61=Q46,E61,0)+IF(F62=Q46,E62,0)+IF(Q46=F63,E63,0)+IF(F64=Q46,E64,0)+IF(F65=Q46,E65,0)</f>
        <v>0</v>
      </c>
      <c r="W46" s="63">
        <f t="shared" si="4"/>
        <v>0</v>
      </c>
      <c r="AA46" t="s">
        <v>214</v>
      </c>
      <c r="AB46" t="s">
        <v>213</v>
      </c>
      <c r="AC46" s="14" t="e">
        <f>IF(AC39="Cadre",(W46/2),(W46))</f>
        <v>#N/A</v>
      </c>
    </row>
    <row r="47" spans="1:29" ht="15.75" hidden="1" outlineLevel="1" thickBot="1" x14ac:dyDescent="0.3">
      <c r="A47" s="69" t="s">
        <v>106</v>
      </c>
      <c r="B47" s="96"/>
      <c r="C47" s="96"/>
      <c r="D47" s="102"/>
      <c r="E47" s="103"/>
      <c r="F47" s="38"/>
      <c r="H47" s="69" t="s">
        <v>106</v>
      </c>
      <c r="I47" s="96"/>
      <c r="J47" s="96"/>
      <c r="K47" s="102"/>
      <c r="L47" s="103"/>
      <c r="M47" s="38"/>
      <c r="O47" s="267"/>
      <c r="Q47" s="10" t="s">
        <v>146</v>
      </c>
      <c r="R47">
        <f>IF(F49=Q47,E49,0)+IF(F44=Q47,E44,0)+IF(F45=Q47,E45,0)+IF(Q47=F46,E46,0)+IF(F47=Q47,E47,0)+IF(F48=Q47,E48,0)</f>
        <v>0</v>
      </c>
      <c r="S47">
        <f>IF(M47=Q47,L47,0)+IF(M48=Q47,L48,0)+IF(M49=Q47,L49,0)+IF(Q47=M44,$L$11,0)+IF(M45=Q47,L45,0)+IF(M46=Q47,L46,0)</f>
        <v>0</v>
      </c>
      <c r="T47">
        <f>IF(F52=Q47,E52,0)+IF(F53=Q47,E53,0)+IF(F54=Q47,E54,0)+IF(Q47=F55,E55,0)+IF(F56=Q47,E56,0)+IF(F57=Q47,E57,0)</f>
        <v>0</v>
      </c>
      <c r="U47">
        <f>IF(M52=Q47,L52,0)+IF(M53=Q47,L53,0)+IF(M54=Q47,L54,0)+IF(Q47=M55,L55,0)+IF(M56=Q47,L56,0)+IF(M57=Q47,L57,0)</f>
        <v>0</v>
      </c>
      <c r="V47">
        <f>IF(F60=Q47,E60,0)+IF(F61=Q47,E61,0)+IF(F62=Q47,E62,0)+IF(Q47=F63,E63,0)+IF(F64=Q47,E64,0)+IF(F65=Q47,E65,0)</f>
        <v>0</v>
      </c>
      <c r="W47" s="63">
        <f t="shared" si="4"/>
        <v>0</v>
      </c>
      <c r="AA47" t="s">
        <v>216</v>
      </c>
      <c r="AB47" t="s">
        <v>217</v>
      </c>
      <c r="AC47" s="14" t="e">
        <f>W59+W60</f>
        <v>#N/A</v>
      </c>
    </row>
    <row r="48" spans="1:29" hidden="1" outlineLevel="1" x14ac:dyDescent="0.25">
      <c r="A48" s="69" t="s">
        <v>107</v>
      </c>
      <c r="B48" s="96"/>
      <c r="C48" s="96"/>
      <c r="D48" s="102"/>
      <c r="E48" s="103"/>
      <c r="F48" s="38"/>
      <c r="H48" s="69" t="s">
        <v>107</v>
      </c>
      <c r="I48" s="96"/>
      <c r="J48" s="96"/>
      <c r="K48" s="102"/>
      <c r="L48" s="103"/>
      <c r="M48" s="38"/>
      <c r="O48" s="264" t="str">
        <f>"H. Férié. "&amp;A59</f>
        <v>H. Férié. Ne pas saisir</v>
      </c>
      <c r="Q48" s="10" t="s">
        <v>499</v>
      </c>
      <c r="R48">
        <f>IF(F44=Q48,E44,0)+IF(F45=Q48,E45,0)+IF(F46=Q48,E46,0)+IF(Q48=F47,E47,0)+IF(F48=Q48,E48,0)+IF(F49=Q48,E49,0)</f>
        <v>0</v>
      </c>
      <c r="S48">
        <f>IF(M47=Q48,L47,0)+IF(M48=Q48,L48,0)+IF(M49=Q48,L49,0)+IF(Q48=M44,L44,0)+IF(M45=Q48,L45,0)+IF(M46=Q48,L46,0)</f>
        <v>0</v>
      </c>
      <c r="T48">
        <f>IF(F52=Q48,E52,0)+IF(F53=Q48,E53,0)+IF(F54=Q48,E54,0)+IF(Q48=F55,E55,0)+IF(F56=Q48,E56,0)+IF(F57=Q48,E57,0)</f>
        <v>0</v>
      </c>
      <c r="U48">
        <f>IF(M52=Q48,L52,0)+IF(M53=Q48,L53,0)+IF(M54=Q48,L54,0)+IF(Q48=M55,L55,0)+IF(M56=Q48,L56,0)+IF(M57=Q48,L57,0)</f>
        <v>0</v>
      </c>
      <c r="V48">
        <f>IF(F60=Q48,E60,0)+IF(F61=Q48,E61,0)+IF(F62=Q48,E62,0)+IF(Q48=F63,E63,0)+IF(F64=Q48,E64,0)+IF(F65=Q48,E65,0)</f>
        <v>0</v>
      </c>
      <c r="W48" s="63">
        <f t="shared" si="4"/>
        <v>0</v>
      </c>
      <c r="AA48" t="s">
        <v>218</v>
      </c>
      <c r="AB48" t="s">
        <v>219</v>
      </c>
      <c r="AC48" s="14">
        <f>W58</f>
        <v>0</v>
      </c>
    </row>
    <row r="49" spans="1:29" ht="15.75" hidden="1" outlineLevel="1" thickBot="1" x14ac:dyDescent="0.3">
      <c r="A49" s="69" t="s">
        <v>108</v>
      </c>
      <c r="B49" s="96"/>
      <c r="C49" s="96"/>
      <c r="D49" s="102"/>
      <c r="E49" s="103"/>
      <c r="F49" s="38"/>
      <c r="H49" s="69" t="s">
        <v>108</v>
      </c>
      <c r="I49" s="96"/>
      <c r="J49" s="96"/>
      <c r="K49" s="102"/>
      <c r="L49" s="103"/>
      <c r="M49" s="38"/>
      <c r="O49" s="267"/>
      <c r="Q49" s="10" t="s">
        <v>147</v>
      </c>
      <c r="R49">
        <f>IF(F45=Q49,E45,0)+IF(F46=Q49,E46,0)+IF(F47=Q49,E47,0)+IF(Q49=F48,E48,0)+IF(F49=Q49,E49,0)+IF(F44=Q49,E44,0)</f>
        <v>0</v>
      </c>
      <c r="S49">
        <f>IF(M47=Q49,L47,0)+IF(M48=Q49,L48,0)+IF(M49=Q49,L49,0)+IF(Q49=M44,L44,0)+IF(M45=Q49,L45,0)+IF(M46=Q49,L46,0)</f>
        <v>0</v>
      </c>
      <c r="T49">
        <f>IF(F52=Q49,E52,0)+IF(F53=Q49,E53,0)+IF(F54=Q49,E54,0)+IF(Q49=F55,E55,0)+IF(F56=Q49,E56,0)+IF(F57=Q49,E57,0)</f>
        <v>0</v>
      </c>
      <c r="U49">
        <f>IF(M52=Q49,L52,0)+IF(M53=Q49,L53,0)+IF(M54=Q49,L54,0)+IF(Q49=M55,L55,0)+IF(M56=Q49,L56,0)+IF(M57=Q49,L57,0)</f>
        <v>0</v>
      </c>
      <c r="V49">
        <f>IF(F60=Q49,E60,0)+IF(F61=Q49,E61,0)+IF(F62=Q49,E62,0)+IF(Q49=F63,E63,0)+IF(F64=Q49,E64,0)+IF(F65=Q49,E65,0)</f>
        <v>0</v>
      </c>
      <c r="W49" s="63">
        <f t="shared" si="4"/>
        <v>0</v>
      </c>
      <c r="AA49" t="s">
        <v>166</v>
      </c>
      <c r="AB49" t="s">
        <v>220</v>
      </c>
      <c r="AC49" s="14" t="e">
        <f>W63</f>
        <v>#N/A</v>
      </c>
    </row>
    <row r="50" spans="1:29" ht="15.75" hidden="1" outlineLevel="1" thickBot="1" x14ac:dyDescent="0.3">
      <c r="A50" s="70" t="s">
        <v>109</v>
      </c>
      <c r="B50" s="97"/>
      <c r="C50" s="97"/>
      <c r="D50" s="71"/>
      <c r="E50" s="104"/>
      <c r="F50" s="38"/>
      <c r="H50" s="70" t="s">
        <v>109</v>
      </c>
      <c r="I50" s="97"/>
      <c r="J50" s="97"/>
      <c r="K50" s="71"/>
      <c r="L50" s="104"/>
      <c r="M50" s="38"/>
      <c r="O50" s="264" t="str">
        <f>"H. Dim. "&amp;A43</f>
        <v>H. Dim. Semaine 23</v>
      </c>
      <c r="Q50" s="10" t="s">
        <v>500</v>
      </c>
      <c r="R50">
        <f>IF(F46=Q50,E46,0)+IF(F47=Q50,E47,0)+IF(F48=Q50,E48,0)+IF(Q50=F49,E49,0)+IF(F44=Q50,E44,0)+IF(F45=Q50,E45,0)</f>
        <v>0</v>
      </c>
      <c r="S50">
        <f>IF(M47=Q50,L47,0)+IF(M48=Q50,L48,0)+IF(M49=Q50,L49,0)+IF(Q50=M44,L44,0)+IF(M45=Q50,L45,0)+IF(M46=Q50,L46,0)</f>
        <v>0</v>
      </c>
      <c r="T50">
        <f>IF(F52=Q50,E52,0)+IF(F53=Q50,E53,0)+IF(F54=Q50,E54,0)+IF(Q50=F55,E55,0)+IF(F56=Q50,E56,0)+IF(F57=Q50,E57,0)</f>
        <v>0</v>
      </c>
      <c r="U50">
        <f>IF(M52=Q50,L52,0)+IF(M53=Q50,L53,0)+IF(M54=Q50,L54,0)+IF(Q50=M55,L55,0)+IF(M56=Q50,L56,0)+IF(M57=Q50,L57,0)</f>
        <v>0</v>
      </c>
      <c r="V50">
        <f>IF(F60=Q50,E60,0)+IF(F61=Q50,E61,0)+IF(F62=Q50,E62,0)+IF(Q50=F63,E63,0)+IF(F64=Q50,E64,0)+IF(F65=Q50,E65,0)</f>
        <v>0</v>
      </c>
      <c r="W50" s="63">
        <f t="shared" si="4"/>
        <v>0</v>
      </c>
      <c r="AA50" t="s">
        <v>222</v>
      </c>
      <c r="AB50" t="s">
        <v>220</v>
      </c>
      <c r="AC50" s="14">
        <f>W64</f>
        <v>0</v>
      </c>
    </row>
    <row r="51" spans="1:29" ht="15.75" hidden="1" outlineLevel="1" thickBot="1" x14ac:dyDescent="0.3">
      <c r="A51" s="64" t="str">
        <f>A18</f>
        <v>Ne pas saisir</v>
      </c>
      <c r="B51" s="65" t="e">
        <f>B43</f>
        <v>#N/A</v>
      </c>
      <c r="C51" s="65" t="str">
        <f>C43</f>
        <v>Férié</v>
      </c>
      <c r="D51" s="66" t="e">
        <f>D43</f>
        <v>#N/A</v>
      </c>
      <c r="E51" s="66" t="e">
        <f>E43</f>
        <v>#N/A</v>
      </c>
      <c r="F51" s="67" t="str">
        <f>F43</f>
        <v>Type absence</v>
      </c>
      <c r="H51" s="64" t="str">
        <f>H18</f>
        <v>Ne pas saisir</v>
      </c>
      <c r="I51" s="65" t="e">
        <f>B43</f>
        <v>#N/A</v>
      </c>
      <c r="J51" s="65" t="str">
        <f>C43</f>
        <v>Férié</v>
      </c>
      <c r="K51" s="66" t="e">
        <f>D43</f>
        <v>#N/A</v>
      </c>
      <c r="L51" s="66" t="e">
        <f>E43</f>
        <v>#N/A</v>
      </c>
      <c r="M51" s="67" t="str">
        <f>F43</f>
        <v>Type absence</v>
      </c>
      <c r="O51" s="267"/>
      <c r="Q51" s="10" t="s">
        <v>148</v>
      </c>
      <c r="R51">
        <f>IF(F47=Q51,E47,0)+IF(F48=Q51,E48,0)+IF(F49=Q51,E49,0)+IF(Q51=F44,E44,0)+IF(F45=Q51,E45,0)+IF(F46=Q51,E46,0)</f>
        <v>0</v>
      </c>
      <c r="S51">
        <f>IF(M47=Q51,L47,0)+IF(M48=Q51,L48,0)+IF(M49=Q51,L49,0)+IF(Q51=M44,L44,0)+IF(M45=Q51,L45,0)+IF(M46=Q51,L46,0)</f>
        <v>0</v>
      </c>
      <c r="T51">
        <f>IF(F52=Q51,E52,0)+IF(F53=Q51,E53,0)+IF(F54=Q51,E54,0)+IF(Q51=F55,E55,0)+IF(F56=Q51,E56,0)+IF(F57=Q51,E57,0)</f>
        <v>0</v>
      </c>
      <c r="U51">
        <f>IF(M52=Q51,L52,0)+IF(M53=Q51,L53,0)+IF(M54=Q51,L54,0)+IF(Q51=M55,L55,0)+IF(M56=Q51,L56,0)+IF(M57=Q51,L57,0)</f>
        <v>0</v>
      </c>
      <c r="V51">
        <f>IF(F60=Q51,E60,0)+IF(F61=Q51,E61,0)+IF(F62=Q51,E62,0)+IF(Q51=F63,E63,0)+IF(F64=Q51,E64,0)+IF(F65=Q51,E65,0)</f>
        <v>0</v>
      </c>
      <c r="W51" s="63">
        <f t="shared" si="4"/>
        <v>0</v>
      </c>
      <c r="AA51" t="s">
        <v>223</v>
      </c>
      <c r="AB51" t="s">
        <v>224</v>
      </c>
      <c r="AC51" s="14">
        <f>W62</f>
        <v>0</v>
      </c>
    </row>
    <row r="52" spans="1:29" hidden="1" outlineLevel="1" x14ac:dyDescent="0.25">
      <c r="A52" s="69" t="s">
        <v>103</v>
      </c>
      <c r="B52" s="95"/>
      <c r="C52" s="95"/>
      <c r="D52" s="106"/>
      <c r="E52" s="105"/>
      <c r="F52" s="101"/>
      <c r="H52" s="69" t="s">
        <v>103</v>
      </c>
      <c r="I52" s="95"/>
      <c r="J52" s="95"/>
      <c r="K52" s="106"/>
      <c r="L52" s="105"/>
      <c r="M52" s="101"/>
      <c r="O52" s="264" t="str">
        <f>"H. Dim. "&amp;H43</f>
        <v>H. Dim. Semaine 24</v>
      </c>
      <c r="Q52" s="10" t="s">
        <v>150</v>
      </c>
      <c r="R52">
        <f>IF(F48=Q52,E48,0)+IF(F49=Q52,E49,0)+IF(F44=Q52,E44,0)+IF(Q52=F45,E45,0)+IF(F46=Q52,E46,0)+IF(F47=Q52,E47,0)</f>
        <v>0</v>
      </c>
      <c r="S52">
        <f>IF(M47=Q52,L47,0)+IF(M48=Q52,L48,0)+IF(M49=Q52,L49,0)+IF(Q52=M44,L44,0)+IF(M45=Q52,L45,0)+IF(M46=Q52,L46,0)</f>
        <v>0</v>
      </c>
      <c r="T52">
        <f>IF(F52=Q52,E52,0)+IF(F53=Q52,E53,0)+IF(F54=Q52,E54,0)+IF(Q52=F55,E55,0)+IF(F56=Q52,E56,0)+IF(F57=Q52,E57,0)</f>
        <v>0</v>
      </c>
      <c r="U52">
        <f>IF(M52=Q52,L52,0)+IF(M53=Q52,L53,0)+IF(M54=Q52,L54,0)+IF(Q52=M55,L55,0)+IF(M56=Q52,L56,0)+IF(M57=Q52,L57,0)</f>
        <v>0</v>
      </c>
      <c r="V52">
        <f>IF(F60=Q52,E60,0)+IF(F61=Q52,E61,0)+IF(F62=Q52,E62,0)+IF(Q52=F63,E63,0)+IF(F64=Q52,E64,0)+IF(F65=Q52,E65,0)</f>
        <v>0</v>
      </c>
      <c r="W52" s="63">
        <f t="shared" si="4"/>
        <v>0</v>
      </c>
      <c r="AB52" t="s">
        <v>267</v>
      </c>
      <c r="AC52">
        <f>(SUM(B44:B50))</f>
        <v>0</v>
      </c>
    </row>
    <row r="53" spans="1:29" ht="15.75" hidden="1" outlineLevel="1" thickBot="1" x14ac:dyDescent="0.3">
      <c r="A53" s="69" t="s">
        <v>104</v>
      </c>
      <c r="B53" s="96"/>
      <c r="C53" s="96"/>
      <c r="D53" s="102"/>
      <c r="E53" s="103"/>
      <c r="F53" s="38"/>
      <c r="H53" s="69" t="s">
        <v>104</v>
      </c>
      <c r="I53" s="96"/>
      <c r="J53" s="96"/>
      <c r="K53" s="102"/>
      <c r="L53" s="103"/>
      <c r="M53" s="38"/>
      <c r="O53" s="267"/>
      <c r="Q53" s="10" t="s">
        <v>502</v>
      </c>
      <c r="R53">
        <f>IF(F49=Q53,E49,0)+IF(F44=Q53,E44,0)+IF(F45=Q53,E45,0)+IF(Q53=F46,E46,0)+IF(F47=Q53,E47,0)+IF(F48=Q53,E48,0)</f>
        <v>0</v>
      </c>
      <c r="S53">
        <f>IF(M47=Q53,L47,0)+IF(M48=Q53,L48,0)+IF(M49=Q53,L49,0)+IF(Q53=M44,L44,0)+IF(M45=Q53,L45,0)+IF(M46=Q53,L46,0)</f>
        <v>0</v>
      </c>
      <c r="T53">
        <f>IF(F52=Q53,E52,0)+IF(F53=Q53,E53,0)+IF(F54=Q53,E54,0)+IF(Q53=F55,E55,0)+IF(F56=Q53,E56,0)+IF(F57=Q53,E57,0)</f>
        <v>0</v>
      </c>
      <c r="U53">
        <f>IF(M52=Q53,L52,0)+IF(M53=Q53,L53,0)+IF(M54=Q53,L54,0)+IF(Q53=M55,L55,0)+IF(M56=Q53,L56,0)+IF(M57=Q53,L57,0)</f>
        <v>0</v>
      </c>
      <c r="V53">
        <f>IF(F60=Q53,E60,0)+IF(F61=Q53,E61,0)+IF(F62=Q53,E62,0)+IF(Q53=F63,E63,0)+IF(F64=Q53,E64,0)+IF(F65=Q53,E65,0)</f>
        <v>0</v>
      </c>
      <c r="W53" s="63">
        <f t="shared" si="4"/>
        <v>0</v>
      </c>
      <c r="AB53" t="s">
        <v>268</v>
      </c>
      <c r="AC53">
        <f>(SUM(I44:I50))</f>
        <v>0</v>
      </c>
    </row>
    <row r="54" spans="1:29" hidden="1" outlineLevel="1" x14ac:dyDescent="0.25">
      <c r="A54" s="69" t="s">
        <v>105</v>
      </c>
      <c r="B54" s="96"/>
      <c r="C54" s="96"/>
      <c r="D54" s="102"/>
      <c r="E54" s="103"/>
      <c r="F54" s="38"/>
      <c r="H54" s="69" t="s">
        <v>105</v>
      </c>
      <c r="I54" s="96"/>
      <c r="J54" s="96"/>
      <c r="K54" s="102"/>
      <c r="L54" s="103"/>
      <c r="M54" s="38"/>
      <c r="O54" s="264" t="str">
        <f>"H. Dim. "&amp;A51</f>
        <v>H. Dim. Ne pas saisir</v>
      </c>
      <c r="Q54" s="10" t="s">
        <v>498</v>
      </c>
      <c r="R54">
        <f>IF(F44=Q54,E44,0)+IF(F45=Q54,E45,0)+IF(F46=Q54,E46,0)+IF(Q54=F47,E47,0)+IF(F48=Q54,E48,0)+IF(F49=Q54,E49,0)</f>
        <v>0</v>
      </c>
      <c r="S54">
        <f>IF(M47=Q54,L47,0)+IF(M48=Q54,L48,0)+IF(M49=Q54,L49,0)+IF(Q54=M44,L44,0)+IF(M45=Q54,L45,0)+IF(M46=Q54,L46,0)</f>
        <v>0</v>
      </c>
      <c r="T54">
        <f>IF(F52=Q54,E52,0)+IF(F53=Q54,E53,0)+IF(F54=Q54,E54,0)+IF(Q54=F55,E55,0)+IF(F56=Q54,E56,0)+IF(F57=Q54,E57,0)</f>
        <v>0</v>
      </c>
      <c r="U54">
        <f>IF(M52=Q54,L52,0)+IF(M53=Q54,L53,0)+IF(M54=Q54,L54,0)+IF(Q54=M55,L55,0)+IF(M56=Q54,L56,0)+IF(M57=Q54,L57,0)</f>
        <v>0</v>
      </c>
      <c r="V54">
        <f>IF(F60=Q54,E60,0)+IF(F61=Q54,E61,0)+IF(F62=Q54,E62,0)+IF(Q54=F63,E63,0)+IF(F64=Q54,E64,0)+IF(F65=Q54,E65,0)</f>
        <v>0</v>
      </c>
      <c r="W54" s="63">
        <f t="shared" si="4"/>
        <v>0</v>
      </c>
      <c r="AB54" t="s">
        <v>269</v>
      </c>
      <c r="AC54">
        <f>(SUM(B52:B58))</f>
        <v>0</v>
      </c>
    </row>
    <row r="55" spans="1:29" ht="15.75" hidden="1" outlineLevel="1" thickBot="1" x14ac:dyDescent="0.3">
      <c r="A55" s="69" t="s">
        <v>106</v>
      </c>
      <c r="B55" s="96"/>
      <c r="C55" s="96"/>
      <c r="D55" s="102"/>
      <c r="E55" s="103"/>
      <c r="F55" s="38"/>
      <c r="H55" s="69" t="s">
        <v>106</v>
      </c>
      <c r="I55" s="96"/>
      <c r="J55" s="96"/>
      <c r="K55" s="102"/>
      <c r="L55" s="103"/>
      <c r="M55" s="38"/>
      <c r="O55" s="267"/>
      <c r="P55" s="72"/>
      <c r="Q55" s="73" t="s">
        <v>501</v>
      </c>
      <c r="R55" s="72">
        <f>IF(F45=Q55,E45,0)+IF(F46=Q55,E46,0)+IF(F47=Q55,E47,0)+IF(Q55=F48,E48,0)+IF(F49=Q55,E49,0)+IF(F44=Q55,E44,0)</f>
        <v>0</v>
      </c>
      <c r="S55" s="72">
        <f>IF(M47=Q55,L47,0)+IF(M48=Q55,L48,0)+IF(M49=Q55,L49,0)+IF(Q55=M44,L44,0)+IF(M45=Q55,L45,0)+IF(M46=Q55,L46,0)</f>
        <v>0</v>
      </c>
      <c r="T55" s="72">
        <f>IF(F52=Q55,E52,0)+IF(F53=Q55,E53,0)+IF(F54=Q55,E54,0)+IF(Q55=F55,E55,0)+IF(F56=Q55,E56,0)+IF(F57=Q55,E57,0)</f>
        <v>0</v>
      </c>
      <c r="U55" s="72">
        <f>IF(M52=Q55,L52,0)+IF(M53=Q55,L53,0)+IF(M54=Q55,L54,0)+IF(Q55=M55,L55,0)+IF(M56=Q55,L56,0)+IF(M57=Q55,L57,0)</f>
        <v>0</v>
      </c>
      <c r="V55" s="72">
        <f>IF(F60=Q55,E60,0)+IF(F61=Q55,E61,0)+IF(F62=Q55,E62,0)+IF(Q55=F63,E63,0)+IF(F64=Q55,E64,0)+IF(F65=Q55,E65,0)</f>
        <v>0</v>
      </c>
      <c r="W55" s="74">
        <f t="shared" si="4"/>
        <v>0</v>
      </c>
      <c r="AB55" t="s">
        <v>270</v>
      </c>
      <c r="AC55">
        <f>(SUM(I52:I58))</f>
        <v>0</v>
      </c>
    </row>
    <row r="56" spans="1:29" hidden="1" outlineLevel="1" x14ac:dyDescent="0.25">
      <c r="A56" s="69" t="s">
        <v>107</v>
      </c>
      <c r="B56" s="96"/>
      <c r="C56" s="96"/>
      <c r="D56" s="102"/>
      <c r="E56" s="103"/>
      <c r="F56" s="38"/>
      <c r="H56" s="69" t="s">
        <v>107</v>
      </c>
      <c r="I56" s="96"/>
      <c r="J56" s="96"/>
      <c r="K56" s="102"/>
      <c r="L56" s="103"/>
      <c r="M56" s="38"/>
      <c r="O56" s="264" t="str">
        <f>"H. Dim. "&amp;H51</f>
        <v>H. Dim. Ne pas saisir</v>
      </c>
      <c r="Q56" s="75" t="s">
        <v>169</v>
      </c>
      <c r="W56" s="76"/>
      <c r="AB56" t="s">
        <v>271</v>
      </c>
      <c r="AC56">
        <f>(SUM(B60:B66))</f>
        <v>0</v>
      </c>
    </row>
    <row r="57" spans="1:29" ht="15.75" hidden="1" outlineLevel="1" thickBot="1" x14ac:dyDescent="0.3">
      <c r="A57" s="69" t="s">
        <v>108</v>
      </c>
      <c r="B57" s="96"/>
      <c r="C57" s="96"/>
      <c r="D57" s="102"/>
      <c r="E57" s="103"/>
      <c r="F57" s="38"/>
      <c r="H57" s="69" t="s">
        <v>108</v>
      </c>
      <c r="I57" s="96"/>
      <c r="J57" s="96"/>
      <c r="K57" s="102"/>
      <c r="L57" s="103"/>
      <c r="M57" s="38"/>
      <c r="O57" s="267"/>
      <c r="Q57" s="75" t="s">
        <v>175</v>
      </c>
      <c r="W57" s="63">
        <f>SUM((IF(R57&gt;0,R57,0)+(IF(S57&gt;0,S57,0)+(IF(T57&gt;0,T57,0)+(IF(U57&gt;0,U57,0)+(IF(V57&gt;0,V57,0)))))))</f>
        <v>0</v>
      </c>
      <c r="AA57" t="s">
        <v>313</v>
      </c>
      <c r="AB57" t="s">
        <v>314</v>
      </c>
      <c r="AC57" t="e">
        <f>W61</f>
        <v>#N/A</v>
      </c>
    </row>
    <row r="58" spans="1:29" ht="15.75" hidden="1" outlineLevel="1" thickBot="1" x14ac:dyDescent="0.3">
      <c r="A58" s="70" t="s">
        <v>109</v>
      </c>
      <c r="B58" s="97"/>
      <c r="C58" s="97"/>
      <c r="D58" s="71"/>
      <c r="E58" s="104"/>
      <c r="F58" s="38"/>
      <c r="H58" s="70" t="s">
        <v>109</v>
      </c>
      <c r="I58" s="97"/>
      <c r="J58" s="97"/>
      <c r="K58" s="71"/>
      <c r="L58" s="104"/>
      <c r="M58" s="39"/>
      <c r="O58" s="264" t="str">
        <f>"H. Dim. "&amp;A59</f>
        <v>H. Dim. Ne pas saisir</v>
      </c>
      <c r="P58" t="s">
        <v>170</v>
      </c>
      <c r="Q58" s="10" t="s">
        <v>162</v>
      </c>
      <c r="R58">
        <f>IF(R57&gt;=R56,R56,R57)</f>
        <v>0</v>
      </c>
      <c r="S58">
        <f>IF(S57&gt;=S56,S56,S57)</f>
        <v>0</v>
      </c>
      <c r="T58">
        <f>IF(T57&gt;=T56,T56,T57)</f>
        <v>0</v>
      </c>
      <c r="U58">
        <f>IF(U57&gt;=U56,U56,U57)</f>
        <v>0</v>
      </c>
      <c r="V58">
        <f>IF(V57&gt;=V56,V56,V57)</f>
        <v>0</v>
      </c>
      <c r="W58" s="63">
        <f>SUM((IF(R58&gt;0,R58,0)+(IF(S58&gt;0,S58,0)+(IF(T58&gt;0,T58,0)+(IF(U58&gt;0,U58,0)+(IF(V58&gt;0,V58,0)))))))</f>
        <v>0</v>
      </c>
    </row>
    <row r="59" spans="1:29" ht="15.75" hidden="1" outlineLevel="1" thickBot="1" x14ac:dyDescent="0.3">
      <c r="A59" s="64" t="str">
        <f>A26</f>
        <v>Ne pas saisir</v>
      </c>
      <c r="B59" s="65" t="e">
        <f>B43</f>
        <v>#N/A</v>
      </c>
      <c r="C59" s="65" t="str">
        <f>C43</f>
        <v>Férié</v>
      </c>
      <c r="D59" s="66" t="e">
        <f>D43</f>
        <v>#N/A</v>
      </c>
      <c r="E59" s="66" t="e">
        <f>E43</f>
        <v>#N/A</v>
      </c>
      <c r="F59" s="67" t="str">
        <f>F43</f>
        <v>Type absence</v>
      </c>
      <c r="H59" s="77" t="s">
        <v>136</v>
      </c>
      <c r="I59" s="78" t="e">
        <f>B43</f>
        <v>#N/A</v>
      </c>
      <c r="J59" s="78" t="str">
        <f>C43</f>
        <v>Férié</v>
      </c>
      <c r="K59" s="79" t="e">
        <f>D43</f>
        <v>#N/A</v>
      </c>
      <c r="L59" s="80" t="e">
        <f>E43</f>
        <v>#N/A</v>
      </c>
      <c r="M59" s="49"/>
      <c r="O59" s="267"/>
      <c r="P59" t="s">
        <v>170</v>
      </c>
      <c r="Q59" s="10" t="s">
        <v>163</v>
      </c>
      <c r="R59">
        <f>R57-R58</f>
        <v>0</v>
      </c>
      <c r="S59">
        <f>S57-S58</f>
        <v>0</v>
      </c>
      <c r="T59">
        <f>T57-T58</f>
        <v>0</v>
      </c>
      <c r="U59">
        <f>U57-U58</f>
        <v>0</v>
      </c>
      <c r="V59">
        <f>V57-V58</f>
        <v>0</v>
      </c>
      <c r="W59" s="63">
        <f t="shared" ref="W59:W64" si="5">SUM(R59:V59)</f>
        <v>0</v>
      </c>
    </row>
    <row r="60" spans="1:29" hidden="1" outlineLevel="1" x14ac:dyDescent="0.25">
      <c r="A60" s="69" t="s">
        <v>103</v>
      </c>
      <c r="B60" s="95"/>
      <c r="C60" s="95"/>
      <c r="D60" s="106"/>
      <c r="E60" s="105"/>
      <c r="F60" s="101"/>
      <c r="H60" s="81" t="s">
        <v>103</v>
      </c>
      <c r="I60" s="82">
        <f t="shared" ref="I60:I65" si="6">B44+I44+B52+I52+B60</f>
        <v>0</v>
      </c>
      <c r="J60" s="82">
        <f t="shared" ref="J60:J65" si="7">C44+J44+C52+J52+C60</f>
        <v>0</v>
      </c>
      <c r="K60" s="83">
        <f t="shared" ref="K60:K65" si="8">D44+K44+D52+K52+D60</f>
        <v>0</v>
      </c>
      <c r="L60" s="84">
        <f t="shared" ref="L60:L65" si="9">E44+L44+E52+L52+E60</f>
        <v>0</v>
      </c>
      <c r="M60" s="303" t="s">
        <v>177</v>
      </c>
      <c r="N60" s="304"/>
      <c r="O60" s="304"/>
      <c r="Q60" s="10" t="s">
        <v>164</v>
      </c>
      <c r="R60" t="e">
        <f>IF(AND(K41="non",(SUM(B44:B50)&gt;U40)),SUM(B44:B50)-U40,0)</f>
        <v>#N/A</v>
      </c>
      <c r="S60" t="e">
        <f>IF(AND(K41="non",(SUM(I44:I50)&gt;U40)),SUM(I44:I50)-U40,0)</f>
        <v>#N/A</v>
      </c>
      <c r="T60" t="e">
        <f>IF(AND(K41="non",(SUM(B52:B58)&gt;U40)),SUM(B52:B58)-U40,0)</f>
        <v>#N/A</v>
      </c>
      <c r="U60" t="e">
        <f>IF(AND(K41="non",(SUM(I52:I58)&gt;U40)),SUM(I52:I58)-U40,0)</f>
        <v>#N/A</v>
      </c>
      <c r="V60" t="e">
        <f>IF(AND(K41="non",(SUM(B60:B66)&gt;U40)),SUM(B60:B66)-U40,0)</f>
        <v>#N/A</v>
      </c>
      <c r="W60" s="63" t="e">
        <f t="shared" si="5"/>
        <v>#N/A</v>
      </c>
    </row>
    <row r="61" spans="1:29" hidden="1" outlineLevel="1" x14ac:dyDescent="0.25">
      <c r="A61" s="69" t="s">
        <v>104</v>
      </c>
      <c r="B61" s="96"/>
      <c r="C61" s="96"/>
      <c r="D61" s="102"/>
      <c r="E61" s="103"/>
      <c r="F61" s="38"/>
      <c r="H61" s="81" t="s">
        <v>104</v>
      </c>
      <c r="I61" s="88">
        <f t="shared" si="6"/>
        <v>0</v>
      </c>
      <c r="J61" s="88">
        <f t="shared" si="7"/>
        <v>0</v>
      </c>
      <c r="K61" s="89">
        <f t="shared" si="8"/>
        <v>0</v>
      </c>
      <c r="L61" s="90">
        <f t="shared" si="9"/>
        <v>0</v>
      </c>
      <c r="M61" s="49"/>
      <c r="P61" t="s">
        <v>167</v>
      </c>
      <c r="Q61" s="10" t="s">
        <v>165</v>
      </c>
      <c r="R61" t="e">
        <f>IF(H42="Cadre",0,SUM(C44:C50))</f>
        <v>#N/A</v>
      </c>
      <c r="S61" t="e">
        <f>IF(H42="Cadre",0,SUM(J44:J50))</f>
        <v>#N/A</v>
      </c>
      <c r="T61" t="e">
        <f>IF(H42="Cadre",0,SUM(C52:C58))</f>
        <v>#N/A</v>
      </c>
      <c r="U61" t="e">
        <f>IF(H42="Cadre",0,SUM(J52:J58))</f>
        <v>#N/A</v>
      </c>
      <c r="V61" t="e">
        <f>IF(H42="Cadre",0,SUM(C60:C66))</f>
        <v>#N/A</v>
      </c>
      <c r="W61" s="63" t="e">
        <f t="shared" si="5"/>
        <v>#N/A</v>
      </c>
    </row>
    <row r="62" spans="1:29" hidden="1" outlineLevel="1" x14ac:dyDescent="0.25">
      <c r="A62" s="69" t="s">
        <v>105</v>
      </c>
      <c r="B62" s="96"/>
      <c r="C62" s="96"/>
      <c r="D62" s="102"/>
      <c r="E62" s="103"/>
      <c r="F62" s="38"/>
      <c r="H62" s="81" t="s">
        <v>105</v>
      </c>
      <c r="I62" s="88">
        <f t="shared" si="6"/>
        <v>0</v>
      </c>
      <c r="J62" s="88">
        <f t="shared" si="7"/>
        <v>0</v>
      </c>
      <c r="K62" s="89">
        <f t="shared" si="8"/>
        <v>0</v>
      </c>
      <c r="L62" s="90">
        <f t="shared" si="9"/>
        <v>0</v>
      </c>
      <c r="M62" s="49"/>
      <c r="P62" t="s">
        <v>168</v>
      </c>
      <c r="Q62" s="10" t="s">
        <v>165</v>
      </c>
      <c r="R62">
        <f>O41</f>
        <v>0</v>
      </c>
      <c r="S62">
        <f>O43</f>
        <v>0</v>
      </c>
      <c r="T62">
        <f>O45</f>
        <v>0</v>
      </c>
      <c r="U62">
        <f>O47</f>
        <v>0</v>
      </c>
      <c r="V62">
        <f>O49</f>
        <v>0</v>
      </c>
      <c r="W62" s="63">
        <f t="shared" si="5"/>
        <v>0</v>
      </c>
    </row>
    <row r="63" spans="1:29" hidden="1" outlineLevel="1" x14ac:dyDescent="0.25">
      <c r="A63" s="69" t="s">
        <v>106</v>
      </c>
      <c r="B63" s="96"/>
      <c r="C63" s="96"/>
      <c r="D63" s="102"/>
      <c r="E63" s="103"/>
      <c r="F63" s="38"/>
      <c r="H63" s="81" t="s">
        <v>106</v>
      </c>
      <c r="I63" s="88">
        <f t="shared" si="6"/>
        <v>0</v>
      </c>
      <c r="J63" s="88">
        <f t="shared" si="7"/>
        <v>0</v>
      </c>
      <c r="K63" s="89">
        <f t="shared" si="8"/>
        <v>0</v>
      </c>
      <c r="L63" s="90">
        <f t="shared" si="9"/>
        <v>0</v>
      </c>
      <c r="M63" s="49"/>
      <c r="P63" t="s">
        <v>166</v>
      </c>
      <c r="Q63" s="10" t="s">
        <v>159</v>
      </c>
      <c r="R63" t="e">
        <f>IF(H42="Employé",B50,0)</f>
        <v>#N/A</v>
      </c>
      <c r="S63" t="e">
        <f>IF(H42="Employé",I50,0)</f>
        <v>#N/A</v>
      </c>
      <c r="T63" t="e">
        <f>IF(H42="Employé",B58,0)</f>
        <v>#N/A</v>
      </c>
      <c r="U63" t="e">
        <f>IF(H42="Employé",I58,0)</f>
        <v>#N/A</v>
      </c>
      <c r="V63" t="e">
        <f>IF(H42="Employé",B66,0)</f>
        <v>#N/A</v>
      </c>
      <c r="W63" s="63" t="e">
        <f t="shared" si="5"/>
        <v>#N/A</v>
      </c>
    </row>
    <row r="64" spans="1:29" hidden="1" outlineLevel="1" x14ac:dyDescent="0.25">
      <c r="A64" s="69" t="s">
        <v>107</v>
      </c>
      <c r="B64" s="96"/>
      <c r="C64" s="96"/>
      <c r="D64" s="102"/>
      <c r="E64" s="103"/>
      <c r="F64" s="38"/>
      <c r="H64" s="81" t="s">
        <v>107</v>
      </c>
      <c r="I64" s="88">
        <f t="shared" si="6"/>
        <v>0</v>
      </c>
      <c r="J64" s="88">
        <f t="shared" si="7"/>
        <v>0</v>
      </c>
      <c r="K64" s="89">
        <f t="shared" si="8"/>
        <v>0</v>
      </c>
      <c r="L64" s="90">
        <f t="shared" si="9"/>
        <v>0</v>
      </c>
      <c r="M64" s="303" t="s">
        <v>178</v>
      </c>
      <c r="N64" s="304"/>
      <c r="O64" s="304"/>
      <c r="P64" t="s">
        <v>297</v>
      </c>
      <c r="Q64" s="10" t="s">
        <v>159</v>
      </c>
      <c r="R64" s="51">
        <f>O51</f>
        <v>0</v>
      </c>
      <c r="S64">
        <f>O53</f>
        <v>0</v>
      </c>
      <c r="T64">
        <f>O55</f>
        <v>0</v>
      </c>
      <c r="U64">
        <f>O57</f>
        <v>0</v>
      </c>
      <c r="V64">
        <f>O59</f>
        <v>0</v>
      </c>
      <c r="W64" s="63">
        <f t="shared" si="5"/>
        <v>0</v>
      </c>
    </row>
    <row r="65" spans="1:29" hidden="1" outlineLevel="1" x14ac:dyDescent="0.25">
      <c r="A65" s="69" t="s">
        <v>108</v>
      </c>
      <c r="B65" s="96"/>
      <c r="C65" s="96"/>
      <c r="D65" s="102"/>
      <c r="E65" s="103"/>
      <c r="F65" s="38"/>
      <c r="H65" s="81" t="s">
        <v>108</v>
      </c>
      <c r="I65" s="88">
        <f t="shared" si="6"/>
        <v>0</v>
      </c>
      <c r="J65" s="88">
        <f t="shared" si="7"/>
        <v>0</v>
      </c>
      <c r="K65" s="89">
        <f t="shared" si="8"/>
        <v>0</v>
      </c>
      <c r="L65" s="90">
        <f t="shared" si="9"/>
        <v>0</v>
      </c>
      <c r="M65" s="49"/>
      <c r="P65" t="s">
        <v>171</v>
      </c>
      <c r="Q65" s="10" t="s">
        <v>172</v>
      </c>
      <c r="R65" s="2"/>
      <c r="S65" s="2"/>
      <c r="T65" s="2"/>
      <c r="U65" s="2"/>
      <c r="V65" s="2"/>
      <c r="W65" s="91" t="e">
        <f>IF(AND(K41="non",H42="Employé"),SUM(I60:I66)+(SUM(W42:W55)-W38),(SUM(I60:I66)-W57)+(SUM(W42:W55)-W38))</f>
        <v>#N/A</v>
      </c>
    </row>
    <row r="66" spans="1:29" ht="15.75" hidden="1" outlineLevel="1" thickBot="1" x14ac:dyDescent="0.3">
      <c r="A66" s="70" t="s">
        <v>109</v>
      </c>
      <c r="B66" s="97"/>
      <c r="C66" s="97"/>
      <c r="D66" s="71"/>
      <c r="E66" s="104"/>
      <c r="F66" s="39"/>
      <c r="H66" s="92" t="s">
        <v>109</v>
      </c>
      <c r="I66" s="93">
        <f>(B50+I50+B58+I58+B66)</f>
        <v>0</v>
      </c>
      <c r="J66" s="93">
        <f>(C50+J50+C58+J58+C66)</f>
        <v>0</v>
      </c>
      <c r="K66" s="71">
        <f>(D50+K50+D58+K58+D66)</f>
        <v>0</v>
      </c>
      <c r="L66" s="94">
        <f>(E50+L50+E58+L58+E66)</f>
        <v>0</v>
      </c>
      <c r="M66" s="49"/>
      <c r="P66" t="s">
        <v>176</v>
      </c>
      <c r="Q66" s="10" t="s">
        <v>172</v>
      </c>
      <c r="R66" s="2"/>
      <c r="S66" s="2"/>
      <c r="T66" s="2"/>
      <c r="U66" s="2"/>
      <c r="V66" s="2"/>
      <c r="W66" s="91" t="e">
        <f>IF(H42="Cadre",((SUM(I60:I66)+SUM(W42:W55)-W44-W45)/2),0)</f>
        <v>#N/A</v>
      </c>
    </row>
    <row r="67" spans="1:29" ht="15" customHeight="1" collapsed="1" x14ac:dyDescent="0.25">
      <c r="D67" s="302" t="s">
        <v>298</v>
      </c>
      <c r="E67" s="302"/>
      <c r="F67" s="302"/>
      <c r="G67" s="302"/>
      <c r="H67" s="302"/>
      <c r="I67" s="302"/>
      <c r="J67" s="302"/>
      <c r="K67" s="302"/>
      <c r="L67" s="42" t="s">
        <v>280</v>
      </c>
      <c r="N67" s="43"/>
      <c r="O67" s="43" t="s">
        <v>179</v>
      </c>
      <c r="P67" s="15" t="s">
        <v>157</v>
      </c>
      <c r="AA67" s="15" t="s">
        <v>157</v>
      </c>
    </row>
    <row r="68" spans="1:29" hidden="1" outlineLevel="2" x14ac:dyDescent="0.25">
      <c r="D68" s="302"/>
      <c r="E68" s="302"/>
      <c r="F68" s="302"/>
      <c r="G68" s="302"/>
      <c r="H68" s="302"/>
      <c r="I68" s="302"/>
      <c r="J68" s="302"/>
      <c r="K68" s="302"/>
      <c r="N68" s="43"/>
      <c r="O68" s="43" t="s">
        <v>180</v>
      </c>
      <c r="AC68" t="s">
        <v>201</v>
      </c>
    </row>
    <row r="69" spans="1:29" hidden="1" outlineLevel="2" x14ac:dyDescent="0.25">
      <c r="D69" s="302"/>
      <c r="E69" s="302"/>
      <c r="F69" s="302"/>
      <c r="G69" s="302"/>
      <c r="H69" s="302"/>
      <c r="I69" s="302"/>
      <c r="J69" s="302"/>
      <c r="K69" s="302"/>
      <c r="N69" s="44"/>
      <c r="O69" s="44" t="s">
        <v>181</v>
      </c>
      <c r="AA69" s="15" t="s">
        <v>200</v>
      </c>
      <c r="AC69" s="2" t="str">
        <f>I71</f>
        <v>Juin</v>
      </c>
    </row>
    <row r="70" spans="1:29" hidden="1" outlineLevel="2" x14ac:dyDescent="0.25">
      <c r="A70" s="45" t="s">
        <v>3</v>
      </c>
      <c r="B70" s="46">
        <f>'Synthèse Horaires'!$B$4</f>
        <v>2026</v>
      </c>
      <c r="C70" s="47"/>
      <c r="D70" s="48" t="s">
        <v>1</v>
      </c>
      <c r="E70" s="46">
        <f>'Synthèse Horaires'!$D$4</f>
        <v>0</v>
      </c>
      <c r="F70" s="49"/>
      <c r="G70" s="49"/>
      <c r="H70" s="48" t="s">
        <v>2</v>
      </c>
      <c r="I70" s="47">
        <f>'Synthèse Horaires'!$I$4</f>
        <v>0</v>
      </c>
      <c r="J70" s="50"/>
      <c r="K70" s="50"/>
      <c r="N70" s="44"/>
      <c r="O70" s="44" t="s">
        <v>202</v>
      </c>
      <c r="V70" s="10" t="s">
        <v>174</v>
      </c>
      <c r="W70" s="51" t="e">
        <f>IF(K74="non",SUM(K93:K99)*(35/6),SUM(K93:K99)*(K74/6))</f>
        <v>#N/A</v>
      </c>
      <c r="AB70" t="s">
        <v>6</v>
      </c>
      <c r="AC70" s="14">
        <f>B74</f>
        <v>0</v>
      </c>
    </row>
    <row r="71" spans="1:29" hidden="1" outlineLevel="2" x14ac:dyDescent="0.25">
      <c r="A71" s="45" t="s">
        <v>10</v>
      </c>
      <c r="B71" s="49"/>
      <c r="C71" s="49"/>
      <c r="D71" s="50" t="str">
        <f>'Synthèse Horaires'!$C$6</f>
        <v>01 juin 2026 au 31 mai 2027.</v>
      </c>
      <c r="E71" s="2"/>
      <c r="H71" s="48" t="s">
        <v>205</v>
      </c>
      <c r="I71" s="47" t="str">
        <f>'Synthèse Horaires'!$I$5</f>
        <v>Juin</v>
      </c>
      <c r="N71" s="44"/>
      <c r="O71" s="44" t="s">
        <v>203</v>
      </c>
      <c r="V71" s="10" t="s">
        <v>173</v>
      </c>
      <c r="W71">
        <f>W77+W78</f>
        <v>0</v>
      </c>
      <c r="AB71" t="s">
        <v>57</v>
      </c>
      <c r="AC71" s="14" t="e">
        <f>B75</f>
        <v>#N/A</v>
      </c>
    </row>
    <row r="72" spans="1:29" ht="9.75" hidden="1" customHeight="1" outlineLevel="2" thickBot="1" x14ac:dyDescent="0.3">
      <c r="A72" s="22"/>
      <c r="B72" s="22"/>
      <c r="C72" s="22"/>
      <c r="D72" s="22"/>
      <c r="E72" s="22"/>
      <c r="F72" s="22"/>
      <c r="G72" s="22"/>
      <c r="H72" s="22"/>
      <c r="I72" s="22"/>
      <c r="J72" s="22"/>
      <c r="K72" s="22"/>
      <c r="L72" s="22"/>
      <c r="M72" s="22"/>
      <c r="N72" s="22"/>
      <c r="O72" s="22"/>
      <c r="AB72" t="s">
        <v>211</v>
      </c>
      <c r="AC72" s="14" t="e">
        <f>H75</f>
        <v>#N/A</v>
      </c>
    </row>
    <row r="73" spans="1:29" hidden="1" outlineLevel="2" x14ac:dyDescent="0.25">
      <c r="A73" s="4" t="s">
        <v>58</v>
      </c>
      <c r="B73" s="4"/>
      <c r="C73" s="4"/>
      <c r="D73" s="4"/>
      <c r="E73" s="4"/>
      <c r="F73" s="4"/>
      <c r="G73" s="4"/>
      <c r="H73" s="4"/>
      <c r="O73" s="265" t="str">
        <f>"H. Férié. "&amp;A76</f>
        <v>H. Férié. Semaine 23</v>
      </c>
      <c r="P73" s="53" t="s">
        <v>6</v>
      </c>
      <c r="Q73" s="2">
        <f>B74</f>
        <v>0</v>
      </c>
      <c r="T73" s="10" t="s">
        <v>76</v>
      </c>
      <c r="U73" s="2" t="e">
        <f>VLOOKUP(B74,'Base Matricule Siège'!$B$12:$F$1000,5,FALSE)</f>
        <v>#N/A</v>
      </c>
      <c r="AA73" t="s">
        <v>215</v>
      </c>
      <c r="AB73" t="s">
        <v>207</v>
      </c>
      <c r="AC73" s="14" t="e">
        <f>IF(AC72="Cadre",0,W98)</f>
        <v>#N/A</v>
      </c>
    </row>
    <row r="74" spans="1:29" ht="15.75" hidden="1" outlineLevel="2" thickBot="1" x14ac:dyDescent="0.3">
      <c r="A74" s="49" t="s">
        <v>18</v>
      </c>
      <c r="B74" s="113">
        <v>0</v>
      </c>
      <c r="E74" s="49"/>
      <c r="G74" s="57" t="s">
        <v>317</v>
      </c>
      <c r="H74" s="58" t="e">
        <f>VLOOKUP(B74,'Base Matricule Siège'!$B$13:$H$1000,5,FALSE)</f>
        <v>#N/A</v>
      </c>
      <c r="J74" s="10" t="s">
        <v>161</v>
      </c>
      <c r="K74" s="58" t="e">
        <f>IF((VLOOKUP('MASQUE COLLABORATEUR'!B74,'Base Matricule Siège'!$B$13:$E$1000,4,FALSE)&lt;'Base Matricule Siège'!$G$5),(VLOOKUP('MASQUE COLLABORATEUR'!B74,'Base Matricule Siège'!$B$13:$E$1000,4,FALSE)),"non")</f>
        <v>#N/A</v>
      </c>
      <c r="O74" s="267"/>
      <c r="R74" t="s">
        <v>151</v>
      </c>
      <c r="S74" t="s">
        <v>152</v>
      </c>
      <c r="T74" t="s">
        <v>153</v>
      </c>
      <c r="U74" t="s">
        <v>154</v>
      </c>
      <c r="V74" t="s">
        <v>155</v>
      </c>
      <c r="W74" s="59" t="s">
        <v>156</v>
      </c>
      <c r="AB74" t="s">
        <v>11</v>
      </c>
      <c r="AC74" s="14" t="e">
        <f>W99</f>
        <v>#N/A</v>
      </c>
    </row>
    <row r="75" spans="1:29" ht="15.75" hidden="1" outlineLevel="2" thickBot="1" x14ac:dyDescent="0.3">
      <c r="A75" s="49" t="s">
        <v>59</v>
      </c>
      <c r="B75" s="2" t="e">
        <f>VLOOKUP(B74,'Base Matricule Siège'!$B$13:$C$1000,2,FALSE)</f>
        <v>#N/A</v>
      </c>
      <c r="C75" s="2"/>
      <c r="D75" s="2"/>
      <c r="G75" s="57" t="s">
        <v>158</v>
      </c>
      <c r="H75" s="58" t="e">
        <f>VLOOKUP(B74,'Base Matricule Siège'!$B$13:$G$1000,6,FALSE)</f>
        <v>#N/A</v>
      </c>
      <c r="O75" s="264" t="str">
        <f>"H. Férié. "&amp;H76</f>
        <v>H. Férié. Semaine 24</v>
      </c>
      <c r="P75" s="10" t="s">
        <v>142</v>
      </c>
      <c r="Q75" s="10" t="s">
        <v>149</v>
      </c>
      <c r="R75">
        <f>IF(F77=Q75,E77,0)+IF(F78=Q75,E78,0)+IF(F79=Q75,E79,0)+IF(Q75=F80,E80,0)+IF(F81=Q75,E81,0)+IF(F82=Q75,E82,0)</f>
        <v>0</v>
      </c>
      <c r="S75">
        <f>IF(M77=Q75,L77,0)+IF(M78=Q75,L78,0)+IF(M79=Q75,L79,0)+IF(Q75=M80,L80,0)+IF(M81=Q75,L81,0)+IF(M82=Q75,L82,0)</f>
        <v>0</v>
      </c>
      <c r="T75">
        <f>IF(F85=Q75,E85,0)+IF(F86=Q75,E86,0)+IF(F87=Q75,E87,0)+IF(Q75=F88,E88,0)+IF(F89=Q75,E89,0)+IF(F90=Q75,E90,0)</f>
        <v>0</v>
      </c>
      <c r="U75">
        <f>IF(M85=Q75,L85,0)+IF(M86=Q75,L86,0)+IF(M87=Q75,L87,0)+IF(Q75=M88,L88,0)+IF(M89=Q75,L89,0)+IF(M90=Q75,L90,0)</f>
        <v>0</v>
      </c>
      <c r="V75">
        <f>IF(F93=Q75,E93,0)+IF(F94=Q75,E94,0)+IF(F95=Q75,E95,0)+IF(Q75=F96,E96,0)+IF(F97=Q75,E97,0)+IF(F98=Q75,E98,0)</f>
        <v>0</v>
      </c>
      <c r="W75" s="63">
        <f>SUM(R75:V75)</f>
        <v>0</v>
      </c>
      <c r="AB75" t="s">
        <v>208</v>
      </c>
      <c r="AC75" s="14">
        <f>SUM(K93:K99)</f>
        <v>0</v>
      </c>
    </row>
    <row r="76" spans="1:29" ht="15.75" hidden="1" outlineLevel="2" thickBot="1" x14ac:dyDescent="0.3">
      <c r="A76" s="64" t="str">
        <f>A43</f>
        <v>Semaine 23</v>
      </c>
      <c r="B76" s="65" t="e">
        <f>IF(H75="Cadre","Demi J. Réalisées","H. Réalisées")</f>
        <v>#N/A</v>
      </c>
      <c r="C76" s="65" t="s">
        <v>141</v>
      </c>
      <c r="D76" s="66" t="e">
        <f>IF(H75="Cadre","CP en Demi J.","CP en jours")</f>
        <v>#N/A</v>
      </c>
      <c r="E76" s="66" t="e">
        <f>IF(H75="Cadre","Abs. En Demi J.","Absence en H.")</f>
        <v>#N/A</v>
      </c>
      <c r="F76" s="67" t="s">
        <v>110</v>
      </c>
      <c r="H76" s="64" t="str">
        <f>H43</f>
        <v>Semaine 24</v>
      </c>
      <c r="I76" s="65" t="e">
        <f>B76</f>
        <v>#N/A</v>
      </c>
      <c r="J76" s="65" t="str">
        <f>C76</f>
        <v>Férié</v>
      </c>
      <c r="K76" s="66" t="e">
        <f>D76</f>
        <v>#N/A</v>
      </c>
      <c r="L76" s="66" t="e">
        <f>E76</f>
        <v>#N/A</v>
      </c>
      <c r="M76" s="67" t="str">
        <f>F76</f>
        <v>Type absence</v>
      </c>
      <c r="O76" s="267"/>
      <c r="Q76" s="10" t="s">
        <v>143</v>
      </c>
      <c r="R76">
        <f>IF(F77=Q76,E77,0)+IF(F78=Q76,E78,0)+IF(F79=Q76,E79,0)+IF(Q76=F80,E80,0)+IF(F82=Q76,E81,0)+IF(F81=Q76,E82,0)</f>
        <v>0</v>
      </c>
      <c r="S76">
        <f>IF(M78=Q76,L78,0)+IF(M79=Q76,L79,0)+IF(M80=Q76,L80,0)+IF(Q76=M81,L81,0)+IF(M82=Q76,L82,0)+IF(M77=Q76,L77,0)</f>
        <v>0</v>
      </c>
      <c r="T76">
        <f>IF(F85=Q76,E85,0)+IF(F86=Q76,E86,0)+IF(F87=Q76,E87,0)+IF(Q76=F88,E88,0)+IF(F89=Q76,E89,0)+IF(F90=Q76,E90,0)</f>
        <v>0</v>
      </c>
      <c r="U76">
        <f>IF(M85=Q76,L85,0)+IF(M86=Q76,L86,0)+IF(M87=Q76,L87,0)+IF(Q76=M88,L88,0)+IF(M89=Q76,L89,0)+IF(M90=Q76,L90,0)</f>
        <v>0</v>
      </c>
      <c r="V76">
        <f>IF(F93=Q76,E93,0)+IF(F94=Q76,E94,0)+IF(F95=Q76,E95,0)+IF(Q76=F96,E96,0)+IF(F97=Q76,E97,0)+IF(F98=Q76,E98,0)</f>
        <v>0</v>
      </c>
      <c r="W76" s="63">
        <f t="shared" ref="W76:W88" si="10">SUM(R76:V76)</f>
        <v>0</v>
      </c>
      <c r="AB76" t="s">
        <v>8</v>
      </c>
      <c r="AC76" s="14"/>
    </row>
    <row r="77" spans="1:29" hidden="1" outlineLevel="2" x14ac:dyDescent="0.25">
      <c r="A77" s="68" t="s">
        <v>103</v>
      </c>
      <c r="B77" s="98"/>
      <c r="C77" s="98"/>
      <c r="D77" s="99"/>
      <c r="E77" s="100"/>
      <c r="F77" s="101"/>
      <c r="H77" s="69" t="s">
        <v>103</v>
      </c>
      <c r="I77" s="95"/>
      <c r="J77" s="95"/>
      <c r="K77" s="106"/>
      <c r="L77" s="105"/>
      <c r="M77" s="101"/>
      <c r="O77" s="264" t="str">
        <f>"H. Férié. "&amp;A84</f>
        <v>H. Férié. Ne pas saisir</v>
      </c>
      <c r="Q77" s="10" t="s">
        <v>144</v>
      </c>
      <c r="R77">
        <f>IF(F79=Q77,E79,0)+IF(F80=Q77,E80,0)+IF(F81=Q77,E81,0)+IF(Q77=F82,E82,0)+IF(F77=Q77,E77,0)+IF(F78=Q77,E78,0)</f>
        <v>0</v>
      </c>
      <c r="S77">
        <f>IF(M79=Q77,L79,0)+IF(M80=Q77,L80,0)+IF(M81=Q77,L81,0)+IF(Q77=M82,L82,0)+IF(M77=Q77,L77,0)+IF(M78=Q77,L78,0)</f>
        <v>0</v>
      </c>
      <c r="T77">
        <f>IF(F85=Q77,E85,0)+IF(F86=Q77,E86,0)+IF(F87=Q77,E87,0)+IF(Q77=F88,E88,0)+IF(F89=Q77,E89,0)+IF(F90=Q77,E90,0)</f>
        <v>0</v>
      </c>
      <c r="U77">
        <f>IF(M85=Q77,L85,0)+IF(M86=Q77,L86,0)+IF(M87=Q77,L87,0)+IF(Q77=M88,L88,0)+IF(M89=Q77,L89,0)+IF(M90=Q77,L90,0)</f>
        <v>0</v>
      </c>
      <c r="V77">
        <f>IF(F93=Q77,E93,0)+IF(F94=Q77,E94,0)+IF(F95=Q77,E95,0)+IF(Q77=F96,E96,0)+IF(F97=Q77,E97,0)+IF(F98=Q77,E98,0)</f>
        <v>0</v>
      </c>
      <c r="W77" s="63">
        <f t="shared" si="10"/>
        <v>0</v>
      </c>
      <c r="AB77" t="s">
        <v>209</v>
      </c>
      <c r="AC77" s="14">
        <f>W77</f>
        <v>0</v>
      </c>
    </row>
    <row r="78" spans="1:29" ht="15.75" hidden="1" outlineLevel="2" thickBot="1" x14ac:dyDescent="0.3">
      <c r="A78" s="69" t="s">
        <v>104</v>
      </c>
      <c r="B78" s="96"/>
      <c r="C78" s="96"/>
      <c r="D78" s="102"/>
      <c r="E78" s="103"/>
      <c r="F78" s="38"/>
      <c r="H78" s="69" t="s">
        <v>104</v>
      </c>
      <c r="I78" s="96"/>
      <c r="J78" s="96"/>
      <c r="K78" s="102"/>
      <c r="L78" s="103"/>
      <c r="M78" s="38"/>
      <c r="O78" s="267"/>
      <c r="Q78" s="10" t="s">
        <v>145</v>
      </c>
      <c r="R78">
        <f>IF(F80=Q78,E80,0)+IF(F81=Q78,E81,0)+IF(F82=Q78,E82,0)+IF(Q78=F77,E77,0)+IF(F78=Q78,E78,0)+IF(F79=Q78,E79,0)</f>
        <v>0</v>
      </c>
      <c r="S78">
        <f>IF(M80=Q78,L80,0)+IF(M81=Q78,L81,0)+IF(M82=Q78,L82,0)+IF(Q78=M77,L77,0)+IF(M78=Q78,L78,0)+IF(M79=Q78,L79,0)</f>
        <v>0</v>
      </c>
      <c r="T78">
        <f>IF(F85=Q78,$E85,0)+IF(F86=Q78,E86,0)+IF(F87=Q78,E87,0)+IF(Q78=F88,E88,0)+IF(F89=Q78,E89,0)+IF(F90=Q78,E90,0)</f>
        <v>0</v>
      </c>
      <c r="U78">
        <f>IF(M85=Q78,L85,0)+IF(M86=Q78,L86,0)+IF(M87=Q78,L87,0)+IF(Q78=M88,L88,0)+IF(M89=Q78,L89,0)+IF(M90=Q78,L90,0)</f>
        <v>0</v>
      </c>
      <c r="V78">
        <f>IF(F93=Q78,E93,0)+IF(F94=Q78,E94,0)+IF(F95=Q78,E95,0)+IF(Q78=F96,E96,0)+IF(F97=Q78,E97,0)+IF(F98=Q78,E98,0)</f>
        <v>0</v>
      </c>
      <c r="W78" s="63">
        <f t="shared" si="10"/>
        <v>0</v>
      </c>
      <c r="AB78" t="s">
        <v>210</v>
      </c>
      <c r="AC78" s="14">
        <f>SUM(W75:W88)-W77</f>
        <v>0</v>
      </c>
    </row>
    <row r="79" spans="1:29" hidden="1" outlineLevel="2" x14ac:dyDescent="0.25">
      <c r="A79" s="69" t="s">
        <v>105</v>
      </c>
      <c r="B79" s="96"/>
      <c r="C79" s="96"/>
      <c r="D79" s="102"/>
      <c r="E79" s="103"/>
      <c r="F79" s="38"/>
      <c r="H79" s="69" t="s">
        <v>105</v>
      </c>
      <c r="I79" s="96"/>
      <c r="J79" s="96"/>
      <c r="K79" s="102"/>
      <c r="L79" s="103"/>
      <c r="M79" s="38"/>
      <c r="O79" s="264" t="str">
        <f>"H. Férié. "&amp;H84</f>
        <v>H. Férié. Ne pas saisir</v>
      </c>
      <c r="Q79" s="10" t="s">
        <v>212</v>
      </c>
      <c r="R79">
        <f>IF(F81=Q79,E81,0)+IF(F82=Q79,E82,0)+IF(F77=Q79,E77,0)+IF(Q79=F78,E78,0)+IF(F79=Q79,E79,0)+IF(F80=Q79,E80,0)</f>
        <v>0</v>
      </c>
      <c r="S79">
        <f>IF(M80=Q79,L80,0)+IF(M81=Q79,L81,0)+IF(M82=Q79,L82,0)+IF(Q79=M77,L77,0)+IF(M78=Q79,L78,0)+IF(M79=Q79,L79,0)</f>
        <v>0</v>
      </c>
      <c r="T79">
        <f>IF(F85=Q79,E85,0)+IF(F86=Q79,E86,0)+IF(F87=Q79,E87,0)+IF(Q79=F88,E88,0)+IF(F89=Q79,E89,0)+IF(F90=Q79,E90,0)</f>
        <v>0</v>
      </c>
      <c r="U79">
        <f>IF(M85=Q79,L85,0)+IF(M86=Q79,L86,0)+IF(M87=Q79,L87,0)+IF(Q79=M88,L88,0)+IF(M89=Q79,L89,0)+IF(M90=Q79,L90,0)</f>
        <v>0</v>
      </c>
      <c r="V79">
        <f>IF(F93=Q79,E93,0)+IF(F94=Q79,E94,0)+IF(F95=Q79,E95,0)+IF(Q79=F96,E96,0)+IF(F97=Q79,E97,0)+IF(F98=Q79,E98,0)</f>
        <v>0</v>
      </c>
      <c r="W79" s="63">
        <f t="shared" si="10"/>
        <v>0</v>
      </c>
      <c r="AA79" t="s">
        <v>214</v>
      </c>
      <c r="AB79" t="s">
        <v>213</v>
      </c>
      <c r="AC79" s="14" t="e">
        <f>IF(AC72="Cadre",(W79/2),(W79))</f>
        <v>#N/A</v>
      </c>
    </row>
    <row r="80" spans="1:29" ht="15.75" hidden="1" outlineLevel="2" thickBot="1" x14ac:dyDescent="0.3">
      <c r="A80" s="69" t="s">
        <v>106</v>
      </c>
      <c r="B80" s="96"/>
      <c r="C80" s="96"/>
      <c r="D80" s="102"/>
      <c r="E80" s="103"/>
      <c r="F80" s="38"/>
      <c r="H80" s="69" t="s">
        <v>106</v>
      </c>
      <c r="I80" s="96"/>
      <c r="J80" s="96"/>
      <c r="K80" s="102"/>
      <c r="L80" s="103"/>
      <c r="M80" s="38"/>
      <c r="O80" s="267"/>
      <c r="Q80" s="10" t="s">
        <v>146</v>
      </c>
      <c r="R80">
        <f>IF(F82=Q80,E82,0)+IF(F77=Q80,E77,0)+IF(F78=Q80,E78,0)+IF(Q80=F79,E79,0)+IF(F80=Q80,E80,0)+IF(F81=Q80,E81,0)</f>
        <v>0</v>
      </c>
      <c r="S80">
        <f>IF(M80=Q80,L80,0)+IF(M81=Q80,L81,0)+IF(M82=Q80,L82,0)+IF(Q80=M77,$L$11,0)+IF(M78=Q80,L78,0)+IF(M79=Q80,L79,0)</f>
        <v>0</v>
      </c>
      <c r="T80">
        <f>IF(F85=Q80,E85,0)+IF(F86=Q80,E86,0)+IF(F87=Q80,E87,0)+IF(Q80=F88,E88,0)+IF(F89=Q80,E89,0)+IF(F90=Q80,E90,0)</f>
        <v>0</v>
      </c>
      <c r="U80">
        <f>IF(M85=Q80,L85,0)+IF(M86=Q80,L86,0)+IF(M87=Q80,L87,0)+IF(Q80=M88,L88,0)+IF(M89=Q80,L89,0)+IF(M90=Q80,L90,0)</f>
        <v>0</v>
      </c>
      <c r="V80">
        <f>IF(F93=Q80,E93,0)+IF(F94=Q80,E94,0)+IF(F95=Q80,E95,0)+IF(Q80=F96,E96,0)+IF(F97=Q80,E97,0)+IF(F98=Q80,E98,0)</f>
        <v>0</v>
      </c>
      <c r="W80" s="63">
        <f t="shared" si="10"/>
        <v>0</v>
      </c>
      <c r="AA80" t="s">
        <v>216</v>
      </c>
      <c r="AB80" t="s">
        <v>217</v>
      </c>
      <c r="AC80" s="14" t="e">
        <f>W92+W93</f>
        <v>#N/A</v>
      </c>
    </row>
    <row r="81" spans="1:29" hidden="1" outlineLevel="2" x14ac:dyDescent="0.25">
      <c r="A81" s="69" t="s">
        <v>107</v>
      </c>
      <c r="B81" s="96"/>
      <c r="C81" s="96"/>
      <c r="D81" s="102"/>
      <c r="E81" s="103"/>
      <c r="F81" s="38"/>
      <c r="H81" s="69" t="s">
        <v>107</v>
      </c>
      <c r="I81" s="96"/>
      <c r="J81" s="96"/>
      <c r="K81" s="102"/>
      <c r="L81" s="103"/>
      <c r="M81" s="38"/>
      <c r="O81" s="264" t="str">
        <f>"H. Férié. "&amp;A92</f>
        <v>H. Férié. Ne pas saisir</v>
      </c>
      <c r="Q81" s="10" t="s">
        <v>499</v>
      </c>
      <c r="R81">
        <f>IF(F77=Q81,E77,0)+IF(F78=Q81,E78,0)+IF(F79=Q81,E79,0)+IF(Q81=F80,E80,0)+IF(F81=Q81,E81,0)+IF(F82=Q81,E82,0)</f>
        <v>0</v>
      </c>
      <c r="S81">
        <f>IF(M80=Q81,L80,0)+IF(M81=Q81,L81,0)+IF(M82=Q81,L82,0)+IF(Q81=M77,L77,0)+IF(M78=Q81,L78,0)+IF(M79=Q81,L79,0)</f>
        <v>0</v>
      </c>
      <c r="T81">
        <f>IF(F85=Q81,E85,0)+IF(F86=Q81,E86,0)+IF(F87=Q81,E87,0)+IF(Q81=F88,E88,0)+IF(F89=Q81,E89,0)+IF(F90=Q81,E90,0)</f>
        <v>0</v>
      </c>
      <c r="U81">
        <f>IF(M85=Q81,L85,0)+IF(M86=Q81,L86,0)+IF(M87=Q81,L87,0)+IF(Q81=M88,L88,0)+IF(M89=Q81,L89,0)+IF(M90=Q81,L90,0)</f>
        <v>0</v>
      </c>
      <c r="V81">
        <f>IF(F93=Q81,E93,0)+IF(F94=Q81,E94,0)+IF(F95=Q81,E95,0)+IF(Q81=F96,E96,0)+IF(F97=Q81,E97,0)+IF(F98=Q81,E98,0)</f>
        <v>0</v>
      </c>
      <c r="W81" s="63">
        <f t="shared" si="10"/>
        <v>0</v>
      </c>
      <c r="AA81" t="s">
        <v>218</v>
      </c>
      <c r="AB81" t="s">
        <v>219</v>
      </c>
      <c r="AC81" s="14">
        <f>W91</f>
        <v>0</v>
      </c>
    </row>
    <row r="82" spans="1:29" ht="15.75" hidden="1" outlineLevel="2" thickBot="1" x14ac:dyDescent="0.3">
      <c r="A82" s="69" t="s">
        <v>108</v>
      </c>
      <c r="B82" s="96"/>
      <c r="C82" s="96"/>
      <c r="D82" s="102"/>
      <c r="E82" s="103"/>
      <c r="F82" s="38"/>
      <c r="H82" s="69" t="s">
        <v>108</v>
      </c>
      <c r="I82" s="96"/>
      <c r="J82" s="96"/>
      <c r="K82" s="102"/>
      <c r="L82" s="103"/>
      <c r="M82" s="38"/>
      <c r="O82" s="267"/>
      <c r="Q82" s="10" t="s">
        <v>147</v>
      </c>
      <c r="R82">
        <f>IF(F78=Q82,E78,0)+IF(F79=Q82,E79,0)+IF(F80=Q82,E80,0)+IF(Q82=F81,E81,0)+IF(F82=Q82,E82,0)+IF(F77=Q82,E77,0)</f>
        <v>0</v>
      </c>
      <c r="S82">
        <f>IF(M80=Q82,L80,0)+IF(M81=Q82,L81,0)+IF(M82=Q82,L82,0)+IF(Q82=M77,L77,0)+IF(M78=Q82,L78,0)+IF(M79=Q82,L79,0)</f>
        <v>0</v>
      </c>
      <c r="T82">
        <f>IF(F85=Q82,E85,0)+IF(F86=Q82,E86,0)+IF(F87=Q82,E87,0)+IF(Q82=F88,E88,0)+IF(F89=Q82,E89,0)+IF(F90=Q82,E90,0)</f>
        <v>0</v>
      </c>
      <c r="U82">
        <f>IF(M85=Q82,L85,0)+IF(M86=Q82,L86,0)+IF(M87=Q82,L87,0)+IF(Q82=M88,L88,0)+IF(M89=Q82,L89,0)+IF(M90=Q82,L90,0)</f>
        <v>0</v>
      </c>
      <c r="V82">
        <f>IF(F93=Q82,E93,0)+IF(F94=Q82,E94,0)+IF(F95=Q82,E95,0)+IF(Q82=F96,E96,0)+IF(F97=Q82,E97,0)+IF(F98=Q82,E98,0)</f>
        <v>0</v>
      </c>
      <c r="W82" s="63">
        <f t="shared" si="10"/>
        <v>0</v>
      </c>
      <c r="AA82" t="s">
        <v>166</v>
      </c>
      <c r="AB82" t="s">
        <v>220</v>
      </c>
      <c r="AC82" s="14" t="e">
        <f>W96</f>
        <v>#N/A</v>
      </c>
    </row>
    <row r="83" spans="1:29" ht="15.75" hidden="1" outlineLevel="2" thickBot="1" x14ac:dyDescent="0.3">
      <c r="A83" s="70" t="s">
        <v>109</v>
      </c>
      <c r="B83" s="97"/>
      <c r="C83" s="97"/>
      <c r="D83" s="71"/>
      <c r="E83" s="104"/>
      <c r="F83" s="38"/>
      <c r="H83" s="70" t="s">
        <v>109</v>
      </c>
      <c r="I83" s="97"/>
      <c r="J83" s="97"/>
      <c r="K83" s="71"/>
      <c r="L83" s="104"/>
      <c r="M83" s="38"/>
      <c r="O83" s="264" t="str">
        <f>"H. Dim. "&amp;A76</f>
        <v>H. Dim. Semaine 23</v>
      </c>
      <c r="Q83" s="10" t="s">
        <v>500</v>
      </c>
      <c r="R83">
        <f>IF(F79=Q83,E79,0)+IF(F80=Q83,E80,0)+IF(F81=Q83,E81,0)+IF(Q83=F82,E82,0)+IF(F77=Q83,E77,0)+IF(F78=Q83,E78,0)</f>
        <v>0</v>
      </c>
      <c r="S83">
        <f>IF(M80=Q83,L80,0)+IF(M81=Q83,L81,0)+IF(M82=Q83,L82,0)+IF(Q83=M77,L77,0)+IF(M78=Q83,L78,0)+IF(M79=Q83,L79,0)</f>
        <v>0</v>
      </c>
      <c r="T83">
        <f>IF(F85=Q83,E85,0)+IF(F86=Q83,E86,0)+IF(F87=Q83,E87,0)+IF(Q83=F88,E88,0)+IF(F89=Q83,E89,0)+IF(F90=Q83,E90,0)</f>
        <v>0</v>
      </c>
      <c r="U83">
        <f>IF(M85=Q83,L85,0)+IF(M86=Q83,L86,0)+IF(M87=Q83,L87,0)+IF(Q83=M88,L88,0)+IF(M89=Q83,L89,0)+IF(M90=Q83,L90,0)</f>
        <v>0</v>
      </c>
      <c r="V83">
        <f>IF(F93=Q83,E93,0)+IF(F94=Q83,E94,0)+IF(F95=Q83,E95,0)+IF(Q83=F96,E96,0)+IF(F97=Q83,E97,0)+IF(F98=Q83,E98,0)</f>
        <v>0</v>
      </c>
      <c r="W83" s="63">
        <f t="shared" si="10"/>
        <v>0</v>
      </c>
      <c r="AA83" t="s">
        <v>222</v>
      </c>
      <c r="AB83" t="s">
        <v>220</v>
      </c>
      <c r="AC83" s="14">
        <f>W97</f>
        <v>0</v>
      </c>
    </row>
    <row r="84" spans="1:29" ht="15.75" hidden="1" outlineLevel="2" thickBot="1" x14ac:dyDescent="0.3">
      <c r="A84" s="64" t="str">
        <f>A51</f>
        <v>Ne pas saisir</v>
      </c>
      <c r="B84" s="65" t="e">
        <f>B76</f>
        <v>#N/A</v>
      </c>
      <c r="C84" s="65" t="str">
        <f>C76</f>
        <v>Férié</v>
      </c>
      <c r="D84" s="66" t="e">
        <f>D76</f>
        <v>#N/A</v>
      </c>
      <c r="E84" s="66" t="e">
        <f>E76</f>
        <v>#N/A</v>
      </c>
      <c r="F84" s="67" t="str">
        <f>F76</f>
        <v>Type absence</v>
      </c>
      <c r="H84" s="64" t="str">
        <f>H51</f>
        <v>Ne pas saisir</v>
      </c>
      <c r="I84" s="65" t="e">
        <f>B76</f>
        <v>#N/A</v>
      </c>
      <c r="J84" s="65" t="str">
        <f>C76</f>
        <v>Férié</v>
      </c>
      <c r="K84" s="66" t="e">
        <f>D76</f>
        <v>#N/A</v>
      </c>
      <c r="L84" s="66" t="e">
        <f>E76</f>
        <v>#N/A</v>
      </c>
      <c r="M84" s="67" t="str">
        <f>F76</f>
        <v>Type absence</v>
      </c>
      <c r="O84" s="267"/>
      <c r="Q84" s="10" t="s">
        <v>148</v>
      </c>
      <c r="R84">
        <f>IF(F80=Q84,E80,0)+IF(F81=Q84,E81,0)+IF(F82=Q84,E82,0)+IF(Q84=F77,E77,0)+IF(F78=Q84,E78,0)+IF(F79=Q84,E79,0)</f>
        <v>0</v>
      </c>
      <c r="S84">
        <f>IF(M80=Q84,L80,0)+IF(M81=Q84,L81,0)+IF(M82=Q84,L82,0)+IF(Q84=M77,L77,0)+IF(M78=Q84,L78,0)+IF(M79=Q84,L79,0)</f>
        <v>0</v>
      </c>
      <c r="T84">
        <f>IF(F85=Q84,E85,0)+IF(F86=Q84,E86,0)+IF(F87=Q84,E87,0)+IF(Q84=F88,E88,0)+IF(F89=Q84,E89,0)+IF(F90=Q84,E90,0)</f>
        <v>0</v>
      </c>
      <c r="U84">
        <f>IF(M85=Q84,L85,0)+IF(M86=Q84,L86,0)+IF(M87=Q84,L87,0)+IF(Q84=M88,L88,0)+IF(M89=Q84,L89,0)+IF(M90=Q84,L90,0)</f>
        <v>0</v>
      </c>
      <c r="V84">
        <f>IF(F93=Q84,E93,0)+IF(F94=Q84,E94,0)+IF(F95=Q84,E95,0)+IF(Q84=F96,E96,0)+IF(F97=Q84,E97,0)+IF(F98=Q84,E98,0)</f>
        <v>0</v>
      </c>
      <c r="W84" s="63">
        <f t="shared" si="10"/>
        <v>0</v>
      </c>
      <c r="AA84" t="s">
        <v>223</v>
      </c>
      <c r="AB84" t="s">
        <v>224</v>
      </c>
      <c r="AC84" s="14">
        <f>W95</f>
        <v>0</v>
      </c>
    </row>
    <row r="85" spans="1:29" hidden="1" outlineLevel="2" x14ac:dyDescent="0.25">
      <c r="A85" s="69" t="s">
        <v>103</v>
      </c>
      <c r="B85" s="95"/>
      <c r="C85" s="95"/>
      <c r="D85" s="106"/>
      <c r="E85" s="105"/>
      <c r="F85" s="101"/>
      <c r="H85" s="69" t="s">
        <v>103</v>
      </c>
      <c r="I85" s="95"/>
      <c r="J85" s="95"/>
      <c r="K85" s="106"/>
      <c r="L85" s="105"/>
      <c r="M85" s="101"/>
      <c r="O85" s="264" t="str">
        <f>"H. Dim. "&amp;H76</f>
        <v>H. Dim. Semaine 24</v>
      </c>
      <c r="Q85" s="10" t="s">
        <v>150</v>
      </c>
      <c r="R85">
        <f>IF(F81=Q85,E81,0)+IF(F82=Q85,E82,0)+IF(F77=Q85,E77,0)+IF(Q85=F78,E78,0)+IF(F79=Q85,E79,0)+IF(F80=Q85,E80,0)</f>
        <v>0</v>
      </c>
      <c r="S85">
        <f>IF(M80=Q85,L80,0)+IF(M81=Q85,L81,0)+IF(M82=Q85,L82,0)+IF(Q85=M77,L77,0)+IF(M78=Q85,L78,0)+IF(M79=Q85,L79,0)</f>
        <v>0</v>
      </c>
      <c r="T85">
        <f>IF(F85=Q85,E85,0)+IF(F86=Q85,E86,0)+IF(F87=Q85,E87,0)+IF(Q85=F88,E88,0)+IF(F89=Q85,E89,0)+IF(F90=Q85,E90,0)</f>
        <v>0</v>
      </c>
      <c r="U85">
        <f>IF(M85=Q85,L85,0)+IF(M86=Q85,L86,0)+IF(M87=Q85,L87,0)+IF(Q85=M88,L88,0)+IF(M89=Q85,L89,0)+IF(M90=Q85,L90,0)</f>
        <v>0</v>
      </c>
      <c r="V85">
        <f>IF(F93=Q85,E93,0)+IF(F94=Q85,E94,0)+IF(F95=Q85,E95,0)+IF(Q85=F96,E96,0)+IF(F97=Q85,E97,0)+IF(F98=Q85,E98,0)</f>
        <v>0</v>
      </c>
      <c r="W85" s="63">
        <f t="shared" si="10"/>
        <v>0</v>
      </c>
      <c r="AB85" t="s">
        <v>267</v>
      </c>
      <c r="AC85">
        <f>(SUM(B77:B83))</f>
        <v>0</v>
      </c>
    </row>
    <row r="86" spans="1:29" ht="15.75" hidden="1" outlineLevel="2" thickBot="1" x14ac:dyDescent="0.3">
      <c r="A86" s="69" t="s">
        <v>104</v>
      </c>
      <c r="B86" s="96"/>
      <c r="C86" s="96"/>
      <c r="D86" s="102"/>
      <c r="E86" s="103"/>
      <c r="F86" s="38"/>
      <c r="H86" s="69" t="s">
        <v>104</v>
      </c>
      <c r="I86" s="96"/>
      <c r="J86" s="96"/>
      <c r="K86" s="102"/>
      <c r="L86" s="103"/>
      <c r="M86" s="38"/>
      <c r="O86" s="267"/>
      <c r="Q86" s="10" t="s">
        <v>502</v>
      </c>
      <c r="R86">
        <f>IF(F82=Q86,E82,0)+IF(F77=Q86,E77,0)+IF(F78=Q86,E78,0)+IF(Q86=F79,E79,0)+IF(F80=Q86,E80,0)+IF(F81=Q86,E81,0)</f>
        <v>0</v>
      </c>
      <c r="S86">
        <f>IF(M80=Q86,L80,0)+IF(M81=Q86,L81,0)+IF(M82=Q86,L82,0)+IF(Q86=M77,L77,0)+IF(M78=Q86,L78,0)+IF(M79=Q86,L79,0)</f>
        <v>0</v>
      </c>
      <c r="T86">
        <f>IF(F85=Q86,E85,0)+IF(F86=Q86,E86,0)+IF(F87=Q86,E87,0)+IF(Q86=F88,E88,0)+IF(F89=Q86,E89,0)+IF(F90=Q86,E90,0)</f>
        <v>0</v>
      </c>
      <c r="U86">
        <f>IF(M85=Q86,L85,0)+IF(M86=Q86,L86,0)+IF(M87=Q86,L87,0)+IF(Q86=M88,L88,0)+IF(M89=Q86,L89,0)+IF(M90=Q86,L90,0)</f>
        <v>0</v>
      </c>
      <c r="V86">
        <f>IF(F93=Q86,E93,0)+IF(F94=Q86,E94,0)+IF(F95=Q86,E95,0)+IF(Q86=F96,E96,0)+IF(F97=Q86,E97,0)+IF(F98=Q86,E98,0)</f>
        <v>0</v>
      </c>
      <c r="W86" s="63">
        <f t="shared" si="10"/>
        <v>0</v>
      </c>
      <c r="AB86" t="s">
        <v>268</v>
      </c>
      <c r="AC86">
        <f>(SUM(I77:I83))</f>
        <v>0</v>
      </c>
    </row>
    <row r="87" spans="1:29" hidden="1" outlineLevel="2" x14ac:dyDescent="0.25">
      <c r="A87" s="69" t="s">
        <v>105</v>
      </c>
      <c r="B87" s="96"/>
      <c r="C87" s="96"/>
      <c r="D87" s="102"/>
      <c r="E87" s="103"/>
      <c r="F87" s="38"/>
      <c r="H87" s="69" t="s">
        <v>105</v>
      </c>
      <c r="I87" s="96"/>
      <c r="J87" s="96"/>
      <c r="K87" s="102"/>
      <c r="L87" s="103"/>
      <c r="M87" s="38"/>
      <c r="O87" s="264" t="str">
        <f>"H. Dim. "&amp;A84</f>
        <v>H. Dim. Ne pas saisir</v>
      </c>
      <c r="Q87" s="10" t="s">
        <v>498</v>
      </c>
      <c r="R87">
        <f>IF(F77=Q87,E77,0)+IF(F78=Q87,E78,0)+IF(F79=Q87,E79,0)+IF(Q87=F80,E80,0)+IF(F81=Q87,E81,0)+IF(F82=Q87,E82,0)</f>
        <v>0</v>
      </c>
      <c r="S87">
        <f>IF(M80=Q87,L80,0)+IF(M81=Q87,L81,0)+IF(M82=Q87,L82,0)+IF(Q87=M77,L77,0)+IF(M78=Q87,L78,0)+IF(M79=Q87,L79,0)</f>
        <v>0</v>
      </c>
      <c r="T87">
        <f>IF(F85=Q87,E85,0)+IF(F86=Q87,E86,0)+IF(F87=Q87,E87,0)+IF(Q87=F88,E88,0)+IF(F89=Q87,E89,0)+IF(F90=Q87,E90,0)</f>
        <v>0</v>
      </c>
      <c r="U87">
        <f>IF(M85=Q87,L85,0)+IF(M86=Q87,L86,0)+IF(M87=Q87,L87,0)+IF(Q87=M88,L88,0)+IF(M89=Q87,L89,0)+IF(M90=Q87,L90,0)</f>
        <v>0</v>
      </c>
      <c r="V87">
        <f>IF(F93=Q87,E93,0)+IF(F94=Q87,E94,0)+IF(F95=Q87,E95,0)+IF(Q87=F96,E96,0)+IF(F97=Q87,E97,0)+IF(F98=Q87,E98,0)</f>
        <v>0</v>
      </c>
      <c r="W87" s="63">
        <f t="shared" si="10"/>
        <v>0</v>
      </c>
      <c r="AB87" t="s">
        <v>269</v>
      </c>
      <c r="AC87">
        <f>(SUM(B85:B91))</f>
        <v>0</v>
      </c>
    </row>
    <row r="88" spans="1:29" ht="15.75" hidden="1" outlineLevel="2" thickBot="1" x14ac:dyDescent="0.3">
      <c r="A88" s="69" t="s">
        <v>106</v>
      </c>
      <c r="B88" s="96"/>
      <c r="C88" s="96"/>
      <c r="D88" s="102"/>
      <c r="E88" s="103"/>
      <c r="F88" s="38"/>
      <c r="H88" s="69" t="s">
        <v>106</v>
      </c>
      <c r="I88" s="96"/>
      <c r="J88" s="96"/>
      <c r="K88" s="102"/>
      <c r="L88" s="103"/>
      <c r="M88" s="38"/>
      <c r="O88" s="267"/>
      <c r="P88" s="72"/>
      <c r="Q88" s="73" t="s">
        <v>501</v>
      </c>
      <c r="R88" s="72">
        <f>IF(F78=Q88,E78,0)+IF(F79=Q88,E79,0)+IF(F80=Q88,E80,0)+IF(Q88=F81,E81,0)+IF(F82=Q88,E82,0)+IF(F77=Q88,E77,0)</f>
        <v>0</v>
      </c>
      <c r="S88" s="72">
        <f>IF(M80=Q88,L80,0)+IF(M81=Q88,L81,0)+IF(M82=Q88,L82,0)+IF(Q88=M77,L77,0)+IF(M78=Q88,L78,0)+IF(M79=Q88,L79,0)</f>
        <v>0</v>
      </c>
      <c r="T88" s="72">
        <f>IF(F85=Q88,E85,0)+IF(F86=Q88,E86,0)+IF(F87=Q88,E87,0)+IF(Q88=F88,E88,0)+IF(F89=Q88,E89,0)+IF(F90=Q88,E90,0)</f>
        <v>0</v>
      </c>
      <c r="U88" s="72">
        <f>IF(M85=Q88,L85,0)+IF(M86=Q88,L86,0)+IF(M87=Q88,L87,0)+IF(Q88=M88,L88,0)+IF(M89=Q88,L89,0)+IF(M90=Q88,L90,0)</f>
        <v>0</v>
      </c>
      <c r="V88" s="72">
        <f>IF(F93=Q88,E93,0)+IF(F94=Q88,E94,0)+IF(F95=Q88,E95,0)+IF(Q88=F96,E96,0)+IF(F97=Q88,E97,0)+IF(F98=Q88,E98,0)</f>
        <v>0</v>
      </c>
      <c r="W88" s="74">
        <f t="shared" si="10"/>
        <v>0</v>
      </c>
      <c r="AB88" t="s">
        <v>270</v>
      </c>
      <c r="AC88">
        <f>(SUM(I85:I91))</f>
        <v>0</v>
      </c>
    </row>
    <row r="89" spans="1:29" hidden="1" outlineLevel="2" x14ac:dyDescent="0.25">
      <c r="A89" s="69" t="s">
        <v>107</v>
      </c>
      <c r="B89" s="96"/>
      <c r="C89" s="96"/>
      <c r="D89" s="102"/>
      <c r="E89" s="103"/>
      <c r="F89" s="38"/>
      <c r="H89" s="69" t="s">
        <v>107</v>
      </c>
      <c r="I89" s="96"/>
      <c r="J89" s="96"/>
      <c r="K89" s="102"/>
      <c r="L89" s="103"/>
      <c r="M89" s="38"/>
      <c r="O89" s="264" t="str">
        <f>"H. Dim. "&amp;H84</f>
        <v>H. Dim. Ne pas saisir</v>
      </c>
      <c r="Q89" s="75" t="s">
        <v>169</v>
      </c>
      <c r="W89" s="76"/>
      <c r="AB89" t="s">
        <v>271</v>
      </c>
      <c r="AC89">
        <f>(SUM(B93:B99))</f>
        <v>0</v>
      </c>
    </row>
    <row r="90" spans="1:29" ht="15.75" hidden="1" outlineLevel="2" thickBot="1" x14ac:dyDescent="0.3">
      <c r="A90" s="69" t="s">
        <v>108</v>
      </c>
      <c r="B90" s="96"/>
      <c r="C90" s="96"/>
      <c r="D90" s="102"/>
      <c r="E90" s="103"/>
      <c r="F90" s="38"/>
      <c r="H90" s="69" t="s">
        <v>108</v>
      </c>
      <c r="I90" s="96"/>
      <c r="J90" s="96"/>
      <c r="K90" s="102"/>
      <c r="L90" s="103"/>
      <c r="M90" s="38"/>
      <c r="O90" s="267"/>
      <c r="Q90" s="75" t="s">
        <v>175</v>
      </c>
      <c r="W90" s="63">
        <f>SUM((IF(R90&gt;0,R90,0)+(IF(S90&gt;0,S90,0)+(IF(T90&gt;0,T90,0)+(IF(U90&gt;0,U90,0)+(IF(V90&gt;0,V90,0)))))))</f>
        <v>0</v>
      </c>
      <c r="AA90" t="s">
        <v>313</v>
      </c>
      <c r="AB90" t="s">
        <v>314</v>
      </c>
      <c r="AC90" t="e">
        <f>W94</f>
        <v>#N/A</v>
      </c>
    </row>
    <row r="91" spans="1:29" ht="15.75" hidden="1" outlineLevel="2" thickBot="1" x14ac:dyDescent="0.3">
      <c r="A91" s="70" t="s">
        <v>109</v>
      </c>
      <c r="B91" s="97"/>
      <c r="C91" s="97"/>
      <c r="D91" s="71"/>
      <c r="E91" s="104"/>
      <c r="F91" s="38"/>
      <c r="H91" s="70" t="s">
        <v>109</v>
      </c>
      <c r="I91" s="97"/>
      <c r="J91" s="97"/>
      <c r="K91" s="71"/>
      <c r="L91" s="104"/>
      <c r="M91" s="39"/>
      <c r="O91" s="264" t="str">
        <f>"H. Dim. "&amp;A92</f>
        <v>H. Dim. Ne pas saisir</v>
      </c>
      <c r="P91" t="s">
        <v>170</v>
      </c>
      <c r="Q91" s="10" t="s">
        <v>162</v>
      </c>
      <c r="R91">
        <f>IF(R90&gt;=R89,R89,R90)</f>
        <v>0</v>
      </c>
      <c r="S91">
        <f>IF(S90&gt;=S89,S89,S90)</f>
        <v>0</v>
      </c>
      <c r="T91">
        <f>IF(T90&gt;=T89,T89,T90)</f>
        <v>0</v>
      </c>
      <c r="U91">
        <f>IF(U90&gt;=U89,U89,U90)</f>
        <v>0</v>
      </c>
      <c r="V91">
        <f>IF(V90&gt;=V89,V89,V90)</f>
        <v>0</v>
      </c>
      <c r="W91" s="63">
        <f>SUM((IF(R91&gt;0,R91,0)+(IF(S91&gt;0,S91,0)+(IF(T91&gt;0,T91,0)+(IF(U91&gt;0,U91,0)+(IF(V91&gt;0,V91,0)))))))</f>
        <v>0</v>
      </c>
    </row>
    <row r="92" spans="1:29" ht="15.75" hidden="1" outlineLevel="2" thickBot="1" x14ac:dyDescent="0.3">
      <c r="A92" s="64" t="str">
        <f>A59</f>
        <v>Ne pas saisir</v>
      </c>
      <c r="B92" s="65" t="e">
        <f>B76</f>
        <v>#N/A</v>
      </c>
      <c r="C92" s="65" t="str">
        <f>C76</f>
        <v>Férié</v>
      </c>
      <c r="D92" s="66" t="e">
        <f>D76</f>
        <v>#N/A</v>
      </c>
      <c r="E92" s="66" t="e">
        <f>E76</f>
        <v>#N/A</v>
      </c>
      <c r="F92" s="67" t="str">
        <f>F76</f>
        <v>Type absence</v>
      </c>
      <c r="H92" s="77" t="s">
        <v>136</v>
      </c>
      <c r="I92" s="78" t="e">
        <f>B76</f>
        <v>#N/A</v>
      </c>
      <c r="J92" s="78" t="str">
        <f>C76</f>
        <v>Férié</v>
      </c>
      <c r="K92" s="79" t="e">
        <f>D76</f>
        <v>#N/A</v>
      </c>
      <c r="L92" s="80" t="e">
        <f>E76</f>
        <v>#N/A</v>
      </c>
      <c r="M92" s="49"/>
      <c r="O92" s="267"/>
      <c r="P92" t="s">
        <v>170</v>
      </c>
      <c r="Q92" s="10" t="s">
        <v>163</v>
      </c>
      <c r="R92">
        <f>R90-R91</f>
        <v>0</v>
      </c>
      <c r="S92">
        <f>S90-S91</f>
        <v>0</v>
      </c>
      <c r="T92">
        <f>T90-T91</f>
        <v>0</v>
      </c>
      <c r="U92">
        <f>U90-U91</f>
        <v>0</v>
      </c>
      <c r="V92">
        <f>V90-V91</f>
        <v>0</v>
      </c>
      <c r="W92" s="63">
        <f t="shared" ref="W92:W97" si="11">SUM(R92:V92)</f>
        <v>0</v>
      </c>
    </row>
    <row r="93" spans="1:29" hidden="1" outlineLevel="2" x14ac:dyDescent="0.25">
      <c r="A93" s="69" t="s">
        <v>103</v>
      </c>
      <c r="B93" s="95"/>
      <c r="C93" s="95"/>
      <c r="D93" s="106"/>
      <c r="E93" s="105"/>
      <c r="F93" s="101"/>
      <c r="H93" s="81" t="s">
        <v>103</v>
      </c>
      <c r="I93" s="82">
        <f t="shared" ref="I93:I98" si="12">B77+I77+B85+I85+B93</f>
        <v>0</v>
      </c>
      <c r="J93" s="82">
        <f t="shared" ref="J93:J98" si="13">C77+J77+C85+J85+C93</f>
        <v>0</v>
      </c>
      <c r="K93" s="83">
        <f t="shared" ref="K93:K98" si="14">D77+K77+D85+K85+D93</f>
        <v>0</v>
      </c>
      <c r="L93" s="84">
        <f t="shared" ref="L93:L98" si="15">E77+L77+E85+L85+E93</f>
        <v>0</v>
      </c>
      <c r="M93" s="303" t="s">
        <v>177</v>
      </c>
      <c r="N93" s="304"/>
      <c r="O93" s="304"/>
      <c r="Q93" s="10" t="s">
        <v>164</v>
      </c>
      <c r="R93" t="e">
        <f>IF(AND(K74="non",(SUM(B77:B83)&gt;U73)),SUM(B77:B83)-U73,0)</f>
        <v>#N/A</v>
      </c>
      <c r="S93" t="e">
        <f>IF(AND(K74="non",(SUM(I77:I83)&gt;U73)),SUM(I77:I83)-U73,0)</f>
        <v>#N/A</v>
      </c>
      <c r="T93" t="e">
        <f>IF(AND(K74="non",(SUM(B85:B91)&gt;U73)),SUM(B85:B91)-U73,0)</f>
        <v>#N/A</v>
      </c>
      <c r="U93" t="e">
        <f>IF(AND(K74="non",(SUM(I85:I91)&gt;U73)),SUM(I85:I91)-U73,0)</f>
        <v>#N/A</v>
      </c>
      <c r="V93" t="e">
        <f>IF(AND(K74="non",(SUM(B93:B99)&gt;U73)),SUM(B93:B99)-U73,0)</f>
        <v>#N/A</v>
      </c>
      <c r="W93" s="63" t="e">
        <f t="shared" si="11"/>
        <v>#N/A</v>
      </c>
    </row>
    <row r="94" spans="1:29" hidden="1" outlineLevel="2" x14ac:dyDescent="0.25">
      <c r="A94" s="69" t="s">
        <v>104</v>
      </c>
      <c r="B94" s="96"/>
      <c r="C94" s="96"/>
      <c r="D94" s="102"/>
      <c r="E94" s="103"/>
      <c r="F94" s="38"/>
      <c r="H94" s="81" t="s">
        <v>104</v>
      </c>
      <c r="I94" s="88">
        <f t="shared" si="12"/>
        <v>0</v>
      </c>
      <c r="J94" s="88">
        <f t="shared" si="13"/>
        <v>0</v>
      </c>
      <c r="K94" s="89">
        <f t="shared" si="14"/>
        <v>0</v>
      </c>
      <c r="L94" s="90">
        <f t="shared" si="15"/>
        <v>0</v>
      </c>
      <c r="M94" s="49"/>
      <c r="P94" t="s">
        <v>167</v>
      </c>
      <c r="Q94" s="10" t="s">
        <v>165</v>
      </c>
      <c r="R94" t="e">
        <f>IF(H75="Cadre",0,SUM(C77:C83))</f>
        <v>#N/A</v>
      </c>
      <c r="S94" t="e">
        <f>IF(H75="Cadre",0,SUM(J77:J83))</f>
        <v>#N/A</v>
      </c>
      <c r="T94" t="e">
        <f>IF(H75="Cadre",0,SUM(C85:C91))</f>
        <v>#N/A</v>
      </c>
      <c r="U94" t="e">
        <f>IF(H75="Cadre",0,SUM(J85:J91))</f>
        <v>#N/A</v>
      </c>
      <c r="V94" t="e">
        <f>IF(H75="Cadre",0,SUM(C93:C99))</f>
        <v>#N/A</v>
      </c>
      <c r="W94" s="63" t="e">
        <f t="shared" si="11"/>
        <v>#N/A</v>
      </c>
    </row>
    <row r="95" spans="1:29" hidden="1" outlineLevel="2" x14ac:dyDescent="0.25">
      <c r="A95" s="69" t="s">
        <v>105</v>
      </c>
      <c r="B95" s="96"/>
      <c r="C95" s="96"/>
      <c r="D95" s="102"/>
      <c r="E95" s="103"/>
      <c r="F95" s="38"/>
      <c r="H95" s="81" t="s">
        <v>105</v>
      </c>
      <c r="I95" s="88">
        <f t="shared" si="12"/>
        <v>0</v>
      </c>
      <c r="J95" s="88">
        <f t="shared" si="13"/>
        <v>0</v>
      </c>
      <c r="K95" s="89">
        <f t="shared" si="14"/>
        <v>0</v>
      </c>
      <c r="L95" s="90">
        <f t="shared" si="15"/>
        <v>0</v>
      </c>
      <c r="M95" s="49"/>
      <c r="P95" t="s">
        <v>168</v>
      </c>
      <c r="Q95" s="10" t="s">
        <v>165</v>
      </c>
      <c r="R95">
        <f>O74</f>
        <v>0</v>
      </c>
      <c r="S95">
        <f>O76</f>
        <v>0</v>
      </c>
      <c r="T95">
        <f>O78</f>
        <v>0</v>
      </c>
      <c r="U95">
        <f>O80</f>
        <v>0</v>
      </c>
      <c r="V95">
        <f>O82</f>
        <v>0</v>
      </c>
      <c r="W95" s="63">
        <f t="shared" si="11"/>
        <v>0</v>
      </c>
    </row>
    <row r="96" spans="1:29" hidden="1" outlineLevel="2" x14ac:dyDescent="0.25">
      <c r="A96" s="69" t="s">
        <v>106</v>
      </c>
      <c r="B96" s="96"/>
      <c r="C96" s="96"/>
      <c r="D96" s="102"/>
      <c r="E96" s="103"/>
      <c r="F96" s="38"/>
      <c r="H96" s="81" t="s">
        <v>106</v>
      </c>
      <c r="I96" s="88">
        <f t="shared" si="12"/>
        <v>0</v>
      </c>
      <c r="J96" s="88">
        <f t="shared" si="13"/>
        <v>0</v>
      </c>
      <c r="K96" s="89">
        <f t="shared" si="14"/>
        <v>0</v>
      </c>
      <c r="L96" s="90">
        <f t="shared" si="15"/>
        <v>0</v>
      </c>
      <c r="M96" s="49"/>
      <c r="P96" t="s">
        <v>166</v>
      </c>
      <c r="Q96" s="10" t="s">
        <v>159</v>
      </c>
      <c r="R96" t="e">
        <f>IF(H75="Employé",B83,0)</f>
        <v>#N/A</v>
      </c>
      <c r="S96" t="e">
        <f>IF(H75="Employé",I83,0)</f>
        <v>#N/A</v>
      </c>
      <c r="T96" t="e">
        <f>IF(H75="Employé",B91,0)</f>
        <v>#N/A</v>
      </c>
      <c r="U96" t="e">
        <f>IF(H75="Employé",I91,0)</f>
        <v>#N/A</v>
      </c>
      <c r="V96" t="e">
        <f>IF(H75="Employé",B99,0)</f>
        <v>#N/A</v>
      </c>
      <c r="W96" s="63" t="e">
        <f t="shared" si="11"/>
        <v>#N/A</v>
      </c>
    </row>
    <row r="97" spans="1:29" hidden="1" outlineLevel="2" x14ac:dyDescent="0.25">
      <c r="A97" s="69" t="s">
        <v>107</v>
      </c>
      <c r="B97" s="96"/>
      <c r="C97" s="96"/>
      <c r="D97" s="102"/>
      <c r="E97" s="103"/>
      <c r="F97" s="38"/>
      <c r="H97" s="81" t="s">
        <v>107</v>
      </c>
      <c r="I97" s="88">
        <f t="shared" si="12"/>
        <v>0</v>
      </c>
      <c r="J97" s="88">
        <f t="shared" si="13"/>
        <v>0</v>
      </c>
      <c r="K97" s="89">
        <f t="shared" si="14"/>
        <v>0</v>
      </c>
      <c r="L97" s="90">
        <f t="shared" si="15"/>
        <v>0</v>
      </c>
      <c r="M97" s="303" t="s">
        <v>178</v>
      </c>
      <c r="N97" s="304"/>
      <c r="O97" s="304"/>
      <c r="P97" t="s">
        <v>297</v>
      </c>
      <c r="Q97" s="10" t="s">
        <v>159</v>
      </c>
      <c r="R97">
        <f>O84</f>
        <v>0</v>
      </c>
      <c r="S97">
        <f>O86</f>
        <v>0</v>
      </c>
      <c r="T97">
        <f>O88</f>
        <v>0</v>
      </c>
      <c r="U97">
        <f>O90</f>
        <v>0</v>
      </c>
      <c r="V97">
        <f>O92</f>
        <v>0</v>
      </c>
      <c r="W97" s="63">
        <f t="shared" si="11"/>
        <v>0</v>
      </c>
    </row>
    <row r="98" spans="1:29" hidden="1" outlineLevel="2" x14ac:dyDescent="0.25">
      <c r="A98" s="69" t="s">
        <v>108</v>
      </c>
      <c r="B98" s="96"/>
      <c r="C98" s="96"/>
      <c r="D98" s="102"/>
      <c r="E98" s="103"/>
      <c r="F98" s="38"/>
      <c r="H98" s="81" t="s">
        <v>108</v>
      </c>
      <c r="I98" s="88">
        <f t="shared" si="12"/>
        <v>0</v>
      </c>
      <c r="J98" s="88">
        <f t="shared" si="13"/>
        <v>0</v>
      </c>
      <c r="K98" s="89">
        <f t="shared" si="14"/>
        <v>0</v>
      </c>
      <c r="L98" s="90">
        <f t="shared" si="15"/>
        <v>0</v>
      </c>
      <c r="M98" s="49"/>
      <c r="P98" t="s">
        <v>171</v>
      </c>
      <c r="Q98" s="10" t="s">
        <v>172</v>
      </c>
      <c r="R98" s="2"/>
      <c r="S98" s="2"/>
      <c r="T98" s="2"/>
      <c r="U98" s="2"/>
      <c r="V98" s="2"/>
      <c r="W98" s="91" t="e">
        <f>IF(AND(K74="non",H75="Employé"),SUM(I93:I99)+(SUM(W75:W88)-W71),(SUM(I93:I99)-W90)+(SUM(W75:W88)-W71))</f>
        <v>#N/A</v>
      </c>
    </row>
    <row r="99" spans="1:29" ht="15.75" hidden="1" outlineLevel="2" thickBot="1" x14ac:dyDescent="0.3">
      <c r="A99" s="70" t="s">
        <v>109</v>
      </c>
      <c r="B99" s="97"/>
      <c r="C99" s="97"/>
      <c r="D99" s="71"/>
      <c r="E99" s="104"/>
      <c r="F99" s="39"/>
      <c r="H99" s="92" t="s">
        <v>109</v>
      </c>
      <c r="I99" s="93">
        <f>(B83+I83+B91+I91+B99)</f>
        <v>0</v>
      </c>
      <c r="J99" s="93">
        <f>(C83+J83+C91+J91+C99)</f>
        <v>0</v>
      </c>
      <c r="K99" s="71">
        <f>(D83+K83+D91+K91+D99)</f>
        <v>0</v>
      </c>
      <c r="L99" s="94">
        <f>(E83+L83+E91+L91+E99)</f>
        <v>0</v>
      </c>
      <c r="M99" s="49"/>
      <c r="P99" t="s">
        <v>176</v>
      </c>
      <c r="Q99" s="10" t="s">
        <v>172</v>
      </c>
      <c r="R99" s="2"/>
      <c r="S99" s="2"/>
      <c r="T99" s="2"/>
      <c r="U99" s="2"/>
      <c r="V99" s="2"/>
      <c r="W99" s="91" t="e">
        <f>IF(H75="Cadre",((SUM(I93:I99)+SUM(W75:W88)-W77-W78)/2),0)</f>
        <v>#N/A</v>
      </c>
    </row>
    <row r="100" spans="1:29" ht="15" customHeight="1" collapsed="1" x14ac:dyDescent="0.25">
      <c r="D100" s="302" t="s">
        <v>298</v>
      </c>
      <c r="E100" s="302"/>
      <c r="F100" s="302"/>
      <c r="G100" s="302"/>
      <c r="H100" s="302"/>
      <c r="I100" s="302"/>
      <c r="J100" s="302"/>
      <c r="K100" s="302"/>
      <c r="L100" s="42" t="s">
        <v>281</v>
      </c>
      <c r="N100" s="43"/>
      <c r="O100" s="43" t="s">
        <v>179</v>
      </c>
      <c r="P100" s="15" t="s">
        <v>157</v>
      </c>
      <c r="AA100" s="15" t="s">
        <v>157</v>
      </c>
    </row>
    <row r="101" spans="1:29" hidden="1" outlineLevel="1" x14ac:dyDescent="0.25">
      <c r="D101" s="302"/>
      <c r="E101" s="302"/>
      <c r="F101" s="302"/>
      <c r="G101" s="302"/>
      <c r="H101" s="302"/>
      <c r="I101" s="302"/>
      <c r="J101" s="302"/>
      <c r="K101" s="302"/>
      <c r="N101" s="43"/>
      <c r="O101" s="43" t="s">
        <v>180</v>
      </c>
      <c r="AC101" t="s">
        <v>201</v>
      </c>
    </row>
    <row r="102" spans="1:29" hidden="1" outlineLevel="1" x14ac:dyDescent="0.25">
      <c r="D102" s="302"/>
      <c r="E102" s="302"/>
      <c r="F102" s="302"/>
      <c r="G102" s="302"/>
      <c r="H102" s="302"/>
      <c r="I102" s="302"/>
      <c r="J102" s="302"/>
      <c r="K102" s="302"/>
      <c r="N102" s="44"/>
      <c r="O102" s="44" t="s">
        <v>181</v>
      </c>
      <c r="AA102" s="15" t="s">
        <v>200</v>
      </c>
      <c r="AC102" s="2" t="str">
        <f>I104</f>
        <v>Juin</v>
      </c>
    </row>
    <row r="103" spans="1:29" hidden="1" outlineLevel="1" x14ac:dyDescent="0.25">
      <c r="A103" s="45" t="s">
        <v>3</v>
      </c>
      <c r="B103" s="46">
        <f>'Synthèse Horaires'!$B$4</f>
        <v>2026</v>
      </c>
      <c r="C103" s="47"/>
      <c r="D103" s="48" t="s">
        <v>1</v>
      </c>
      <c r="E103" s="46">
        <f>'Synthèse Horaires'!$D$4</f>
        <v>0</v>
      </c>
      <c r="F103" s="49"/>
      <c r="G103" s="49"/>
      <c r="H103" s="48" t="s">
        <v>2</v>
      </c>
      <c r="I103" s="47">
        <f>'Synthèse Horaires'!$I$4</f>
        <v>0</v>
      </c>
      <c r="J103" s="50"/>
      <c r="K103" s="50"/>
      <c r="N103" s="44"/>
      <c r="O103" s="44" t="s">
        <v>202</v>
      </c>
      <c r="V103" s="10" t="s">
        <v>174</v>
      </c>
      <c r="W103" s="51" t="e">
        <f>IF(K107="non",SUM(K126:K132)*(35/6),SUM(K126:K132)*(K107/6))</f>
        <v>#N/A</v>
      </c>
      <c r="AB103" t="s">
        <v>6</v>
      </c>
      <c r="AC103" s="14">
        <f>B107</f>
        <v>0</v>
      </c>
    </row>
    <row r="104" spans="1:29" hidden="1" outlineLevel="1" x14ac:dyDescent="0.25">
      <c r="A104" s="45" t="s">
        <v>10</v>
      </c>
      <c r="B104" s="49"/>
      <c r="C104" s="49"/>
      <c r="D104" s="50" t="str">
        <f>'Synthèse Horaires'!$C$6</f>
        <v>01 juin 2026 au 31 mai 2027.</v>
      </c>
      <c r="E104" s="2"/>
      <c r="H104" s="48" t="s">
        <v>205</v>
      </c>
      <c r="I104" s="47" t="str">
        <f>'Synthèse Horaires'!$I$5</f>
        <v>Juin</v>
      </c>
      <c r="N104" s="44"/>
      <c r="O104" s="44" t="s">
        <v>203</v>
      </c>
      <c r="V104" s="10" t="s">
        <v>173</v>
      </c>
      <c r="W104">
        <f>W110+W111</f>
        <v>0</v>
      </c>
      <c r="AB104" t="s">
        <v>57</v>
      </c>
      <c r="AC104" s="14" t="e">
        <f>B108</f>
        <v>#N/A</v>
      </c>
    </row>
    <row r="105" spans="1:29" ht="9.75" hidden="1" customHeight="1" outlineLevel="1" thickBot="1" x14ac:dyDescent="0.3">
      <c r="A105" s="22"/>
      <c r="B105" s="22"/>
      <c r="C105" s="22"/>
      <c r="D105" s="22"/>
      <c r="E105" s="22"/>
      <c r="F105" s="22"/>
      <c r="G105" s="22"/>
      <c r="H105" s="22"/>
      <c r="I105" s="22"/>
      <c r="J105" s="22"/>
      <c r="K105" s="22"/>
      <c r="L105" s="22"/>
      <c r="M105" s="22"/>
      <c r="N105" s="22"/>
      <c r="O105" s="22"/>
      <c r="AB105" t="s">
        <v>211</v>
      </c>
      <c r="AC105" s="14" t="e">
        <f>H108</f>
        <v>#N/A</v>
      </c>
    </row>
    <row r="106" spans="1:29" hidden="1" outlineLevel="1" x14ac:dyDescent="0.25">
      <c r="A106" s="4" t="s">
        <v>58</v>
      </c>
      <c r="B106" s="4"/>
      <c r="C106" s="4"/>
      <c r="D106" s="4"/>
      <c r="E106" s="4"/>
      <c r="F106" s="4"/>
      <c r="G106" s="4"/>
      <c r="H106" s="4"/>
      <c r="O106" s="265" t="str">
        <f>"H. Férié. "&amp;A109</f>
        <v>H. Férié. Semaine 23</v>
      </c>
      <c r="P106" s="53" t="s">
        <v>6</v>
      </c>
      <c r="Q106" s="2">
        <f>B107</f>
        <v>0</v>
      </c>
      <c r="T106" s="10" t="s">
        <v>76</v>
      </c>
      <c r="U106" s="2" t="e">
        <f>VLOOKUP(B107,'Base Matricule Siège'!$B$12:$F$1000,5,FALSE)</f>
        <v>#N/A</v>
      </c>
      <c r="AA106" t="s">
        <v>215</v>
      </c>
      <c r="AB106" t="s">
        <v>207</v>
      </c>
      <c r="AC106" s="14" t="e">
        <f>IF(AC105="Cadre",0,W131)</f>
        <v>#N/A</v>
      </c>
    </row>
    <row r="107" spans="1:29" ht="15.75" hidden="1" outlineLevel="1" thickBot="1" x14ac:dyDescent="0.3">
      <c r="A107" s="49" t="s">
        <v>18</v>
      </c>
      <c r="B107" s="113">
        <v>0</v>
      </c>
      <c r="E107" s="49"/>
      <c r="G107" s="57" t="s">
        <v>317</v>
      </c>
      <c r="H107" s="58" t="e">
        <f>VLOOKUP(B107,'Base Matricule Siège'!$B$13:$H$1000,5,FALSE)</f>
        <v>#N/A</v>
      </c>
      <c r="J107" s="10" t="s">
        <v>161</v>
      </c>
      <c r="K107" s="58" t="e">
        <f>IF((VLOOKUP('MASQUE COLLABORATEUR'!B107,'Base Matricule Siège'!$B$13:$E$1000,4,FALSE)&lt;'Base Matricule Siège'!$G$5),(VLOOKUP('MASQUE COLLABORATEUR'!B107,'Base Matricule Siège'!$B$13:$E$1000,4,FALSE)),"non")</f>
        <v>#N/A</v>
      </c>
      <c r="O107" s="267"/>
      <c r="R107" t="s">
        <v>151</v>
      </c>
      <c r="S107" t="s">
        <v>152</v>
      </c>
      <c r="T107" t="s">
        <v>153</v>
      </c>
      <c r="U107" t="s">
        <v>154</v>
      </c>
      <c r="V107" t="s">
        <v>155</v>
      </c>
      <c r="W107" s="59" t="s">
        <v>156</v>
      </c>
      <c r="AB107" t="s">
        <v>11</v>
      </c>
      <c r="AC107" s="14" t="e">
        <f>W132</f>
        <v>#N/A</v>
      </c>
    </row>
    <row r="108" spans="1:29" ht="15.75" hidden="1" outlineLevel="1" thickBot="1" x14ac:dyDescent="0.3">
      <c r="A108" s="49" t="s">
        <v>59</v>
      </c>
      <c r="B108" s="2" t="e">
        <f>VLOOKUP(B107,'Base Matricule Siège'!$B$13:$C$1000,2,FALSE)</f>
        <v>#N/A</v>
      </c>
      <c r="C108" s="2"/>
      <c r="D108" s="2"/>
      <c r="G108" s="57" t="s">
        <v>158</v>
      </c>
      <c r="H108" s="58" t="e">
        <f>VLOOKUP(B107,'Base Matricule Siège'!$B$13:$G$1000,6,FALSE)</f>
        <v>#N/A</v>
      </c>
      <c r="O108" s="264" t="str">
        <f>"H. Férié. "&amp;H109</f>
        <v>H. Férié. Semaine 24</v>
      </c>
      <c r="P108" s="10" t="s">
        <v>142</v>
      </c>
      <c r="Q108" s="10" t="s">
        <v>149</v>
      </c>
      <c r="R108">
        <f>IF(F110=Q108,E110,0)+IF(F111=Q108,E111,0)+IF(F112=Q108,E112,0)+IF(Q108=F113,E113,0)+IF(F114=Q108,E114,0)+IF(F115=Q108,E115,0)</f>
        <v>0</v>
      </c>
      <c r="S108">
        <f>IF(M110=Q108,L110,0)+IF(M111=Q108,L111,0)+IF(M112=Q108,L112,0)+IF(Q108=M113,L113,0)+IF(M114=Q108,L114,0)+IF(M115=Q108,L115,0)</f>
        <v>0</v>
      </c>
      <c r="T108">
        <f>IF(F118=Q108,E118,0)+IF(F119=Q108,E119,0)+IF(F120=Q108,E120,0)+IF(Q108=F121,E121,0)+IF(F122=Q108,E122,0)+IF(F123=Q108,E123,0)</f>
        <v>0</v>
      </c>
      <c r="U108">
        <f>IF(M118=Q108,L118,0)+IF(M119=Q108,L119,0)+IF(M120=Q108,L120,0)+IF(Q108=M121,L121,0)+IF(M122=Q108,L122,0)+IF(M123=Q108,L123,0)</f>
        <v>0</v>
      </c>
      <c r="V108">
        <f>IF(F126=Q108,E126,0)+IF(F127=Q108,E127,0)+IF(F128=Q108,E128,0)+IF(Q108=F129,E129,0)+IF(F130=Q108,E130,0)+IF(F131=Q108,E131,0)</f>
        <v>0</v>
      </c>
      <c r="W108" s="63">
        <f>SUM(R108:V108)</f>
        <v>0</v>
      </c>
      <c r="AB108" t="s">
        <v>208</v>
      </c>
      <c r="AC108" s="14">
        <f>SUM(K126:K132)</f>
        <v>0</v>
      </c>
    </row>
    <row r="109" spans="1:29" ht="15.75" hidden="1" outlineLevel="1" thickBot="1" x14ac:dyDescent="0.3">
      <c r="A109" s="64" t="str">
        <f>A76</f>
        <v>Semaine 23</v>
      </c>
      <c r="B109" s="65" t="e">
        <f>IF(H108="Cadre","Demi J. Réalisées","H. Réalisées")</f>
        <v>#N/A</v>
      </c>
      <c r="C109" s="65" t="s">
        <v>141</v>
      </c>
      <c r="D109" s="66" t="e">
        <f>IF(H108="Cadre","CP en Demi J.","CP en jours")</f>
        <v>#N/A</v>
      </c>
      <c r="E109" s="66" t="e">
        <f>IF(H108="Cadre","Abs. En Demi J.","Absence en H.")</f>
        <v>#N/A</v>
      </c>
      <c r="F109" s="67" t="s">
        <v>110</v>
      </c>
      <c r="H109" s="64" t="str">
        <f>H76</f>
        <v>Semaine 24</v>
      </c>
      <c r="I109" s="65" t="e">
        <f>B109</f>
        <v>#N/A</v>
      </c>
      <c r="J109" s="65" t="str">
        <f>C109</f>
        <v>Férié</v>
      </c>
      <c r="K109" s="66" t="e">
        <f>D109</f>
        <v>#N/A</v>
      </c>
      <c r="L109" s="66" t="e">
        <f>E109</f>
        <v>#N/A</v>
      </c>
      <c r="M109" s="67" t="str">
        <f>F109</f>
        <v>Type absence</v>
      </c>
      <c r="O109" s="267"/>
      <c r="Q109" s="10" t="s">
        <v>143</v>
      </c>
      <c r="R109">
        <f>IF(F110=Q109,E110,0)+IF(F111=Q109,E111,0)+IF(F112=Q109,E112,0)+IF(Q109=F113,E113,0)+IF(F115=Q109,E114,0)+IF(F114=Q109,E115,0)</f>
        <v>0</v>
      </c>
      <c r="S109">
        <f>IF(M111=Q109,L111,0)+IF(M112=Q109,L112,0)+IF(M113=Q109,L113,0)+IF(Q109=M114,L114,0)+IF(M115=Q109,L115,0)+IF(M110=Q109,L110,0)</f>
        <v>0</v>
      </c>
      <c r="T109">
        <f>IF(F118=Q109,E118,0)+IF(F119=Q109,E119,0)+IF(F120=Q109,E120,0)+IF(Q109=F121,E121,0)+IF(F122=Q109,E122,0)+IF(F123=Q109,E123,0)</f>
        <v>0</v>
      </c>
      <c r="U109">
        <f>IF(M118=Q109,L118,0)+IF(M119=Q109,L119,0)+IF(M120=Q109,L120,0)+IF(Q109=M121,L121,0)+IF(M122=Q109,L122,0)+IF(M123=Q109,L123,0)</f>
        <v>0</v>
      </c>
      <c r="V109">
        <f>IF(F126=Q109,E126,0)+IF(F127=Q109,E127,0)+IF(F128=Q109,E128,0)+IF(Q109=F129,E129,0)+IF(F130=Q109,E130,0)+IF(F131=Q109,E131,0)</f>
        <v>0</v>
      </c>
      <c r="W109" s="63">
        <f t="shared" ref="W109:W121" si="16">SUM(R109:V109)</f>
        <v>0</v>
      </c>
      <c r="AB109" t="s">
        <v>8</v>
      </c>
      <c r="AC109" s="14"/>
    </row>
    <row r="110" spans="1:29" hidden="1" outlineLevel="1" x14ac:dyDescent="0.25">
      <c r="A110" s="68" t="s">
        <v>103</v>
      </c>
      <c r="B110" s="98"/>
      <c r="C110" s="98"/>
      <c r="D110" s="99"/>
      <c r="E110" s="100"/>
      <c r="F110" s="101"/>
      <c r="H110" s="69" t="s">
        <v>103</v>
      </c>
      <c r="I110" s="95"/>
      <c r="J110" s="95"/>
      <c r="K110" s="106"/>
      <c r="L110" s="105"/>
      <c r="M110" s="101"/>
      <c r="O110" s="264" t="str">
        <f>"H. Férié. "&amp;A117</f>
        <v>H. Férié. Ne pas saisir</v>
      </c>
      <c r="Q110" s="10" t="s">
        <v>144</v>
      </c>
      <c r="R110">
        <f>IF(F112=Q110,E112,0)+IF(F113=Q110,E113,0)+IF(F114=Q110,E114,0)+IF(Q110=F115,E115,0)+IF(F110=Q110,E110,0)+IF(F111=Q110,E111,0)</f>
        <v>0</v>
      </c>
      <c r="S110">
        <f>IF(M112=Q110,L112,0)+IF(M113=Q110,L113,0)+IF(M114=Q110,L114,0)+IF(Q110=M115,L115,0)+IF(M110=Q110,L110,0)+IF(M111=Q110,L111,0)</f>
        <v>0</v>
      </c>
      <c r="T110">
        <f>IF(F118=Q110,E118,0)+IF(F119=Q110,E119,0)+IF(F120=Q110,E120,0)+IF(Q110=F121,E121,0)+IF(F122=Q110,E122,0)+IF(F123=Q110,E123,0)</f>
        <v>0</v>
      </c>
      <c r="U110">
        <f>IF(M118=Q110,L118,0)+IF(M119=Q110,L119,0)+IF(M120=Q110,L120,0)+IF(Q110=M121,L121,0)+IF(M122=Q110,L122,0)+IF(M123=Q110,L123,0)</f>
        <v>0</v>
      </c>
      <c r="V110">
        <f>IF(F126=Q110,E126,0)+IF(F127=Q110,E127,0)+IF(F128=Q110,E128,0)+IF(Q110=F129,E129,0)+IF(F130=Q110,E130,0)+IF(F131=Q110,E131,0)</f>
        <v>0</v>
      </c>
      <c r="W110" s="63">
        <f t="shared" si="16"/>
        <v>0</v>
      </c>
      <c r="AB110" t="s">
        <v>209</v>
      </c>
      <c r="AC110" s="14">
        <f>W110</f>
        <v>0</v>
      </c>
    </row>
    <row r="111" spans="1:29" ht="15.75" hidden="1" outlineLevel="1" thickBot="1" x14ac:dyDescent="0.3">
      <c r="A111" s="69" t="s">
        <v>104</v>
      </c>
      <c r="B111" s="96"/>
      <c r="C111" s="96"/>
      <c r="D111" s="102"/>
      <c r="E111" s="103"/>
      <c r="F111" s="38"/>
      <c r="H111" s="69" t="s">
        <v>104</v>
      </c>
      <c r="I111" s="96"/>
      <c r="J111" s="96"/>
      <c r="K111" s="102"/>
      <c r="L111" s="103"/>
      <c r="M111" s="38"/>
      <c r="O111" s="267"/>
      <c r="Q111" s="10" t="s">
        <v>145</v>
      </c>
      <c r="R111">
        <f>IF(F113=Q111,E113,0)+IF(F114=Q111,E114,0)+IF(F115=Q111,E115,0)+IF(Q111=F110,E110,0)+IF(F111=Q111,E111,0)+IF(F112=Q111,E112,0)</f>
        <v>0</v>
      </c>
      <c r="S111">
        <f>IF(M113=Q111,L113,0)+IF(M114=Q111,L114,0)+IF(M115=Q111,L115,0)+IF(Q111=M110,L110,0)+IF(M111=Q111,L111,0)+IF(M112=Q111,L112,0)</f>
        <v>0</v>
      </c>
      <c r="T111">
        <f>IF(F118=Q111,$E118,0)+IF(F119=Q111,E119,0)+IF(F120=Q111,E120,0)+IF(Q111=F121,E121,0)+IF(F122=Q111,E122,0)+IF(F123=Q111,E123,0)</f>
        <v>0</v>
      </c>
      <c r="U111">
        <f>IF(M118=Q111,L118,0)+IF(M119=Q111,L119,0)+IF(M120=Q111,L120,0)+IF(Q111=M121,L121,0)+IF(M122=Q111,L122,0)+IF(M123=Q111,L123,0)</f>
        <v>0</v>
      </c>
      <c r="V111">
        <f>IF(F126=Q111,E126,0)+IF(F127=Q111,E127,0)+IF(F128=Q111,E128,0)+IF(Q111=F129,E129,0)+IF(F130=Q111,E130,0)+IF(F131=Q111,E131,0)</f>
        <v>0</v>
      </c>
      <c r="W111" s="63">
        <f t="shared" si="16"/>
        <v>0</v>
      </c>
      <c r="AB111" t="s">
        <v>210</v>
      </c>
      <c r="AC111" s="14">
        <f>SUM(W108:W121)-W110</f>
        <v>0</v>
      </c>
    </row>
    <row r="112" spans="1:29" hidden="1" outlineLevel="1" x14ac:dyDescent="0.25">
      <c r="A112" s="69" t="s">
        <v>105</v>
      </c>
      <c r="B112" s="96"/>
      <c r="C112" s="96"/>
      <c r="D112" s="102"/>
      <c r="E112" s="103"/>
      <c r="F112" s="38"/>
      <c r="H112" s="69" t="s">
        <v>105</v>
      </c>
      <c r="I112" s="96"/>
      <c r="J112" s="96"/>
      <c r="K112" s="102"/>
      <c r="L112" s="103"/>
      <c r="M112" s="38"/>
      <c r="O112" s="264" t="str">
        <f>"H. Férié. "&amp;H117</f>
        <v>H. Férié. Ne pas saisir</v>
      </c>
      <c r="Q112" s="10" t="s">
        <v>212</v>
      </c>
      <c r="R112">
        <f>IF(F114=Q112,E114,0)+IF(F115=Q112,E115,0)+IF(F110=Q112,E110,0)+IF(Q112=F111,E111,0)+IF(F112=Q112,E112,0)+IF(F113=Q112,E113,0)</f>
        <v>0</v>
      </c>
      <c r="S112">
        <f>IF(M113=Q112,L113,0)+IF(M114=Q112,L114,0)+IF(M115=Q112,L115,0)+IF(Q112=M110,L110,0)+IF(M111=Q112,L111,0)+IF(M112=Q112,L112,0)</f>
        <v>0</v>
      </c>
      <c r="T112">
        <f>IF(F118=Q112,E118,0)+IF(F119=Q112,E119,0)+IF(F120=Q112,E120,0)+IF(Q112=F121,E121,0)+IF(F122=Q112,E122,0)+IF(F123=Q112,E123,0)</f>
        <v>0</v>
      </c>
      <c r="U112">
        <f>IF(M118=Q112,L118,0)+IF(M119=Q112,L119,0)+IF(M120=Q112,L120,0)+IF(Q112=M121,L121,0)+IF(M122=Q112,L122,0)+IF(M123=Q112,L123,0)</f>
        <v>0</v>
      </c>
      <c r="V112">
        <f>IF(F126=Q112,E126,0)+IF(F127=Q112,E127,0)+IF(F128=Q112,E128,0)+IF(Q112=F129,E129,0)+IF(F130=Q112,E130,0)+IF(F131=Q112,E131,0)</f>
        <v>0</v>
      </c>
      <c r="W112" s="63">
        <f t="shared" si="16"/>
        <v>0</v>
      </c>
      <c r="AA112" t="s">
        <v>214</v>
      </c>
      <c r="AB112" t="s">
        <v>213</v>
      </c>
      <c r="AC112" s="14" t="e">
        <f>IF(AC105="Cadre",(W112/2),(W112))</f>
        <v>#N/A</v>
      </c>
    </row>
    <row r="113" spans="1:29" ht="15.75" hidden="1" outlineLevel="1" thickBot="1" x14ac:dyDescent="0.3">
      <c r="A113" s="69" t="s">
        <v>106</v>
      </c>
      <c r="B113" s="96"/>
      <c r="C113" s="96"/>
      <c r="D113" s="102"/>
      <c r="E113" s="103"/>
      <c r="F113" s="38"/>
      <c r="H113" s="69" t="s">
        <v>106</v>
      </c>
      <c r="I113" s="96"/>
      <c r="J113" s="96"/>
      <c r="K113" s="102"/>
      <c r="L113" s="103"/>
      <c r="M113" s="38"/>
      <c r="O113" s="267"/>
      <c r="Q113" s="10" t="s">
        <v>146</v>
      </c>
      <c r="R113">
        <f>IF(F115=Q113,E115,0)+IF(F110=Q113,E110,0)+IF(F111=Q113,E111,0)+IF(Q113=F112,E112,0)+IF(F113=Q113,E113,0)+IF(F114=Q113,E114,0)</f>
        <v>0</v>
      </c>
      <c r="S113">
        <f>IF(M113=Q113,L113,0)+IF(M114=Q113,L114,0)+IF(M115=Q113,L115,0)+IF(Q113=M110,$L$11,0)+IF(M111=Q113,L111,0)+IF(M112=Q113,L112,0)</f>
        <v>0</v>
      </c>
      <c r="T113">
        <f>IF(F118=Q113,E118,0)+IF(F119=Q113,E119,0)+IF(F120=Q113,E120,0)+IF(Q113=F121,E121,0)+IF(F122=Q113,E122,0)+IF(F123=Q113,E123,0)</f>
        <v>0</v>
      </c>
      <c r="U113">
        <f>IF(M118=Q113,L118,0)+IF(M119=Q113,L119,0)+IF(M120=Q113,L120,0)+IF(Q113=M121,L121,0)+IF(M122=Q113,L122,0)+IF(M123=Q113,L123,0)</f>
        <v>0</v>
      </c>
      <c r="V113">
        <f>IF(F126=Q113,E126,0)+IF(F127=Q113,E127,0)+IF(F128=Q113,E128,0)+IF(Q113=F129,E129,0)+IF(F130=Q113,E130,0)+IF(F131=Q113,E131,0)</f>
        <v>0</v>
      </c>
      <c r="W113" s="63">
        <f t="shared" si="16"/>
        <v>0</v>
      </c>
      <c r="AA113" t="s">
        <v>216</v>
      </c>
      <c r="AB113" t="s">
        <v>217</v>
      </c>
      <c r="AC113" s="14" t="e">
        <f>W125+W126</f>
        <v>#N/A</v>
      </c>
    </row>
    <row r="114" spans="1:29" hidden="1" outlineLevel="1" x14ac:dyDescent="0.25">
      <c r="A114" s="69" t="s">
        <v>107</v>
      </c>
      <c r="B114" s="96"/>
      <c r="C114" s="96"/>
      <c r="D114" s="102"/>
      <c r="E114" s="103"/>
      <c r="F114" s="38"/>
      <c r="H114" s="69" t="s">
        <v>107</v>
      </c>
      <c r="I114" s="96"/>
      <c r="J114" s="96"/>
      <c r="K114" s="102"/>
      <c r="L114" s="103"/>
      <c r="M114" s="38"/>
      <c r="O114" s="264" t="str">
        <f>"H. Férié. "&amp;A125</f>
        <v>H. Férié. Ne pas saisir</v>
      </c>
      <c r="Q114" s="10" t="s">
        <v>499</v>
      </c>
      <c r="R114">
        <f>IF(F110=Q114,E110,0)+IF(F111=Q114,E111,0)+IF(F112=Q114,E112,0)+IF(Q114=F113,E113,0)+IF(F114=Q114,E114,0)+IF(F115=Q114,E115,0)</f>
        <v>0</v>
      </c>
      <c r="S114">
        <f>IF(M113=Q114,L113,0)+IF(M114=Q114,L114,0)+IF(M115=Q114,L115,0)+IF(Q114=M110,L110,0)+IF(M111=Q114,L111,0)+IF(M112=Q114,L112,0)</f>
        <v>0</v>
      </c>
      <c r="T114">
        <f>IF(F118=Q114,E118,0)+IF(F119=Q114,E119,0)+IF(F120=Q114,E120,0)+IF(Q114=F121,E121,0)+IF(F122=Q114,E122,0)+IF(F123=Q114,E123,0)</f>
        <v>0</v>
      </c>
      <c r="U114">
        <f>IF(M118=Q114,L118,0)+IF(M119=Q114,L119,0)+IF(M120=Q114,L120,0)+IF(Q114=M121,L121,0)+IF(M122=Q114,L122,0)+IF(M123=Q114,L123,0)</f>
        <v>0</v>
      </c>
      <c r="V114">
        <f>IF(F126=Q114,E126,0)+IF(F127=Q114,E127,0)+IF(F128=Q114,E128,0)+IF(Q114=F129,E129,0)+IF(F130=Q114,E130,0)+IF(F131=Q114,E131,0)</f>
        <v>0</v>
      </c>
      <c r="W114" s="63">
        <f t="shared" si="16"/>
        <v>0</v>
      </c>
      <c r="AA114" t="s">
        <v>218</v>
      </c>
      <c r="AB114" t="s">
        <v>219</v>
      </c>
      <c r="AC114" s="14">
        <f>W124</f>
        <v>0</v>
      </c>
    </row>
    <row r="115" spans="1:29" ht="15.75" hidden="1" outlineLevel="1" thickBot="1" x14ac:dyDescent="0.3">
      <c r="A115" s="69" t="s">
        <v>108</v>
      </c>
      <c r="B115" s="96"/>
      <c r="C115" s="96"/>
      <c r="D115" s="102"/>
      <c r="E115" s="103"/>
      <c r="F115" s="38"/>
      <c r="H115" s="69" t="s">
        <v>108</v>
      </c>
      <c r="I115" s="96"/>
      <c r="J115" s="96"/>
      <c r="K115" s="102"/>
      <c r="L115" s="103"/>
      <c r="M115" s="38"/>
      <c r="O115" s="267"/>
      <c r="Q115" s="10" t="s">
        <v>147</v>
      </c>
      <c r="R115">
        <f>IF(F111=Q115,E111,0)+IF(F112=Q115,E112,0)+IF(F113=Q115,E113,0)+IF(Q115=F114,E114,0)+IF(F115=Q115,E115,0)+IF(F110=Q115,E110,0)</f>
        <v>0</v>
      </c>
      <c r="S115">
        <f>IF(M113=Q115,L113,0)+IF(M114=Q115,L114,0)+IF(M115=Q115,L115,0)+IF(Q115=M110,L110,0)+IF(M111=Q115,L111,0)+IF(M112=Q115,L112,0)</f>
        <v>0</v>
      </c>
      <c r="T115">
        <f>IF(F118=Q115,E118,0)+IF(F119=Q115,E119,0)+IF(F120=Q115,E120,0)+IF(Q115=F121,E121,0)+IF(F122=Q115,E122,0)+IF(F123=Q115,E123,0)</f>
        <v>0</v>
      </c>
      <c r="U115">
        <f>IF(M118=Q115,L118,0)+IF(M119=Q115,L119,0)+IF(M120=Q115,L120,0)+IF(Q115=M121,L121,0)+IF(M122=Q115,L122,0)+IF(M123=Q115,L123,0)</f>
        <v>0</v>
      </c>
      <c r="V115">
        <f>IF(F126=Q115,E126,0)+IF(F127=Q115,E127,0)+IF(F128=Q115,E128,0)+IF(Q115=F129,E129,0)+IF(F130=Q115,E130,0)+IF(F131=Q115,E131,0)</f>
        <v>0</v>
      </c>
      <c r="W115" s="63">
        <f t="shared" si="16"/>
        <v>0</v>
      </c>
      <c r="AA115" t="s">
        <v>166</v>
      </c>
      <c r="AB115" t="s">
        <v>220</v>
      </c>
      <c r="AC115" s="14" t="e">
        <f>W129</f>
        <v>#N/A</v>
      </c>
    </row>
    <row r="116" spans="1:29" ht="15.75" hidden="1" outlineLevel="1" thickBot="1" x14ac:dyDescent="0.3">
      <c r="A116" s="70" t="s">
        <v>109</v>
      </c>
      <c r="B116" s="97"/>
      <c r="C116" s="97"/>
      <c r="D116" s="71"/>
      <c r="E116" s="104"/>
      <c r="F116" s="38"/>
      <c r="H116" s="70" t="s">
        <v>109</v>
      </c>
      <c r="I116" s="97"/>
      <c r="J116" s="97"/>
      <c r="K116" s="71"/>
      <c r="L116" s="104"/>
      <c r="M116" s="38"/>
      <c r="O116" s="264" t="str">
        <f>"H. Dim. "&amp;A109</f>
        <v>H. Dim. Semaine 23</v>
      </c>
      <c r="Q116" s="10" t="s">
        <v>500</v>
      </c>
      <c r="R116">
        <f>IF(F112=Q116,E112,0)+IF(F113=Q116,E113,0)+IF(F114=Q116,E114,0)+IF(Q116=F115,E115,0)+IF(F110=Q116,E110,0)+IF(F111=Q116,E111,0)</f>
        <v>0</v>
      </c>
      <c r="S116">
        <f>IF(M113=Q116,L113,0)+IF(M114=Q116,L114,0)+IF(M115=Q116,L115,0)+IF(Q116=M110,L110,0)+IF(M111=Q116,L111,0)+IF(M112=Q116,L112,0)</f>
        <v>0</v>
      </c>
      <c r="T116">
        <f>IF(F118=Q116,E118,0)+IF(F119=Q116,E119,0)+IF(F120=Q116,E120,0)+IF(Q116=F121,E121,0)+IF(F122=Q116,E122,0)+IF(F123=Q116,E123,0)</f>
        <v>0</v>
      </c>
      <c r="U116">
        <f>IF(M118=Q116,L118,0)+IF(M119=Q116,L119,0)+IF(M120=Q116,L120,0)+IF(Q116=M121,L121,0)+IF(M122=Q116,L122,0)+IF(M123=Q116,L123,0)</f>
        <v>0</v>
      </c>
      <c r="V116">
        <f>IF(F126=Q116,E126,0)+IF(F127=Q116,E127,0)+IF(F128=Q116,E128,0)+IF(Q116=F129,E129,0)+IF(F130=Q116,E130,0)+IF(F131=Q116,E131,0)</f>
        <v>0</v>
      </c>
      <c r="W116" s="63">
        <f t="shared" si="16"/>
        <v>0</v>
      </c>
      <c r="AA116" t="s">
        <v>222</v>
      </c>
      <c r="AB116" t="s">
        <v>220</v>
      </c>
      <c r="AC116" s="14">
        <f>W130</f>
        <v>0</v>
      </c>
    </row>
    <row r="117" spans="1:29" ht="15.75" hidden="1" outlineLevel="1" thickBot="1" x14ac:dyDescent="0.3">
      <c r="A117" s="64" t="str">
        <f>A84</f>
        <v>Ne pas saisir</v>
      </c>
      <c r="B117" s="65" t="e">
        <f>B109</f>
        <v>#N/A</v>
      </c>
      <c r="C117" s="65" t="str">
        <f>C109</f>
        <v>Férié</v>
      </c>
      <c r="D117" s="66" t="e">
        <f>D109</f>
        <v>#N/A</v>
      </c>
      <c r="E117" s="66" t="e">
        <f>E109</f>
        <v>#N/A</v>
      </c>
      <c r="F117" s="67" t="str">
        <f>F109</f>
        <v>Type absence</v>
      </c>
      <c r="H117" s="64" t="str">
        <f>H84</f>
        <v>Ne pas saisir</v>
      </c>
      <c r="I117" s="65" t="e">
        <f>B109</f>
        <v>#N/A</v>
      </c>
      <c r="J117" s="65" t="str">
        <f>C109</f>
        <v>Férié</v>
      </c>
      <c r="K117" s="66" t="e">
        <f>D109</f>
        <v>#N/A</v>
      </c>
      <c r="L117" s="66" t="e">
        <f>E109</f>
        <v>#N/A</v>
      </c>
      <c r="M117" s="67" t="str">
        <f>F109</f>
        <v>Type absence</v>
      </c>
      <c r="O117" s="267"/>
      <c r="Q117" s="10" t="s">
        <v>148</v>
      </c>
      <c r="R117">
        <f>IF(F113=Q117,E113,0)+IF(F114=Q117,E114,0)+IF(F115=Q117,E115,0)+IF(Q117=F110,E110,0)+IF(F111=Q117,E111,0)+IF(F112=Q117,E112,0)</f>
        <v>0</v>
      </c>
      <c r="S117">
        <f>IF(M113=Q117,L113,0)+IF(M114=Q117,L114,0)+IF(M115=Q117,L115,0)+IF(Q117=M110,L110,0)+IF(M111=Q117,L111,0)+IF(M112=Q117,L112,0)</f>
        <v>0</v>
      </c>
      <c r="T117">
        <f>IF(F118=Q117,E118,0)+IF(F119=Q117,E119,0)+IF(F120=Q117,E120,0)+IF(Q117=F121,E121,0)+IF(F122=Q117,E122,0)+IF(F123=Q117,E123,0)</f>
        <v>0</v>
      </c>
      <c r="U117">
        <f>IF(M118=Q117,L118,0)+IF(M119=Q117,L119,0)+IF(M120=Q117,L120,0)+IF(Q117=M121,L121,0)+IF(M122=Q117,L122,0)+IF(M123=Q117,L123,0)</f>
        <v>0</v>
      </c>
      <c r="V117">
        <f>IF(F126=Q117,E126,0)+IF(F127=Q117,E127,0)+IF(F128=Q117,E128,0)+IF(Q117=F129,E129,0)+IF(F130=Q117,E130,0)+IF(F131=Q117,E131,0)</f>
        <v>0</v>
      </c>
      <c r="W117" s="63">
        <f t="shared" si="16"/>
        <v>0</v>
      </c>
      <c r="AA117" t="s">
        <v>223</v>
      </c>
      <c r="AB117" t="s">
        <v>224</v>
      </c>
      <c r="AC117" s="14">
        <f>W128</f>
        <v>0</v>
      </c>
    </row>
    <row r="118" spans="1:29" hidden="1" outlineLevel="1" x14ac:dyDescent="0.25">
      <c r="A118" s="69" t="s">
        <v>103</v>
      </c>
      <c r="B118" s="95"/>
      <c r="C118" s="95"/>
      <c r="D118" s="106"/>
      <c r="E118" s="105"/>
      <c r="F118" s="101"/>
      <c r="H118" s="69" t="s">
        <v>103</v>
      </c>
      <c r="I118" s="95"/>
      <c r="J118" s="95"/>
      <c r="K118" s="106"/>
      <c r="L118" s="105"/>
      <c r="M118" s="101"/>
      <c r="O118" s="264" t="str">
        <f>"H. Dim. "&amp;H109</f>
        <v>H. Dim. Semaine 24</v>
      </c>
      <c r="Q118" s="10" t="s">
        <v>150</v>
      </c>
      <c r="R118">
        <f>IF(F114=Q118,E114,0)+IF(F115=Q118,E115,0)+IF(F110=Q118,E110,0)+IF(Q118=F111,E111,0)+IF(F112=Q118,E112,0)+IF(F113=Q118,E113,0)</f>
        <v>0</v>
      </c>
      <c r="S118">
        <f>IF(M113=Q118,L113,0)+IF(M114=Q118,L114,0)+IF(M115=Q118,L115,0)+IF(Q118=M110,L110,0)+IF(M111=Q118,L111,0)+IF(M112=Q118,L112,0)</f>
        <v>0</v>
      </c>
      <c r="T118">
        <f>IF(F118=Q118,E118,0)+IF(F119=Q118,E119,0)+IF(F120=Q118,E120,0)+IF(Q118=F121,E121,0)+IF(F122=Q118,E122,0)+IF(F123=Q118,E123,0)</f>
        <v>0</v>
      </c>
      <c r="U118">
        <f>IF(M118=Q118,L118,0)+IF(M119=Q118,L119,0)+IF(M120=Q118,L120,0)+IF(Q118=M121,L121,0)+IF(M122=Q118,L122,0)+IF(M123=Q118,L123,0)</f>
        <v>0</v>
      </c>
      <c r="V118">
        <f>IF(F126=Q118,E126,0)+IF(F127=Q118,E127,0)+IF(F128=Q118,E128,0)+IF(Q118=F129,E129,0)+IF(F130=Q118,E130,0)+IF(F131=Q118,E131,0)</f>
        <v>0</v>
      </c>
      <c r="W118" s="63">
        <f t="shared" si="16"/>
        <v>0</v>
      </c>
      <c r="AB118" t="s">
        <v>267</v>
      </c>
      <c r="AC118">
        <f>(SUM(B110:B116))</f>
        <v>0</v>
      </c>
    </row>
    <row r="119" spans="1:29" ht="15.75" hidden="1" outlineLevel="1" thickBot="1" x14ac:dyDescent="0.3">
      <c r="A119" s="69" t="s">
        <v>104</v>
      </c>
      <c r="B119" s="96"/>
      <c r="C119" s="96"/>
      <c r="D119" s="102"/>
      <c r="E119" s="103"/>
      <c r="F119" s="38"/>
      <c r="H119" s="69" t="s">
        <v>104</v>
      </c>
      <c r="I119" s="96"/>
      <c r="J119" s="96"/>
      <c r="K119" s="102"/>
      <c r="L119" s="103"/>
      <c r="M119" s="38"/>
      <c r="O119" s="267"/>
      <c r="Q119" s="10" t="s">
        <v>502</v>
      </c>
      <c r="R119">
        <f>IF(F115=Q119,E115,0)+IF(F110=Q119,E110,0)+IF(F111=Q119,E111,0)+IF(Q119=F112,E112,0)+IF(F113=Q119,E113,0)+IF(F114=Q119,E114,0)</f>
        <v>0</v>
      </c>
      <c r="S119">
        <f>IF(M113=Q119,L113,0)+IF(M114=Q119,L114,0)+IF(M115=Q119,L115,0)+IF(Q119=M110,L110,0)+IF(M111=Q119,L111,0)+IF(M112=Q119,L112,0)</f>
        <v>0</v>
      </c>
      <c r="T119">
        <f>IF(F118=Q119,E118,0)+IF(F119=Q119,E119,0)+IF(F120=Q119,E120,0)+IF(Q119=F121,E121,0)+IF(F122=Q119,E122,0)+IF(F123=Q119,E123,0)</f>
        <v>0</v>
      </c>
      <c r="U119">
        <f>IF(M118=Q119,L118,0)+IF(M119=Q119,L119,0)+IF(M120=Q119,L120,0)+IF(Q119=M121,L121,0)+IF(M122=Q119,L122,0)+IF(M123=Q119,L123,0)</f>
        <v>0</v>
      </c>
      <c r="V119">
        <f>IF(F126=Q119,E126,0)+IF(F127=Q119,E127,0)+IF(F128=Q119,E128,0)+IF(Q119=F129,E129,0)+IF(F130=Q119,E130,0)+IF(F131=Q119,E131,0)</f>
        <v>0</v>
      </c>
      <c r="W119" s="63">
        <f t="shared" si="16"/>
        <v>0</v>
      </c>
      <c r="AB119" t="s">
        <v>268</v>
      </c>
      <c r="AC119">
        <f>(SUM(I110:I116))</f>
        <v>0</v>
      </c>
    </row>
    <row r="120" spans="1:29" hidden="1" outlineLevel="1" x14ac:dyDescent="0.25">
      <c r="A120" s="69" t="s">
        <v>105</v>
      </c>
      <c r="B120" s="96"/>
      <c r="C120" s="96"/>
      <c r="D120" s="102"/>
      <c r="E120" s="103"/>
      <c r="F120" s="38"/>
      <c r="H120" s="69" t="s">
        <v>105</v>
      </c>
      <c r="I120" s="96"/>
      <c r="J120" s="96"/>
      <c r="K120" s="102"/>
      <c r="L120" s="103"/>
      <c r="M120" s="38"/>
      <c r="O120" s="264" t="str">
        <f>"H. Dim. "&amp;A117</f>
        <v>H. Dim. Ne pas saisir</v>
      </c>
      <c r="Q120" s="10" t="s">
        <v>498</v>
      </c>
      <c r="R120">
        <f>IF(F110=Q120,E110,0)+IF(F111=Q120,E111,0)+IF(F112=Q120,E112,0)+IF(Q120=F113,E113,0)+IF(F114=Q120,E114,0)+IF(F115=Q120,E115,0)</f>
        <v>0</v>
      </c>
      <c r="S120">
        <f>IF(M113=Q120,L113,0)+IF(M114=Q120,L114,0)+IF(M115=Q120,L115,0)+IF(Q120=M110,L110,0)+IF(M111=Q120,L111,0)+IF(M112=Q120,L112,0)</f>
        <v>0</v>
      </c>
      <c r="T120">
        <f>IF(F118=Q120,E118,0)+IF(F119=Q120,E119,0)+IF(F120=Q120,E120,0)+IF(Q120=F121,E121,0)+IF(F122=Q120,E122,0)+IF(F123=Q120,E123,0)</f>
        <v>0</v>
      </c>
      <c r="U120">
        <f>IF(M118=Q120,L118,0)+IF(M119=Q120,L119,0)+IF(M120=Q120,L120,0)+IF(Q120=M121,L121,0)+IF(M122=Q120,L122,0)+IF(M123=Q120,L123,0)</f>
        <v>0</v>
      </c>
      <c r="V120">
        <f>IF(F126=Q120,E126,0)+IF(F127=Q120,E127,0)+IF(F128=Q120,E128,0)+IF(Q120=F129,E129,0)+IF(F130=Q120,E130,0)+IF(F131=Q120,E131,0)</f>
        <v>0</v>
      </c>
      <c r="W120" s="63">
        <f t="shared" si="16"/>
        <v>0</v>
      </c>
      <c r="AB120" t="s">
        <v>269</v>
      </c>
      <c r="AC120">
        <f>(SUM(B118:B124))</f>
        <v>0</v>
      </c>
    </row>
    <row r="121" spans="1:29" ht="15.75" hidden="1" outlineLevel="1" thickBot="1" x14ac:dyDescent="0.3">
      <c r="A121" s="69" t="s">
        <v>106</v>
      </c>
      <c r="B121" s="96"/>
      <c r="C121" s="96"/>
      <c r="D121" s="102"/>
      <c r="E121" s="103"/>
      <c r="F121" s="38"/>
      <c r="H121" s="69" t="s">
        <v>106</v>
      </c>
      <c r="I121" s="96"/>
      <c r="J121" s="96"/>
      <c r="K121" s="102"/>
      <c r="L121" s="103"/>
      <c r="M121" s="38"/>
      <c r="O121" s="267"/>
      <c r="P121" s="72"/>
      <c r="Q121" s="73" t="s">
        <v>501</v>
      </c>
      <c r="R121" s="72">
        <f>IF(F111=Q121,E111,0)+IF(F112=Q121,E112,0)+IF(F113=Q121,E113,0)+IF(Q121=F114,E114,0)+IF(F115=Q121,E115,0)+IF(F110=Q121,E110,0)</f>
        <v>0</v>
      </c>
      <c r="S121" s="72">
        <f>IF(M113=Q121,L113,0)+IF(M114=Q121,L114,0)+IF(M115=Q121,L115,0)+IF(Q121=M110,L110,0)+IF(M111=Q121,L111,0)+IF(M112=Q121,L112,0)</f>
        <v>0</v>
      </c>
      <c r="T121" s="72">
        <f>IF(F118=Q121,E118,0)+IF(F119=Q121,E119,0)+IF(F120=Q121,E120,0)+IF(Q121=F121,E121,0)+IF(F122=Q121,E122,0)+IF(F123=Q121,E123,0)</f>
        <v>0</v>
      </c>
      <c r="U121" s="72">
        <f>IF(M118=Q121,L118,0)+IF(M119=Q121,L119,0)+IF(M120=Q121,L120,0)+IF(Q121=M121,L121,0)+IF(M122=Q121,L122,0)+IF(M123=Q121,L123,0)</f>
        <v>0</v>
      </c>
      <c r="V121" s="72">
        <f>IF(F126=Q121,E126,0)+IF(F127=Q121,E127,0)+IF(F128=Q121,E128,0)+IF(Q121=F129,E129,0)+IF(F130=Q121,E130,0)+IF(F131=Q121,E131,0)</f>
        <v>0</v>
      </c>
      <c r="W121" s="74">
        <f t="shared" si="16"/>
        <v>0</v>
      </c>
      <c r="AB121" t="s">
        <v>270</v>
      </c>
      <c r="AC121">
        <f>(SUM(I118:I124))</f>
        <v>0</v>
      </c>
    </row>
    <row r="122" spans="1:29" hidden="1" outlineLevel="1" x14ac:dyDescent="0.25">
      <c r="A122" s="69" t="s">
        <v>107</v>
      </c>
      <c r="B122" s="96"/>
      <c r="C122" s="96"/>
      <c r="D122" s="102"/>
      <c r="E122" s="103"/>
      <c r="F122" s="38"/>
      <c r="H122" s="69" t="s">
        <v>107</v>
      </c>
      <c r="I122" s="96"/>
      <c r="J122" s="96"/>
      <c r="K122" s="102"/>
      <c r="L122" s="103"/>
      <c r="M122" s="38"/>
      <c r="O122" s="264" t="str">
        <f>"H. Dim. "&amp;H117</f>
        <v>H. Dim. Ne pas saisir</v>
      </c>
      <c r="Q122" s="75" t="s">
        <v>169</v>
      </c>
      <c r="W122" s="76"/>
      <c r="AB122" t="s">
        <v>271</v>
      </c>
      <c r="AC122">
        <f>(SUM(B126:B132))</f>
        <v>0</v>
      </c>
    </row>
    <row r="123" spans="1:29" ht="15.75" hidden="1" outlineLevel="1" thickBot="1" x14ac:dyDescent="0.3">
      <c r="A123" s="69" t="s">
        <v>108</v>
      </c>
      <c r="B123" s="96"/>
      <c r="C123" s="96"/>
      <c r="D123" s="102"/>
      <c r="E123" s="103"/>
      <c r="F123" s="38"/>
      <c r="H123" s="69" t="s">
        <v>108</v>
      </c>
      <c r="I123" s="96"/>
      <c r="J123" s="96"/>
      <c r="K123" s="102"/>
      <c r="L123" s="103"/>
      <c r="M123" s="38"/>
      <c r="O123" s="267"/>
      <c r="Q123" s="75" t="s">
        <v>175</v>
      </c>
      <c r="W123" s="63">
        <f>SUM((IF(R123&gt;0,R123,0)+(IF(S123&gt;0,S123,0)+(IF(T123&gt;0,T123,0)+(IF(U123&gt;0,U123,0)+(IF(V123&gt;0,V123,0)))))))</f>
        <v>0</v>
      </c>
      <c r="AA123" t="s">
        <v>313</v>
      </c>
      <c r="AB123" t="s">
        <v>314</v>
      </c>
      <c r="AC123" t="e">
        <f>W127</f>
        <v>#N/A</v>
      </c>
    </row>
    <row r="124" spans="1:29" ht="15.75" hidden="1" outlineLevel="1" thickBot="1" x14ac:dyDescent="0.3">
      <c r="A124" s="70" t="s">
        <v>109</v>
      </c>
      <c r="B124" s="97"/>
      <c r="C124" s="97"/>
      <c r="D124" s="71"/>
      <c r="E124" s="104"/>
      <c r="F124" s="38"/>
      <c r="H124" s="70" t="s">
        <v>109</v>
      </c>
      <c r="I124" s="97"/>
      <c r="J124" s="97"/>
      <c r="K124" s="71"/>
      <c r="L124" s="104"/>
      <c r="M124" s="39"/>
      <c r="O124" s="264" t="str">
        <f>"H. Dim. "&amp;A125</f>
        <v>H. Dim. Ne pas saisir</v>
      </c>
      <c r="P124" t="s">
        <v>170</v>
      </c>
      <c r="Q124" s="10" t="s">
        <v>162</v>
      </c>
      <c r="R124">
        <f>IF(R123&gt;=R122,R122,R123)</f>
        <v>0</v>
      </c>
      <c r="S124">
        <f>IF(S123&gt;=S122,S122,S123)</f>
        <v>0</v>
      </c>
      <c r="T124">
        <f>IF(T123&gt;=T122,T122,T123)</f>
        <v>0</v>
      </c>
      <c r="U124">
        <f>IF(U123&gt;=U122,U122,U123)</f>
        <v>0</v>
      </c>
      <c r="V124">
        <f>IF(V123&gt;=V122,V122,V123)</f>
        <v>0</v>
      </c>
      <c r="W124" s="63">
        <f>SUM((IF(R124&gt;0,R124,0)+(IF(S124&gt;0,S124,0)+(IF(T124&gt;0,T124,0)+(IF(U124&gt;0,U124,0)+(IF(V124&gt;0,V124,0)))))))</f>
        <v>0</v>
      </c>
    </row>
    <row r="125" spans="1:29" ht="15.75" hidden="1" outlineLevel="1" thickBot="1" x14ac:dyDescent="0.3">
      <c r="A125" s="64" t="str">
        <f>A92</f>
        <v>Ne pas saisir</v>
      </c>
      <c r="B125" s="65" t="e">
        <f>B109</f>
        <v>#N/A</v>
      </c>
      <c r="C125" s="65" t="str">
        <f>C109</f>
        <v>Férié</v>
      </c>
      <c r="D125" s="66" t="e">
        <f>D109</f>
        <v>#N/A</v>
      </c>
      <c r="E125" s="66" t="e">
        <f>E109</f>
        <v>#N/A</v>
      </c>
      <c r="F125" s="67" t="str">
        <f>F109</f>
        <v>Type absence</v>
      </c>
      <c r="H125" s="77" t="s">
        <v>136</v>
      </c>
      <c r="I125" s="78" t="e">
        <f>B109</f>
        <v>#N/A</v>
      </c>
      <c r="J125" s="78" t="str">
        <f>C109</f>
        <v>Férié</v>
      </c>
      <c r="K125" s="79" t="e">
        <f>D109</f>
        <v>#N/A</v>
      </c>
      <c r="L125" s="80" t="e">
        <f>E109</f>
        <v>#N/A</v>
      </c>
      <c r="M125" s="49"/>
      <c r="O125" s="267"/>
      <c r="P125" t="s">
        <v>170</v>
      </c>
      <c r="Q125" s="10" t="s">
        <v>163</v>
      </c>
      <c r="R125">
        <f>R123-R124</f>
        <v>0</v>
      </c>
      <c r="S125">
        <f>S123-S124</f>
        <v>0</v>
      </c>
      <c r="T125">
        <f>T123-T124</f>
        <v>0</v>
      </c>
      <c r="U125">
        <f>U123-U124</f>
        <v>0</v>
      </c>
      <c r="V125">
        <f>V123-V124</f>
        <v>0</v>
      </c>
      <c r="W125" s="63">
        <f t="shared" ref="W125:W130" si="17">SUM(R125:V125)</f>
        <v>0</v>
      </c>
    </row>
    <row r="126" spans="1:29" hidden="1" outlineLevel="1" x14ac:dyDescent="0.25">
      <c r="A126" s="69" t="s">
        <v>103</v>
      </c>
      <c r="B126" s="95"/>
      <c r="C126" s="95"/>
      <c r="D126" s="106"/>
      <c r="E126" s="105"/>
      <c r="F126" s="101"/>
      <c r="H126" s="81" t="s">
        <v>103</v>
      </c>
      <c r="I126" s="82">
        <f t="shared" ref="I126:I131" si="18">B110+I110+B118+I118+B126</f>
        <v>0</v>
      </c>
      <c r="J126" s="82">
        <f t="shared" ref="J126:J131" si="19">C110+J110+C118+J118+C126</f>
        <v>0</v>
      </c>
      <c r="K126" s="83">
        <f t="shared" ref="K126:K131" si="20">D110+K110+D118+K118+D126</f>
        <v>0</v>
      </c>
      <c r="L126" s="84">
        <f t="shared" ref="L126:L131" si="21">E110+L110+E118+L118+E126</f>
        <v>0</v>
      </c>
      <c r="M126" s="303" t="s">
        <v>177</v>
      </c>
      <c r="N126" s="304"/>
      <c r="O126" s="304"/>
      <c r="Q126" s="10" t="s">
        <v>164</v>
      </c>
      <c r="R126" t="e">
        <f>IF(AND(K107="non",(SUM(B110:B116)&gt;U106)),SUM(B110:B116)-U106,0)</f>
        <v>#N/A</v>
      </c>
      <c r="S126" t="e">
        <f>IF(AND(K107="non",(SUM(I110:I116)&gt;U106)),SUM(I110:I116)-U106,0)</f>
        <v>#N/A</v>
      </c>
      <c r="T126" t="e">
        <f>IF(AND(K107="non",(SUM(B118:B124)&gt;U106)),SUM(B118:B124)-U106,0)</f>
        <v>#N/A</v>
      </c>
      <c r="U126" t="e">
        <f>IF(AND(K107="non",(SUM(I118:I124)&gt;U106)),SUM(I118:I124)-U106,0)</f>
        <v>#N/A</v>
      </c>
      <c r="V126" t="e">
        <f>IF(AND(K107="non",(SUM(B126:B132)&gt;U106)),SUM(B126:B132)-U106,0)</f>
        <v>#N/A</v>
      </c>
      <c r="W126" s="63" t="e">
        <f t="shared" si="17"/>
        <v>#N/A</v>
      </c>
    </row>
    <row r="127" spans="1:29" hidden="1" outlineLevel="1" x14ac:dyDescent="0.25">
      <c r="A127" s="69" t="s">
        <v>104</v>
      </c>
      <c r="B127" s="96"/>
      <c r="C127" s="96"/>
      <c r="D127" s="102"/>
      <c r="E127" s="103"/>
      <c r="F127" s="38"/>
      <c r="H127" s="81" t="s">
        <v>104</v>
      </c>
      <c r="I127" s="88">
        <f t="shared" si="18"/>
        <v>0</v>
      </c>
      <c r="J127" s="88">
        <f t="shared" si="19"/>
        <v>0</v>
      </c>
      <c r="K127" s="89">
        <f t="shared" si="20"/>
        <v>0</v>
      </c>
      <c r="L127" s="90">
        <f t="shared" si="21"/>
        <v>0</v>
      </c>
      <c r="M127" s="49"/>
      <c r="P127" t="s">
        <v>167</v>
      </c>
      <c r="Q127" s="10" t="s">
        <v>165</v>
      </c>
      <c r="R127" t="e">
        <f>IF(H108="Cadre",0,SUM(C110:C116))</f>
        <v>#N/A</v>
      </c>
      <c r="S127" t="e">
        <f>IF(H108="Cadre",0,SUM(J110:J116))</f>
        <v>#N/A</v>
      </c>
      <c r="T127" t="e">
        <f>IF(H108="Cadre",0,SUM(C118:C124))</f>
        <v>#N/A</v>
      </c>
      <c r="U127" t="e">
        <f>IF(H108="Cadre",0,SUM(J118:J124))</f>
        <v>#N/A</v>
      </c>
      <c r="V127" t="e">
        <f>IF(H108="Cadre",0,SUM(C126:C132))</f>
        <v>#N/A</v>
      </c>
      <c r="W127" s="63" t="e">
        <f t="shared" si="17"/>
        <v>#N/A</v>
      </c>
    </row>
    <row r="128" spans="1:29" hidden="1" outlineLevel="1" x14ac:dyDescent="0.25">
      <c r="A128" s="69" t="s">
        <v>105</v>
      </c>
      <c r="B128" s="96"/>
      <c r="C128" s="96"/>
      <c r="D128" s="102"/>
      <c r="E128" s="103"/>
      <c r="F128" s="38"/>
      <c r="H128" s="81" t="s">
        <v>105</v>
      </c>
      <c r="I128" s="88">
        <f t="shared" si="18"/>
        <v>0</v>
      </c>
      <c r="J128" s="88">
        <f t="shared" si="19"/>
        <v>0</v>
      </c>
      <c r="K128" s="89">
        <f t="shared" si="20"/>
        <v>0</v>
      </c>
      <c r="L128" s="90">
        <f t="shared" si="21"/>
        <v>0</v>
      </c>
      <c r="M128" s="49"/>
      <c r="P128" t="s">
        <v>168</v>
      </c>
      <c r="Q128" s="10" t="s">
        <v>165</v>
      </c>
      <c r="R128">
        <f>O107</f>
        <v>0</v>
      </c>
      <c r="S128">
        <f>O109</f>
        <v>0</v>
      </c>
      <c r="T128">
        <f>O111</f>
        <v>0</v>
      </c>
      <c r="U128">
        <f>O113</f>
        <v>0</v>
      </c>
      <c r="V128">
        <f>O115</f>
        <v>0</v>
      </c>
      <c r="W128" s="63">
        <f t="shared" si="17"/>
        <v>0</v>
      </c>
    </row>
    <row r="129" spans="1:29" hidden="1" outlineLevel="1" x14ac:dyDescent="0.25">
      <c r="A129" s="69" t="s">
        <v>106</v>
      </c>
      <c r="B129" s="96"/>
      <c r="C129" s="96"/>
      <c r="D129" s="102"/>
      <c r="E129" s="103"/>
      <c r="F129" s="38"/>
      <c r="H129" s="81" t="s">
        <v>106</v>
      </c>
      <c r="I129" s="88">
        <f t="shared" si="18"/>
        <v>0</v>
      </c>
      <c r="J129" s="88">
        <f t="shared" si="19"/>
        <v>0</v>
      </c>
      <c r="K129" s="89">
        <f t="shared" si="20"/>
        <v>0</v>
      </c>
      <c r="L129" s="90">
        <f t="shared" si="21"/>
        <v>0</v>
      </c>
      <c r="M129" s="49"/>
      <c r="P129" t="s">
        <v>166</v>
      </c>
      <c r="Q129" s="10" t="s">
        <v>159</v>
      </c>
      <c r="R129" t="e">
        <f>IF(H108="Employé",B116,0)</f>
        <v>#N/A</v>
      </c>
      <c r="S129" t="e">
        <f>IF(H108="Employé",I116,0)</f>
        <v>#N/A</v>
      </c>
      <c r="T129" t="e">
        <f>IF(H108="Employé",B124,0)</f>
        <v>#N/A</v>
      </c>
      <c r="U129" t="e">
        <f>IF(H108="Employé",I124,0)</f>
        <v>#N/A</v>
      </c>
      <c r="V129" t="e">
        <f>IF(H108="Employé",B132,0)</f>
        <v>#N/A</v>
      </c>
      <c r="W129" s="63" t="e">
        <f t="shared" si="17"/>
        <v>#N/A</v>
      </c>
    </row>
    <row r="130" spans="1:29" hidden="1" outlineLevel="1" x14ac:dyDescent="0.25">
      <c r="A130" s="69" t="s">
        <v>107</v>
      </c>
      <c r="B130" s="96"/>
      <c r="C130" s="96"/>
      <c r="D130" s="102"/>
      <c r="E130" s="103"/>
      <c r="F130" s="38"/>
      <c r="H130" s="81" t="s">
        <v>107</v>
      </c>
      <c r="I130" s="88">
        <f t="shared" si="18"/>
        <v>0</v>
      </c>
      <c r="J130" s="88">
        <f t="shared" si="19"/>
        <v>0</v>
      </c>
      <c r="K130" s="89">
        <f t="shared" si="20"/>
        <v>0</v>
      </c>
      <c r="L130" s="90">
        <f t="shared" si="21"/>
        <v>0</v>
      </c>
      <c r="M130" s="303" t="s">
        <v>178</v>
      </c>
      <c r="N130" s="304"/>
      <c r="O130" s="304"/>
      <c r="P130" t="s">
        <v>297</v>
      </c>
      <c r="Q130" s="10" t="s">
        <v>159</v>
      </c>
      <c r="R130">
        <f>O117</f>
        <v>0</v>
      </c>
      <c r="S130">
        <f>O119</f>
        <v>0</v>
      </c>
      <c r="T130">
        <f>O121</f>
        <v>0</v>
      </c>
      <c r="U130">
        <f>O123</f>
        <v>0</v>
      </c>
      <c r="V130">
        <f>O125</f>
        <v>0</v>
      </c>
      <c r="W130" s="63">
        <f t="shared" si="17"/>
        <v>0</v>
      </c>
    </row>
    <row r="131" spans="1:29" hidden="1" outlineLevel="1" x14ac:dyDescent="0.25">
      <c r="A131" s="69" t="s">
        <v>108</v>
      </c>
      <c r="B131" s="96"/>
      <c r="C131" s="96"/>
      <c r="D131" s="102"/>
      <c r="E131" s="103"/>
      <c r="F131" s="38"/>
      <c r="H131" s="81" t="s">
        <v>108</v>
      </c>
      <c r="I131" s="88">
        <f t="shared" si="18"/>
        <v>0</v>
      </c>
      <c r="J131" s="88">
        <f t="shared" si="19"/>
        <v>0</v>
      </c>
      <c r="K131" s="89">
        <f t="shared" si="20"/>
        <v>0</v>
      </c>
      <c r="L131" s="90">
        <f t="shared" si="21"/>
        <v>0</v>
      </c>
      <c r="M131" s="49"/>
      <c r="P131" t="s">
        <v>171</v>
      </c>
      <c r="Q131" s="10" t="s">
        <v>172</v>
      </c>
      <c r="R131" s="2"/>
      <c r="S131" s="2"/>
      <c r="T131" s="2"/>
      <c r="U131" s="2"/>
      <c r="V131" s="2"/>
      <c r="W131" s="91" t="e">
        <f>IF(AND(K107="non",H108="Employé"),SUM(I126:I132)+(SUM(W108:W121)-W104),(SUM(I126:I132)-W123)+(SUM(W108:W121)-W104))</f>
        <v>#N/A</v>
      </c>
    </row>
    <row r="132" spans="1:29" ht="15.75" hidden="1" outlineLevel="1" thickBot="1" x14ac:dyDescent="0.3">
      <c r="A132" s="70" t="s">
        <v>109</v>
      </c>
      <c r="B132" s="97"/>
      <c r="C132" s="97"/>
      <c r="D132" s="71"/>
      <c r="E132" s="104"/>
      <c r="F132" s="39"/>
      <c r="H132" s="92" t="s">
        <v>109</v>
      </c>
      <c r="I132" s="93">
        <f>(B116+I116+B124+I124+B132)</f>
        <v>0</v>
      </c>
      <c r="J132" s="93">
        <f>(C116+J116+C124+J124+C132)</f>
        <v>0</v>
      </c>
      <c r="K132" s="71">
        <f>(D116+K116+D124+K124+D132)</f>
        <v>0</v>
      </c>
      <c r="L132" s="94">
        <f>(E116+L116+E124+L124+E132)</f>
        <v>0</v>
      </c>
      <c r="M132" s="49"/>
      <c r="P132" t="s">
        <v>176</v>
      </c>
      <c r="Q132" s="10" t="s">
        <v>172</v>
      </c>
      <c r="R132" s="2"/>
      <c r="S132" s="2"/>
      <c r="T132" s="2"/>
      <c r="U132" s="2"/>
      <c r="V132" s="2"/>
      <c r="W132" s="91" t="e">
        <f>IF(H108="Cadre",((SUM(I126:I132)+SUM(W108:W121)-W110-W111)/2),0)</f>
        <v>#N/A</v>
      </c>
    </row>
    <row r="133" spans="1:29" ht="15" customHeight="1" collapsed="1" x14ac:dyDescent="0.25">
      <c r="D133" s="302" t="s">
        <v>298</v>
      </c>
      <c r="E133" s="302"/>
      <c r="F133" s="302"/>
      <c r="G133" s="302"/>
      <c r="H133" s="302"/>
      <c r="I133" s="302"/>
      <c r="J133" s="302"/>
      <c r="K133" s="302"/>
      <c r="L133" s="42" t="s">
        <v>469</v>
      </c>
      <c r="N133" s="43"/>
      <c r="O133" s="43" t="s">
        <v>179</v>
      </c>
      <c r="P133" s="15" t="s">
        <v>157</v>
      </c>
      <c r="AA133" s="15" t="s">
        <v>157</v>
      </c>
    </row>
    <row r="134" spans="1:29" hidden="1" outlineLevel="1" x14ac:dyDescent="0.25">
      <c r="D134" s="302"/>
      <c r="E134" s="302"/>
      <c r="F134" s="302"/>
      <c r="G134" s="302"/>
      <c r="H134" s="302"/>
      <c r="I134" s="302"/>
      <c r="J134" s="302"/>
      <c r="K134" s="302"/>
      <c r="N134" s="43"/>
      <c r="O134" s="43" t="s">
        <v>180</v>
      </c>
      <c r="AC134" t="s">
        <v>201</v>
      </c>
    </row>
    <row r="135" spans="1:29" hidden="1" outlineLevel="2" x14ac:dyDescent="0.25">
      <c r="D135" s="302"/>
      <c r="E135" s="302"/>
      <c r="F135" s="302"/>
      <c r="G135" s="302"/>
      <c r="H135" s="302"/>
      <c r="I135" s="302"/>
      <c r="J135" s="302"/>
      <c r="K135" s="302"/>
      <c r="N135" s="44"/>
      <c r="O135" s="44" t="s">
        <v>181</v>
      </c>
      <c r="AA135" s="15" t="s">
        <v>200</v>
      </c>
      <c r="AC135" s="2" t="str">
        <f>I137</f>
        <v>Juin</v>
      </c>
    </row>
    <row r="136" spans="1:29" hidden="1" outlineLevel="2" x14ac:dyDescent="0.25">
      <c r="A136" s="45" t="s">
        <v>3</v>
      </c>
      <c r="B136" s="46">
        <f>'Synthèse Horaires'!$B$4</f>
        <v>2026</v>
      </c>
      <c r="C136" s="47"/>
      <c r="D136" s="48" t="s">
        <v>1</v>
      </c>
      <c r="E136" s="46">
        <f>'Synthèse Horaires'!$D$4</f>
        <v>0</v>
      </c>
      <c r="F136" s="49"/>
      <c r="G136" s="49"/>
      <c r="H136" s="48" t="s">
        <v>2</v>
      </c>
      <c r="I136" s="47">
        <f>'Synthèse Horaires'!$I$4</f>
        <v>0</v>
      </c>
      <c r="J136" s="50"/>
      <c r="K136" s="50"/>
      <c r="N136" s="44"/>
      <c r="O136" s="44" t="s">
        <v>202</v>
      </c>
      <c r="V136" s="10" t="s">
        <v>174</v>
      </c>
      <c r="W136" s="51" t="e">
        <f>IF(K140="non",SUM(K159:K165)*(35/6),SUM(K159:K165)*(K140/6))</f>
        <v>#N/A</v>
      </c>
      <c r="AB136" t="s">
        <v>6</v>
      </c>
      <c r="AC136" s="14">
        <f>B140</f>
        <v>0</v>
      </c>
    </row>
    <row r="137" spans="1:29" hidden="1" outlineLevel="2" x14ac:dyDescent="0.25">
      <c r="A137" s="45" t="s">
        <v>10</v>
      </c>
      <c r="B137" s="49"/>
      <c r="C137" s="49"/>
      <c r="D137" s="50" t="str">
        <f>'Synthèse Horaires'!$C$6</f>
        <v>01 juin 2026 au 31 mai 2027.</v>
      </c>
      <c r="E137" s="2"/>
      <c r="H137" s="48" t="s">
        <v>205</v>
      </c>
      <c r="I137" s="47" t="str">
        <f>'Synthèse Horaires'!$I$5</f>
        <v>Juin</v>
      </c>
      <c r="N137" s="44"/>
      <c r="O137" s="44" t="s">
        <v>203</v>
      </c>
      <c r="V137" s="10" t="s">
        <v>173</v>
      </c>
      <c r="W137">
        <f>W143+W144</f>
        <v>0</v>
      </c>
      <c r="AB137" t="s">
        <v>57</v>
      </c>
      <c r="AC137" s="14" t="e">
        <f>B141</f>
        <v>#N/A</v>
      </c>
    </row>
    <row r="138" spans="1:29" ht="9.75" hidden="1" customHeight="1" outlineLevel="2" thickBot="1" x14ac:dyDescent="0.3">
      <c r="A138" s="22"/>
      <c r="B138" s="22"/>
      <c r="C138" s="22"/>
      <c r="D138" s="22"/>
      <c r="E138" s="22"/>
      <c r="F138" s="22"/>
      <c r="G138" s="22"/>
      <c r="H138" s="22"/>
      <c r="I138" s="22"/>
      <c r="J138" s="22"/>
      <c r="K138" s="22"/>
      <c r="L138" s="22"/>
      <c r="M138" s="22"/>
      <c r="N138" s="22"/>
      <c r="O138" s="22"/>
      <c r="AB138" t="s">
        <v>211</v>
      </c>
      <c r="AC138" s="14" t="e">
        <f>H141</f>
        <v>#N/A</v>
      </c>
    </row>
    <row r="139" spans="1:29" hidden="1" outlineLevel="2" x14ac:dyDescent="0.25">
      <c r="A139" s="4" t="s">
        <v>58</v>
      </c>
      <c r="B139" s="4"/>
      <c r="C139" s="4"/>
      <c r="D139" s="4"/>
      <c r="E139" s="4"/>
      <c r="F139" s="4"/>
      <c r="G139" s="4"/>
      <c r="H139" s="4"/>
      <c r="O139" s="265" t="str">
        <f>"H. Férié. "&amp;A142</f>
        <v>H. Férié. Semaine 23</v>
      </c>
      <c r="P139" s="53" t="s">
        <v>6</v>
      </c>
      <c r="Q139" s="2">
        <f>B140</f>
        <v>0</v>
      </c>
      <c r="T139" s="10" t="s">
        <v>76</v>
      </c>
      <c r="U139" s="2" t="e">
        <f>VLOOKUP(B140,'Base Matricule Siège'!$B$12:$F$1000,5,FALSE)</f>
        <v>#N/A</v>
      </c>
      <c r="AA139" t="s">
        <v>215</v>
      </c>
      <c r="AB139" t="s">
        <v>207</v>
      </c>
      <c r="AC139" s="14" t="e">
        <f>IF(AC138="Cadre",0,W164)</f>
        <v>#N/A</v>
      </c>
    </row>
    <row r="140" spans="1:29" ht="15.75" hidden="1" outlineLevel="2" thickBot="1" x14ac:dyDescent="0.3">
      <c r="A140" s="49" t="s">
        <v>18</v>
      </c>
      <c r="B140" s="113">
        <v>0</v>
      </c>
      <c r="E140" s="49"/>
      <c r="G140" s="57" t="s">
        <v>317</v>
      </c>
      <c r="H140" s="58" t="e">
        <f>VLOOKUP(B140,'Base Matricule Siège'!$B$13:$H$1000,5,FALSE)</f>
        <v>#N/A</v>
      </c>
      <c r="J140" s="10" t="s">
        <v>161</v>
      </c>
      <c r="K140" s="58" t="e">
        <f>IF((VLOOKUP('MASQUE COLLABORATEUR'!B140,'Base Matricule Siège'!$B$13:$E$1000,4,FALSE)&lt;'Base Matricule Siège'!$G$5),(VLOOKUP('MASQUE COLLABORATEUR'!B140,'Base Matricule Siège'!$B$13:$E$1000,4,FALSE)),"non")</f>
        <v>#N/A</v>
      </c>
      <c r="O140" s="267"/>
      <c r="R140" t="s">
        <v>151</v>
      </c>
      <c r="S140" t="s">
        <v>152</v>
      </c>
      <c r="T140" t="s">
        <v>153</v>
      </c>
      <c r="U140" t="s">
        <v>154</v>
      </c>
      <c r="V140" t="s">
        <v>155</v>
      </c>
      <c r="W140" s="59" t="s">
        <v>156</v>
      </c>
      <c r="AB140" t="s">
        <v>11</v>
      </c>
      <c r="AC140" s="14" t="e">
        <f>W165</f>
        <v>#N/A</v>
      </c>
    </row>
    <row r="141" spans="1:29" ht="15.75" hidden="1" outlineLevel="2" thickBot="1" x14ac:dyDescent="0.3">
      <c r="A141" s="49" t="s">
        <v>59</v>
      </c>
      <c r="B141" s="2" t="e">
        <f>VLOOKUP(B140,'Base Matricule Siège'!$B$13:$C$1000,2,FALSE)</f>
        <v>#N/A</v>
      </c>
      <c r="C141" s="2"/>
      <c r="D141" s="2"/>
      <c r="G141" s="57" t="s">
        <v>158</v>
      </c>
      <c r="H141" s="202" t="e">
        <f>VLOOKUP(B140,'Base Matricule Siège'!$B$13:$G$1000,6,FALSE)</f>
        <v>#N/A</v>
      </c>
      <c r="O141" s="264" t="str">
        <f>"H. Férié. "&amp;H142</f>
        <v>H. Férié. Semaine 24</v>
      </c>
      <c r="P141" s="10" t="s">
        <v>142</v>
      </c>
      <c r="Q141" s="10" t="s">
        <v>149</v>
      </c>
      <c r="R141">
        <f>IF(F143=Q141,E143,0)+IF(F144=Q141,E144,0)+IF(F145=Q141,E145,0)+IF(Q141=F146,E146,0)+IF(F147=Q141,E147,0)+IF(F148=Q141,E148,0)</f>
        <v>0</v>
      </c>
      <c r="S141">
        <f>IF(M143=Q141,L143,0)+IF(M144=Q141,L144,0)+IF(M145=Q141,L145,0)+IF(Q141=M146,L146,0)+IF(M147=Q141,L147,0)+IF(M148=Q141,L148,0)</f>
        <v>0</v>
      </c>
      <c r="T141">
        <f>IF(F151=Q141,E151,0)+IF(F152=Q141,E152,0)+IF(F153=Q141,E153,0)+IF(Q141=F154,E154,0)+IF(F155=Q141,E155,0)+IF(F156=Q141,E156,0)</f>
        <v>0</v>
      </c>
      <c r="U141">
        <f>IF(M151=Q141,L151,0)+IF(M152=Q141,L152,0)+IF(M153=Q141,L153,0)+IF(Q141=M154,L154,0)+IF(M155=Q141,L155,0)+IF(M156=Q141,L156,0)</f>
        <v>0</v>
      </c>
      <c r="V141">
        <f>IF(F159=Q141,E159,0)+IF(F160=Q141,E160,0)+IF(F161=Q141,E161,0)+IF(Q141=F162,E162,0)+IF(F163=Q141,E163,0)+IF(F164=Q141,E164,0)</f>
        <v>0</v>
      </c>
      <c r="W141" s="63">
        <f>SUM(R141:V141)</f>
        <v>0</v>
      </c>
      <c r="AB141" t="s">
        <v>208</v>
      </c>
      <c r="AC141" s="14">
        <f>SUM(K159:K165)</f>
        <v>0</v>
      </c>
    </row>
    <row r="142" spans="1:29" ht="15.75" hidden="1" outlineLevel="2" thickBot="1" x14ac:dyDescent="0.3">
      <c r="A142" s="64" t="str">
        <f>A109</f>
        <v>Semaine 23</v>
      </c>
      <c r="B142" s="65" t="e">
        <f>IF(H141="Cadre","Demi J. Réalisées","H. Réalisées")</f>
        <v>#N/A</v>
      </c>
      <c r="C142" s="65" t="s">
        <v>141</v>
      </c>
      <c r="D142" s="66" t="e">
        <f>IF(H141="Cadre","CP en Demi J.","CP en jours")</f>
        <v>#N/A</v>
      </c>
      <c r="E142" s="66" t="e">
        <f>IF(H141="Cadre","Abs. En Demi J.","Absence en H.")</f>
        <v>#N/A</v>
      </c>
      <c r="F142" s="67" t="s">
        <v>110</v>
      </c>
      <c r="H142" s="64" t="str">
        <f>H109</f>
        <v>Semaine 24</v>
      </c>
      <c r="I142" s="65" t="e">
        <f>B142</f>
        <v>#N/A</v>
      </c>
      <c r="J142" s="65" t="str">
        <f>C142</f>
        <v>Férié</v>
      </c>
      <c r="K142" s="66" t="e">
        <f>D142</f>
        <v>#N/A</v>
      </c>
      <c r="L142" s="66" t="e">
        <f>E142</f>
        <v>#N/A</v>
      </c>
      <c r="M142" s="67" t="str">
        <f>F142</f>
        <v>Type absence</v>
      </c>
      <c r="O142" s="267"/>
      <c r="Q142" s="10" t="s">
        <v>143</v>
      </c>
      <c r="R142">
        <f>IF(F143=Q142,E143,0)+IF(F144=Q142,E144,0)+IF(F145=Q142,E145,0)+IF(Q142=F146,E146,0)+IF(F148=Q142,E147,0)+IF(F147=Q142,E148,0)</f>
        <v>0</v>
      </c>
      <c r="S142">
        <f>IF(M144=Q142,L144,0)+IF(M145=Q142,L145,0)+IF(M146=Q142,L146,0)+IF(Q142=M147,L147,0)+IF(M148=Q142,L148,0)+IF(M143=Q142,L143,0)</f>
        <v>0</v>
      </c>
      <c r="T142">
        <f>IF(F151=Q142,E151,0)+IF(F152=Q142,E152,0)+IF(F153=Q142,E153,0)+IF(Q142=F154,E154,0)+IF(F155=Q142,E155,0)+IF(F156=Q142,E156,0)</f>
        <v>0</v>
      </c>
      <c r="U142">
        <f>IF(M151=Q142,L151,0)+IF(M152=Q142,L152,0)+IF(M153=Q142,L153,0)+IF(Q142=M154,L154,0)+IF(M155=Q142,L155,0)+IF(M156=Q142,L156,0)</f>
        <v>0</v>
      </c>
      <c r="V142">
        <f>IF(F159=Q142,E159,0)+IF(F160=Q142,E160,0)+IF(F161=Q142,E161,0)+IF(Q142=F162,E162,0)+IF(F163=Q142,E163,0)+IF(F164=Q142,E164,0)</f>
        <v>0</v>
      </c>
      <c r="W142" s="63">
        <f t="shared" ref="W142:W154" si="22">SUM(R142:V142)</f>
        <v>0</v>
      </c>
      <c r="AB142" t="s">
        <v>8</v>
      </c>
      <c r="AC142" s="14"/>
    </row>
    <row r="143" spans="1:29" hidden="1" outlineLevel="2" x14ac:dyDescent="0.25">
      <c r="A143" s="68" t="s">
        <v>103</v>
      </c>
      <c r="B143" s="98"/>
      <c r="C143" s="98"/>
      <c r="D143" s="99"/>
      <c r="E143" s="100"/>
      <c r="F143" s="101"/>
      <c r="H143" s="69" t="s">
        <v>103</v>
      </c>
      <c r="I143" s="95"/>
      <c r="J143" s="95"/>
      <c r="K143" s="106"/>
      <c r="L143" s="105"/>
      <c r="M143" s="101"/>
      <c r="O143" s="264" t="str">
        <f>"H. Férié. "&amp;A150</f>
        <v>H. Férié. Ne pas saisir</v>
      </c>
      <c r="Q143" s="10" t="s">
        <v>144</v>
      </c>
      <c r="R143">
        <f>IF(F145=Q143,E145,0)+IF(F146=Q143,E146,0)+IF(F147=Q143,E147,0)+IF(Q143=F148,E148,0)+IF(F143=Q143,E143,0)+IF(F144=Q143,E144,0)</f>
        <v>0</v>
      </c>
      <c r="S143">
        <f>IF(M145=Q143,L145,0)+IF(M146=Q143,L146,0)+IF(M147=Q143,L147,0)+IF(Q143=M148,L148,0)+IF(M143=Q143,L143,0)+IF(M144=Q143,L144,0)</f>
        <v>0</v>
      </c>
      <c r="T143">
        <f>IF(F151=Q143,E151,0)+IF(F152=Q143,E152,0)+IF(F153=Q143,E153,0)+IF(Q143=F154,E154,0)+IF(F155=Q143,E155,0)+IF(F156=Q143,E156,0)</f>
        <v>0</v>
      </c>
      <c r="U143">
        <f>IF(M151=Q143,L151,0)+IF(M152=Q143,L152,0)+IF(M153=Q143,L153,0)+IF(Q143=M154,L154,0)+IF(M155=Q143,L155,0)+IF(M156=Q143,L156,0)</f>
        <v>0</v>
      </c>
      <c r="V143">
        <f>IF(F159=Q143,E159,0)+IF(F160=Q143,E160,0)+IF(F161=Q143,E161,0)+IF(Q143=F162,E162,0)+IF(F163=Q143,E163,0)+IF(F164=Q143,E164,0)</f>
        <v>0</v>
      </c>
      <c r="W143" s="63">
        <f t="shared" si="22"/>
        <v>0</v>
      </c>
      <c r="AB143" t="s">
        <v>209</v>
      </c>
      <c r="AC143" s="14">
        <f>W143</f>
        <v>0</v>
      </c>
    </row>
    <row r="144" spans="1:29" ht="15.75" hidden="1" outlineLevel="2" thickBot="1" x14ac:dyDescent="0.3">
      <c r="A144" s="69" t="s">
        <v>104</v>
      </c>
      <c r="B144" s="96"/>
      <c r="C144" s="96"/>
      <c r="D144" s="102"/>
      <c r="E144" s="103"/>
      <c r="F144" s="38"/>
      <c r="H144" s="69" t="s">
        <v>104</v>
      </c>
      <c r="I144" s="96"/>
      <c r="J144" s="96"/>
      <c r="K144" s="102"/>
      <c r="L144" s="103"/>
      <c r="M144" s="38"/>
      <c r="O144" s="267"/>
      <c r="Q144" s="10" t="s">
        <v>145</v>
      </c>
      <c r="R144">
        <f>IF(F146=Q144,E146,0)+IF(F147=Q144,E147,0)+IF(F148=Q144,E148,0)+IF(Q144=F143,E143,0)+IF(F144=Q144,E144,0)+IF(F145=Q144,E145,0)</f>
        <v>0</v>
      </c>
      <c r="S144">
        <f>IF(M146=Q144,L146,0)+IF(M147=Q144,L147,0)+IF(M148=Q144,L148,0)+IF(Q144=M143,L143,0)+IF(M144=Q144,L144,0)+IF(M145=Q144,L145,0)</f>
        <v>0</v>
      </c>
      <c r="T144">
        <f>IF(F151=Q144,$E151,0)+IF(F152=Q144,E152,0)+IF(F153=Q144,E153,0)+IF(Q144=F154,E154,0)+IF(F155=Q144,E155,0)+IF(F156=Q144,E156,0)</f>
        <v>0</v>
      </c>
      <c r="U144">
        <f>IF(M151=Q144,L151,0)+IF(M152=Q144,L152,0)+IF(M153=Q144,L153,0)+IF(Q144=M154,L154,0)+IF(M155=Q144,L155,0)+IF(M156=Q144,L156,0)</f>
        <v>0</v>
      </c>
      <c r="V144">
        <f>IF(F159=Q144,E159,0)+IF(F160=Q144,E160,0)+IF(F161=Q144,E161,0)+IF(Q144=F162,E162,0)+IF(F163=Q144,E163,0)+IF(F164=Q144,E164,0)</f>
        <v>0</v>
      </c>
      <c r="W144" s="63">
        <f t="shared" si="22"/>
        <v>0</v>
      </c>
      <c r="AB144" t="s">
        <v>210</v>
      </c>
      <c r="AC144" s="14">
        <f>SUM(W141:W154)-W143</f>
        <v>0</v>
      </c>
    </row>
    <row r="145" spans="1:29" hidden="1" outlineLevel="2" x14ac:dyDescent="0.25">
      <c r="A145" s="69" t="s">
        <v>105</v>
      </c>
      <c r="B145" s="96"/>
      <c r="C145" s="96"/>
      <c r="D145" s="102"/>
      <c r="E145" s="103"/>
      <c r="F145" s="38"/>
      <c r="H145" s="69" t="s">
        <v>105</v>
      </c>
      <c r="I145" s="96"/>
      <c r="J145" s="96"/>
      <c r="K145" s="102"/>
      <c r="L145" s="103"/>
      <c r="M145" s="38"/>
      <c r="O145" s="264" t="str">
        <f>"H. Férié. "&amp;H150</f>
        <v>H. Férié. Ne pas saisir</v>
      </c>
      <c r="Q145" s="10" t="s">
        <v>212</v>
      </c>
      <c r="R145">
        <f>IF(F147=Q145,E147,0)+IF(F148=Q145,E148,0)+IF(F143=Q145,E143,0)+IF(Q145=F144,E144,0)+IF(F145=Q145,E145,0)+IF(F146=Q145,E146,0)</f>
        <v>0</v>
      </c>
      <c r="S145">
        <f>IF(M146=Q145,L146,0)+IF(M147=Q145,L147,0)+IF(M148=Q145,L148,0)+IF(Q145=M143,L143,0)+IF(M144=Q145,L144,0)+IF(M145=Q145,L145,0)</f>
        <v>0</v>
      </c>
      <c r="T145">
        <f>IF(F151=Q145,E151,0)+IF(F152=Q145,E152,0)+IF(F153=Q145,E153,0)+IF(Q145=F154,E154,0)+IF(F155=Q145,E155,0)+IF(F156=Q145,E156,0)</f>
        <v>0</v>
      </c>
      <c r="U145">
        <f>IF(M151=Q145,L151,0)+IF(M152=Q145,L152,0)+IF(M153=Q145,L153,0)+IF(Q145=M154,L154,0)+IF(M155=Q145,L155,0)+IF(M156=Q145,L156,0)</f>
        <v>0</v>
      </c>
      <c r="V145">
        <f>IF(F159=Q145,E159,0)+IF(F160=Q145,E160,0)+IF(F161=Q145,E161,0)+IF(Q145=F162,E162,0)+IF(F163=Q145,E163,0)+IF(F164=Q145,E164,0)</f>
        <v>0</v>
      </c>
      <c r="W145" s="63">
        <f t="shared" si="22"/>
        <v>0</v>
      </c>
      <c r="AA145" t="s">
        <v>214</v>
      </c>
      <c r="AB145" t="s">
        <v>213</v>
      </c>
      <c r="AC145" s="14" t="e">
        <f>IF(AC138="Cadre",(W145/2),(W145))</f>
        <v>#N/A</v>
      </c>
    </row>
    <row r="146" spans="1:29" ht="15.75" hidden="1" outlineLevel="2" thickBot="1" x14ac:dyDescent="0.3">
      <c r="A146" s="69" t="s">
        <v>106</v>
      </c>
      <c r="B146" s="96"/>
      <c r="C146" s="96"/>
      <c r="D146" s="102"/>
      <c r="E146" s="103"/>
      <c r="F146" s="38"/>
      <c r="H146" s="69" t="s">
        <v>106</v>
      </c>
      <c r="I146" s="96"/>
      <c r="J146" s="96"/>
      <c r="K146" s="102"/>
      <c r="L146" s="103"/>
      <c r="M146" s="38"/>
      <c r="O146" s="267"/>
      <c r="Q146" s="10" t="s">
        <v>146</v>
      </c>
      <c r="R146">
        <f>IF(F148=Q146,E148,0)+IF(F143=Q146,E143,0)+IF(F144=Q146,E144,0)+IF(Q146=F145,E145,0)+IF(F146=Q146,E146,0)+IF(F147=Q146,E147,0)</f>
        <v>0</v>
      </c>
      <c r="S146">
        <f>IF(M146=Q146,L146,0)+IF(M147=Q146,L147,0)+IF(M148=Q146,L148,0)+IF(Q146=M143,$L$11,0)+IF(M144=Q146,L144,0)+IF(M145=Q146,L145,0)</f>
        <v>0</v>
      </c>
      <c r="T146">
        <f>IF(F151=Q146,E151,0)+IF(F152=Q146,E152,0)+IF(F153=Q146,E153,0)+IF(Q146=F154,E154,0)+IF(F155=Q146,E155,0)+IF(F156=Q146,E156,0)</f>
        <v>0</v>
      </c>
      <c r="U146">
        <f>IF(M151=Q146,L151,0)+IF(M152=Q146,L152,0)+IF(M153=Q146,L153,0)+IF(Q146=M154,L154,0)+IF(M155=Q146,L155,0)+IF(M156=Q146,L156,0)</f>
        <v>0</v>
      </c>
      <c r="V146">
        <f>IF(F159=Q146,E159,0)+IF(F160=Q146,E160,0)+IF(F161=Q146,E161,0)+IF(Q146=F162,E162,0)+IF(F163=Q146,E163,0)+IF(F164=Q146,E164,0)</f>
        <v>0</v>
      </c>
      <c r="W146" s="63">
        <f t="shared" si="22"/>
        <v>0</v>
      </c>
      <c r="AA146" t="s">
        <v>216</v>
      </c>
      <c r="AB146" t="s">
        <v>217</v>
      </c>
      <c r="AC146" s="14" t="e">
        <f>W158+W159</f>
        <v>#N/A</v>
      </c>
    </row>
    <row r="147" spans="1:29" hidden="1" outlineLevel="2" x14ac:dyDescent="0.25">
      <c r="A147" s="69" t="s">
        <v>107</v>
      </c>
      <c r="B147" s="96"/>
      <c r="C147" s="96"/>
      <c r="D147" s="102"/>
      <c r="E147" s="103"/>
      <c r="F147" s="38"/>
      <c r="H147" s="69" t="s">
        <v>107</v>
      </c>
      <c r="I147" s="96"/>
      <c r="J147" s="96"/>
      <c r="K147" s="102"/>
      <c r="L147" s="103"/>
      <c r="M147" s="38"/>
      <c r="O147" s="264" t="str">
        <f>"H. Férié. "&amp;A158</f>
        <v>H. Férié. Ne pas saisir</v>
      </c>
      <c r="Q147" s="10" t="s">
        <v>499</v>
      </c>
      <c r="R147">
        <f>IF(F143=Q147,E143,0)+IF(F144=Q147,E144,0)+IF(F145=Q147,E145,0)+IF(Q147=F146,E146,0)+IF(F147=Q147,E147,0)+IF(F148=Q147,E148,0)</f>
        <v>0</v>
      </c>
      <c r="S147">
        <f>IF(M146=Q147,L146,0)+IF(M147=Q147,L147,0)+IF(M148=Q147,L148,0)+IF(Q147=M143,L143,0)+IF(M144=Q147,L144,0)+IF(M145=Q147,L145,0)</f>
        <v>0</v>
      </c>
      <c r="T147">
        <f>IF(F151=Q147,E151,0)+IF(F152=Q147,E152,0)+IF(F153=Q147,E153,0)+IF(Q147=F154,E154,0)+IF(F155=Q147,E155,0)+IF(F156=Q147,E156,0)</f>
        <v>0</v>
      </c>
      <c r="U147">
        <f>IF(M151=Q147,L151,0)+IF(M152=Q147,L152,0)+IF(M153=Q147,L153,0)+IF(Q147=M154,L154,0)+IF(M155=Q147,L155,0)+IF(M156=Q147,L156,0)</f>
        <v>0</v>
      </c>
      <c r="V147">
        <f>IF(F159=Q147,E159,0)+IF(F160=Q147,E160,0)+IF(F161=Q147,E161,0)+IF(Q147=F162,E162,0)+IF(F163=Q147,E163,0)+IF(F164=Q147,E164,0)</f>
        <v>0</v>
      </c>
      <c r="W147" s="63">
        <f t="shared" si="22"/>
        <v>0</v>
      </c>
      <c r="AA147" t="s">
        <v>218</v>
      </c>
      <c r="AB147" t="s">
        <v>219</v>
      </c>
      <c r="AC147" s="14">
        <f>W157</f>
        <v>0</v>
      </c>
    </row>
    <row r="148" spans="1:29" ht="15.75" hidden="1" outlineLevel="2" thickBot="1" x14ac:dyDescent="0.3">
      <c r="A148" s="69" t="s">
        <v>108</v>
      </c>
      <c r="B148" s="96"/>
      <c r="C148" s="96"/>
      <c r="D148" s="102"/>
      <c r="E148" s="103"/>
      <c r="F148" s="38"/>
      <c r="H148" s="69" t="s">
        <v>108</v>
      </c>
      <c r="I148" s="96"/>
      <c r="J148" s="96"/>
      <c r="K148" s="102"/>
      <c r="L148" s="103"/>
      <c r="M148" s="38"/>
      <c r="O148" s="267"/>
      <c r="Q148" s="10" t="s">
        <v>147</v>
      </c>
      <c r="R148">
        <f>IF(F144=Q148,E144,0)+IF(F145=Q148,E145,0)+IF(F146=Q148,E146,0)+IF(Q148=F147,E147,0)+IF(F148=Q148,E148,0)+IF(F143=Q148,E143,0)</f>
        <v>0</v>
      </c>
      <c r="S148">
        <f>IF(M146=Q148,L146,0)+IF(M147=Q148,L147,0)+IF(M148=Q148,L148,0)+IF(Q148=M143,L143,0)+IF(M144=Q148,L144,0)+IF(M145=Q148,L145,0)</f>
        <v>0</v>
      </c>
      <c r="T148">
        <f>IF(F151=Q148,E151,0)+IF(F152=Q148,E152,0)+IF(F153=Q148,E153,0)+IF(Q148=F154,E154,0)+IF(F155=Q148,E155,0)+IF(F156=Q148,E156,0)</f>
        <v>0</v>
      </c>
      <c r="U148">
        <f>IF(M151=Q148,L151,0)+IF(M152=Q148,L152,0)+IF(M153=Q148,L153,0)+IF(Q148=M154,L154,0)+IF(M155=Q148,L155,0)+IF(M156=Q148,L156,0)</f>
        <v>0</v>
      </c>
      <c r="V148">
        <f>IF(F159=Q148,E159,0)+IF(F160=Q148,E160,0)+IF(F161=Q148,E161,0)+IF(Q148=F162,E162,0)+IF(F163=Q148,E163,0)+IF(F164=Q148,E164,0)</f>
        <v>0</v>
      </c>
      <c r="W148" s="63">
        <f t="shared" si="22"/>
        <v>0</v>
      </c>
      <c r="AA148" t="s">
        <v>166</v>
      </c>
      <c r="AB148" t="s">
        <v>220</v>
      </c>
      <c r="AC148" s="14" t="e">
        <f>W162</f>
        <v>#N/A</v>
      </c>
    </row>
    <row r="149" spans="1:29" ht="15.75" hidden="1" outlineLevel="2" thickBot="1" x14ac:dyDescent="0.3">
      <c r="A149" s="70" t="s">
        <v>109</v>
      </c>
      <c r="B149" s="97"/>
      <c r="C149" s="97"/>
      <c r="D149" s="71"/>
      <c r="E149" s="104"/>
      <c r="F149" s="38"/>
      <c r="H149" s="70" t="s">
        <v>109</v>
      </c>
      <c r="I149" s="97"/>
      <c r="J149" s="97"/>
      <c r="K149" s="71"/>
      <c r="L149" s="104"/>
      <c r="M149" s="38"/>
      <c r="O149" s="264" t="str">
        <f>"H. Dim. "&amp;A142</f>
        <v>H. Dim. Semaine 23</v>
      </c>
      <c r="Q149" s="10" t="s">
        <v>500</v>
      </c>
      <c r="R149">
        <f>IF(F145=Q149,E145,0)+IF(F146=Q149,E146,0)+IF(F147=Q149,E147,0)+IF(Q149=F148,E148,0)+IF(F143=Q149,E143,0)+IF(F144=Q149,E144,0)</f>
        <v>0</v>
      </c>
      <c r="S149">
        <f>IF(M146=Q149,L146,0)+IF(M147=Q149,L147,0)+IF(M148=Q149,L148,0)+IF(Q149=M143,L143,0)+IF(M144=Q149,L144,0)+IF(M145=Q149,L145,0)</f>
        <v>0</v>
      </c>
      <c r="T149">
        <f>IF(F151=Q149,E151,0)+IF(F152=Q149,E152,0)+IF(F153=Q149,E153,0)+IF(Q149=F154,E154,0)+IF(F155=Q149,E155,0)+IF(F156=Q149,E156,0)</f>
        <v>0</v>
      </c>
      <c r="U149">
        <f>IF(M151=Q149,L151,0)+IF(M152=Q149,L152,0)+IF(M153=Q149,L153,0)+IF(Q149=M154,L154,0)+IF(M155=Q149,L155,0)+IF(M156=Q149,L156,0)</f>
        <v>0</v>
      </c>
      <c r="V149">
        <f>IF(F159=Q149,E159,0)+IF(F160=Q149,E160,0)+IF(F161=Q149,E161,0)+IF(Q149=F162,E162,0)+IF(F163=Q149,E163,0)+IF(F164=Q149,E164,0)</f>
        <v>0</v>
      </c>
      <c r="W149" s="63">
        <f t="shared" si="22"/>
        <v>0</v>
      </c>
      <c r="AA149" t="s">
        <v>222</v>
      </c>
      <c r="AB149" t="s">
        <v>220</v>
      </c>
      <c r="AC149" s="14">
        <f>W163</f>
        <v>0</v>
      </c>
    </row>
    <row r="150" spans="1:29" ht="15.75" hidden="1" outlineLevel="2" thickBot="1" x14ac:dyDescent="0.3">
      <c r="A150" s="64" t="str">
        <f>A117</f>
        <v>Ne pas saisir</v>
      </c>
      <c r="B150" s="65" t="e">
        <f>B142</f>
        <v>#N/A</v>
      </c>
      <c r="C150" s="65" t="str">
        <f>C142</f>
        <v>Férié</v>
      </c>
      <c r="D150" s="66" t="e">
        <f>D142</f>
        <v>#N/A</v>
      </c>
      <c r="E150" s="66" t="e">
        <f>E142</f>
        <v>#N/A</v>
      </c>
      <c r="F150" s="67" t="str">
        <f>F142</f>
        <v>Type absence</v>
      </c>
      <c r="H150" s="64" t="str">
        <f>H117</f>
        <v>Ne pas saisir</v>
      </c>
      <c r="I150" s="65" t="e">
        <f>B142</f>
        <v>#N/A</v>
      </c>
      <c r="J150" s="65" t="str">
        <f>C142</f>
        <v>Férié</v>
      </c>
      <c r="K150" s="66" t="e">
        <f>D142</f>
        <v>#N/A</v>
      </c>
      <c r="L150" s="66" t="e">
        <f>E142</f>
        <v>#N/A</v>
      </c>
      <c r="M150" s="67" t="str">
        <f>F142</f>
        <v>Type absence</v>
      </c>
      <c r="O150" s="267"/>
      <c r="Q150" s="10" t="s">
        <v>148</v>
      </c>
      <c r="R150">
        <f>IF(F146=Q150,E146,0)+IF(F147=Q150,E147,0)+IF(F148=Q150,E148,0)+IF(Q150=F143,E143,0)+IF(F144=Q150,E144,0)+IF(F145=Q150,E145,0)</f>
        <v>0</v>
      </c>
      <c r="S150">
        <f>IF(M146=Q150,L146,0)+IF(M147=Q150,L147,0)+IF(M148=Q150,L148,0)+IF(Q150=M143,L143,0)+IF(M144=Q150,L144,0)+IF(M145=Q150,L145,0)</f>
        <v>0</v>
      </c>
      <c r="T150">
        <f>IF(F151=Q150,E151,0)+IF(F152=Q150,E152,0)+IF(F153=Q150,E153,0)+IF(Q150=F154,E154,0)+IF(F155=Q150,E155,0)+IF(F156=Q150,E156,0)</f>
        <v>0</v>
      </c>
      <c r="U150">
        <f>IF(M151=Q150,L151,0)+IF(M152=Q150,L152,0)+IF(M153=Q150,L153,0)+IF(Q150=M154,L154,0)+IF(M155=Q150,L155,0)+IF(M156=Q150,L156,0)</f>
        <v>0</v>
      </c>
      <c r="V150">
        <f>IF(F159=Q150,E159,0)+IF(F160=Q150,E160,0)+IF(F161=Q150,E161,0)+IF(Q150=F162,E162,0)+IF(F163=Q150,E163,0)+IF(F164=Q150,E164,0)</f>
        <v>0</v>
      </c>
      <c r="W150" s="63">
        <f t="shared" si="22"/>
        <v>0</v>
      </c>
      <c r="AA150" t="s">
        <v>223</v>
      </c>
      <c r="AB150" t="s">
        <v>224</v>
      </c>
      <c r="AC150" s="14">
        <f>W161</f>
        <v>0</v>
      </c>
    </row>
    <row r="151" spans="1:29" hidden="1" outlineLevel="2" x14ac:dyDescent="0.25">
      <c r="A151" s="69" t="s">
        <v>103</v>
      </c>
      <c r="B151" s="95"/>
      <c r="C151" s="95"/>
      <c r="D151" s="106"/>
      <c r="E151" s="105"/>
      <c r="F151" s="101"/>
      <c r="H151" s="69" t="s">
        <v>103</v>
      </c>
      <c r="I151" s="95"/>
      <c r="J151" s="95"/>
      <c r="K151" s="106"/>
      <c r="L151" s="105"/>
      <c r="M151" s="101"/>
      <c r="O151" s="264" t="str">
        <f>"H. Dim. "&amp;H142</f>
        <v>H. Dim. Semaine 24</v>
      </c>
      <c r="Q151" s="10" t="s">
        <v>150</v>
      </c>
      <c r="R151">
        <f>IF(F147=Q151,E147,0)+IF(F148=Q151,E148,0)+IF(F143=Q151,E143,0)+IF(Q151=F144,E144,0)+IF(F145=Q151,E145,0)+IF(F146=Q151,E146,0)</f>
        <v>0</v>
      </c>
      <c r="S151">
        <f>IF(M146=Q151,L146,0)+IF(M147=Q151,L147,0)+IF(M148=Q151,L148,0)+IF(Q151=M143,L143,0)+IF(M144=Q151,L144,0)+IF(M145=Q151,L145,0)</f>
        <v>0</v>
      </c>
      <c r="T151">
        <f>IF(F151=Q151,E151,0)+IF(F152=Q151,E152,0)+IF(F153=Q151,E153,0)+IF(Q151=F154,E154,0)+IF(F155=Q151,E155,0)+IF(F156=Q151,E156,0)</f>
        <v>0</v>
      </c>
      <c r="U151">
        <f>IF(M151=Q151,L151,0)+IF(M152=Q151,L152,0)+IF(M153=Q151,L153,0)+IF(Q151=M154,L154,0)+IF(M155=Q151,L155,0)+IF(M156=Q151,L156,0)</f>
        <v>0</v>
      </c>
      <c r="V151">
        <f>IF(F159=Q151,E159,0)+IF(F160=Q151,E160,0)+IF(F161=Q151,E161,0)+IF(Q151=F162,E162,0)+IF(F163=Q151,E163,0)+IF(F164=Q151,E164,0)</f>
        <v>0</v>
      </c>
      <c r="W151" s="63">
        <f t="shared" si="22"/>
        <v>0</v>
      </c>
      <c r="AB151" t="s">
        <v>267</v>
      </c>
      <c r="AC151">
        <f>(SUM(B143:B149))</f>
        <v>0</v>
      </c>
    </row>
    <row r="152" spans="1:29" ht="15.75" hidden="1" outlineLevel="2" thickBot="1" x14ac:dyDescent="0.3">
      <c r="A152" s="69" t="s">
        <v>104</v>
      </c>
      <c r="B152" s="96"/>
      <c r="C152" s="96"/>
      <c r="D152" s="102"/>
      <c r="E152" s="103"/>
      <c r="F152" s="38"/>
      <c r="H152" s="69" t="s">
        <v>104</v>
      </c>
      <c r="I152" s="96"/>
      <c r="J152" s="96"/>
      <c r="K152" s="102"/>
      <c r="L152" s="103"/>
      <c r="M152" s="38"/>
      <c r="O152" s="267"/>
      <c r="Q152" s="10" t="s">
        <v>502</v>
      </c>
      <c r="R152">
        <f>IF(F148=Q152,E148,0)+IF(F143=Q152,E143,0)+IF(F144=Q152,E144,0)+IF(Q152=F145,E145,0)+IF(F146=Q152,E146,0)+IF(F147=Q152,E147,0)</f>
        <v>0</v>
      </c>
      <c r="S152">
        <f>IF(M146=Q152,L146,0)+IF(M147=Q152,L147,0)+IF(M148=Q152,L148,0)+IF(Q152=M143,L143,0)+IF(M144=Q152,L144,0)+IF(M145=Q152,L145,0)</f>
        <v>0</v>
      </c>
      <c r="T152">
        <f>IF(F151=Q152,E151,0)+IF(F152=Q152,E152,0)+IF(F153=Q152,E153,0)+IF(Q152=F154,E154,0)+IF(F155=Q152,E155,0)+IF(F156=Q152,E156,0)</f>
        <v>0</v>
      </c>
      <c r="U152">
        <f>IF(M151=Q152,L151,0)+IF(M152=Q152,L152,0)+IF(M153=Q152,L153,0)+IF(Q152=M154,L154,0)+IF(M155=Q152,L155,0)+IF(M156=Q152,L156,0)</f>
        <v>0</v>
      </c>
      <c r="V152">
        <f>IF(F159=Q152,E159,0)+IF(F160=Q152,E160,0)+IF(F161=Q152,E161,0)+IF(Q152=F162,E162,0)+IF(F163=Q152,E163,0)+IF(F164=Q152,E164,0)</f>
        <v>0</v>
      </c>
      <c r="W152" s="63">
        <f t="shared" si="22"/>
        <v>0</v>
      </c>
      <c r="AB152" t="s">
        <v>268</v>
      </c>
      <c r="AC152">
        <f>(SUM(I143:I149))</f>
        <v>0</v>
      </c>
    </row>
    <row r="153" spans="1:29" hidden="1" outlineLevel="2" x14ac:dyDescent="0.25">
      <c r="A153" s="69" t="s">
        <v>105</v>
      </c>
      <c r="B153" s="96"/>
      <c r="C153" s="96"/>
      <c r="D153" s="102"/>
      <c r="E153" s="103"/>
      <c r="F153" s="38"/>
      <c r="H153" s="69" t="s">
        <v>105</v>
      </c>
      <c r="I153" s="96"/>
      <c r="J153" s="96"/>
      <c r="K153" s="102"/>
      <c r="L153" s="103"/>
      <c r="M153" s="38"/>
      <c r="O153" s="264" t="str">
        <f>"H. Dim. "&amp;A150</f>
        <v>H. Dim. Ne pas saisir</v>
      </c>
      <c r="Q153" s="10" t="s">
        <v>498</v>
      </c>
      <c r="R153">
        <f>IF(F143=Q153,E143,0)+IF(F144=Q153,E144,0)+IF(F145=Q153,E145,0)+IF(Q153=F146,E146,0)+IF(F147=Q153,E147,0)+IF(F148=Q153,E148,0)</f>
        <v>0</v>
      </c>
      <c r="S153">
        <f>IF(M146=Q153,L146,0)+IF(M147=Q153,L147,0)+IF(M148=Q153,L148,0)+IF(Q153=M143,L143,0)+IF(M144=Q153,L144,0)+IF(M145=Q153,L145,0)</f>
        <v>0</v>
      </c>
      <c r="T153">
        <f>IF(F151=Q153,E151,0)+IF(F152=Q153,E152,0)+IF(F153=Q153,E153,0)+IF(Q153=F154,E154,0)+IF(F155=Q153,E155,0)+IF(F156=Q153,E156,0)</f>
        <v>0</v>
      </c>
      <c r="U153">
        <f>IF(M151=Q153,L151,0)+IF(M152=Q153,L152,0)+IF(M153=Q153,L153,0)+IF(Q153=M154,L154,0)+IF(M155=Q153,L155,0)+IF(M156=Q153,L156,0)</f>
        <v>0</v>
      </c>
      <c r="V153">
        <f>IF(F159=Q153,E159,0)+IF(F160=Q153,E160,0)+IF(F161=Q153,E161,0)+IF(Q153=F162,E162,0)+IF(F163=Q153,E163,0)+IF(F164=Q153,E164,0)</f>
        <v>0</v>
      </c>
      <c r="W153" s="63">
        <f t="shared" si="22"/>
        <v>0</v>
      </c>
      <c r="AB153" t="s">
        <v>269</v>
      </c>
      <c r="AC153">
        <f>(SUM(B151:B157))</f>
        <v>0</v>
      </c>
    </row>
    <row r="154" spans="1:29" ht="15.75" hidden="1" outlineLevel="2" thickBot="1" x14ac:dyDescent="0.3">
      <c r="A154" s="69" t="s">
        <v>106</v>
      </c>
      <c r="B154" s="96"/>
      <c r="C154" s="96"/>
      <c r="D154" s="102"/>
      <c r="E154" s="103"/>
      <c r="F154" s="38"/>
      <c r="H154" s="69" t="s">
        <v>106</v>
      </c>
      <c r="I154" s="96"/>
      <c r="J154" s="96"/>
      <c r="K154" s="102"/>
      <c r="L154" s="103"/>
      <c r="M154" s="38"/>
      <c r="O154" s="267"/>
      <c r="P154" s="72"/>
      <c r="Q154" s="73" t="s">
        <v>501</v>
      </c>
      <c r="R154" s="72">
        <f>IF(F144=Q154,E144,0)+IF(F145=Q154,E145,0)+IF(F146=Q154,E146,0)+IF(Q154=F147,E147,0)+IF(F148=Q154,E148,0)+IF(F143=Q154,E143,0)</f>
        <v>0</v>
      </c>
      <c r="S154" s="72">
        <f>IF(M146=Q154,L146,0)+IF(M147=Q154,L147,0)+IF(M148=Q154,L148,0)+IF(Q154=M143,L143,0)+IF(M144=Q154,L144,0)+IF(M145=Q154,L145,0)</f>
        <v>0</v>
      </c>
      <c r="T154" s="72">
        <f>IF(F151=Q154,E151,0)+IF(F152=Q154,E152,0)+IF(F153=Q154,E153,0)+IF(Q154=F154,E154,0)+IF(F155=Q154,E155,0)+IF(F156=Q154,E156,0)</f>
        <v>0</v>
      </c>
      <c r="U154" s="72">
        <f>IF(M151=Q154,L151,0)+IF(M152=Q154,L152,0)+IF(M153=Q154,L153,0)+IF(Q154=M154,L154,0)+IF(M155=Q154,L155,0)+IF(M156=Q154,L156,0)</f>
        <v>0</v>
      </c>
      <c r="V154" s="72">
        <f>IF(F159=Q154,E159,0)+IF(F160=Q154,E160,0)+IF(F161=Q154,E161,0)+IF(Q154=F162,E162,0)+IF(F163=Q154,E163,0)+IF(F164=Q154,E164,0)</f>
        <v>0</v>
      </c>
      <c r="W154" s="74">
        <f t="shared" si="22"/>
        <v>0</v>
      </c>
      <c r="AB154" t="s">
        <v>270</v>
      </c>
      <c r="AC154">
        <f>(SUM(I151:I157))</f>
        <v>0</v>
      </c>
    </row>
    <row r="155" spans="1:29" hidden="1" outlineLevel="2" x14ac:dyDescent="0.25">
      <c r="A155" s="69" t="s">
        <v>107</v>
      </c>
      <c r="B155" s="96"/>
      <c r="C155" s="96"/>
      <c r="D155" s="102"/>
      <c r="E155" s="103"/>
      <c r="F155" s="38"/>
      <c r="H155" s="69" t="s">
        <v>107</v>
      </c>
      <c r="I155" s="96"/>
      <c r="J155" s="96"/>
      <c r="K155" s="102"/>
      <c r="L155" s="103"/>
      <c r="M155" s="38"/>
      <c r="O155" s="264" t="str">
        <f>"H. Dim. "&amp;H150</f>
        <v>H. Dim. Ne pas saisir</v>
      </c>
      <c r="Q155" s="75" t="s">
        <v>169</v>
      </c>
      <c r="W155" s="76"/>
      <c r="AB155" t="s">
        <v>271</v>
      </c>
      <c r="AC155">
        <f>(SUM(B159:B165))</f>
        <v>0</v>
      </c>
    </row>
    <row r="156" spans="1:29" ht="15.75" hidden="1" outlineLevel="2" thickBot="1" x14ac:dyDescent="0.3">
      <c r="A156" s="69" t="s">
        <v>108</v>
      </c>
      <c r="B156" s="96"/>
      <c r="C156" s="96"/>
      <c r="D156" s="102"/>
      <c r="E156" s="103"/>
      <c r="F156" s="38"/>
      <c r="H156" s="69" t="s">
        <v>108</v>
      </c>
      <c r="I156" s="96"/>
      <c r="J156" s="96"/>
      <c r="K156" s="102"/>
      <c r="L156" s="103"/>
      <c r="M156" s="38"/>
      <c r="O156" s="267"/>
      <c r="Q156" s="75" t="s">
        <v>175</v>
      </c>
      <c r="W156" s="63">
        <f>SUM((IF(R156&gt;0,R156,0)+(IF(S156&gt;0,S156,0)+(IF(T156&gt;0,T156,0)+(IF(U156&gt;0,U156,0)+(IF(V156&gt;0,V156,0)))))))</f>
        <v>0</v>
      </c>
      <c r="AA156" t="s">
        <v>313</v>
      </c>
      <c r="AB156" t="s">
        <v>314</v>
      </c>
      <c r="AC156" t="e">
        <f>W160</f>
        <v>#N/A</v>
      </c>
    </row>
    <row r="157" spans="1:29" ht="15.75" hidden="1" outlineLevel="2" thickBot="1" x14ac:dyDescent="0.3">
      <c r="A157" s="70" t="s">
        <v>109</v>
      </c>
      <c r="B157" s="97"/>
      <c r="C157" s="97"/>
      <c r="D157" s="71"/>
      <c r="E157" s="104"/>
      <c r="F157" s="38"/>
      <c r="H157" s="70" t="s">
        <v>109</v>
      </c>
      <c r="I157" s="97"/>
      <c r="J157" s="97"/>
      <c r="K157" s="71"/>
      <c r="L157" s="104"/>
      <c r="M157" s="39"/>
      <c r="O157" s="264" t="str">
        <f>"H. Dim. "&amp;A158</f>
        <v>H. Dim. Ne pas saisir</v>
      </c>
      <c r="P157" t="s">
        <v>170</v>
      </c>
      <c r="Q157" s="10" t="s">
        <v>162</v>
      </c>
      <c r="R157">
        <f>IF(R156&gt;=R155,R155,R156)</f>
        <v>0</v>
      </c>
      <c r="S157">
        <f>IF(S156&gt;=S155,S155,S156)</f>
        <v>0</v>
      </c>
      <c r="T157">
        <f>IF(T156&gt;=T155,T155,T156)</f>
        <v>0</v>
      </c>
      <c r="U157">
        <f>IF(U156&gt;=U155,U155,U156)</f>
        <v>0</v>
      </c>
      <c r="V157">
        <f>IF(V156&gt;=V155,V155,V156)</f>
        <v>0</v>
      </c>
      <c r="W157" s="63">
        <f>SUM((IF(R157&gt;0,R157,0)+(IF(S157&gt;0,S157,0)+(IF(T157&gt;0,T157,0)+(IF(U157&gt;0,U157,0)+(IF(V157&gt;0,V157,0)))))))</f>
        <v>0</v>
      </c>
    </row>
    <row r="158" spans="1:29" ht="15.75" hidden="1" outlineLevel="2" thickBot="1" x14ac:dyDescent="0.3">
      <c r="A158" s="64" t="str">
        <f>A125</f>
        <v>Ne pas saisir</v>
      </c>
      <c r="B158" s="65" t="e">
        <f>B142</f>
        <v>#N/A</v>
      </c>
      <c r="C158" s="65" t="str">
        <f>C142</f>
        <v>Férié</v>
      </c>
      <c r="D158" s="66" t="e">
        <f>D142</f>
        <v>#N/A</v>
      </c>
      <c r="E158" s="66" t="e">
        <f>E142</f>
        <v>#N/A</v>
      </c>
      <c r="F158" s="67" t="str">
        <f>F142</f>
        <v>Type absence</v>
      </c>
      <c r="H158" s="77" t="s">
        <v>136</v>
      </c>
      <c r="I158" s="78" t="e">
        <f>B142</f>
        <v>#N/A</v>
      </c>
      <c r="J158" s="78" t="str">
        <f>C142</f>
        <v>Férié</v>
      </c>
      <c r="K158" s="79" t="e">
        <f>D142</f>
        <v>#N/A</v>
      </c>
      <c r="L158" s="80" t="e">
        <f>E142</f>
        <v>#N/A</v>
      </c>
      <c r="M158" s="49"/>
      <c r="O158" s="267"/>
      <c r="P158" t="s">
        <v>170</v>
      </c>
      <c r="Q158" s="10" t="s">
        <v>163</v>
      </c>
      <c r="R158">
        <f>R156-R157</f>
        <v>0</v>
      </c>
      <c r="S158">
        <f>S156-S157</f>
        <v>0</v>
      </c>
      <c r="T158">
        <f>T156-T157</f>
        <v>0</v>
      </c>
      <c r="U158">
        <f>U156-U157</f>
        <v>0</v>
      </c>
      <c r="V158">
        <f>V156-V157</f>
        <v>0</v>
      </c>
      <c r="W158" s="63">
        <f t="shared" ref="W158:W163" si="23">SUM(R158:V158)</f>
        <v>0</v>
      </c>
    </row>
    <row r="159" spans="1:29" hidden="1" outlineLevel="2" x14ac:dyDescent="0.25">
      <c r="A159" s="69" t="s">
        <v>103</v>
      </c>
      <c r="B159" s="95"/>
      <c r="C159" s="95"/>
      <c r="D159" s="106"/>
      <c r="E159" s="105"/>
      <c r="F159" s="101"/>
      <c r="H159" s="81" t="s">
        <v>103</v>
      </c>
      <c r="I159" s="82">
        <f t="shared" ref="I159:I164" si="24">B143+I143+B151+I151+B159</f>
        <v>0</v>
      </c>
      <c r="J159" s="82">
        <f t="shared" ref="J159:J164" si="25">C143+J143+C151+J151+C159</f>
        <v>0</v>
      </c>
      <c r="K159" s="83">
        <f t="shared" ref="K159:K164" si="26">D143+K143+D151+K151+D159</f>
        <v>0</v>
      </c>
      <c r="L159" s="84">
        <f t="shared" ref="L159:L164" si="27">E143+L143+E151+L151+E159</f>
        <v>0</v>
      </c>
      <c r="M159" s="303" t="s">
        <v>177</v>
      </c>
      <c r="N159" s="304"/>
      <c r="O159" s="304"/>
      <c r="Q159" s="10" t="s">
        <v>164</v>
      </c>
      <c r="R159" t="e">
        <f>IF(AND(K140="non",(SUM(B143:B149)&gt;U139)),SUM(B143:B149)-U139,0)</f>
        <v>#N/A</v>
      </c>
      <c r="S159" t="e">
        <f>IF(AND(K140="non",(SUM(I143:I149)&gt;U139)),SUM(I143:I149)-U139,0)</f>
        <v>#N/A</v>
      </c>
      <c r="T159" t="e">
        <f>IF(AND(K140="non",(SUM(B151:B157)&gt;U139)),SUM(B151:B157)-U139,0)</f>
        <v>#N/A</v>
      </c>
      <c r="U159" t="e">
        <f>IF(AND(K140="non",(SUM(I151:I157)&gt;U139)),SUM(I151:I157)-U139,0)</f>
        <v>#N/A</v>
      </c>
      <c r="V159" t="e">
        <f>IF(AND(K140="non",(SUM(B159:B165)&gt;U139)),SUM(B159:B165)-U139,0)</f>
        <v>#N/A</v>
      </c>
      <c r="W159" s="63" t="e">
        <f t="shared" si="23"/>
        <v>#N/A</v>
      </c>
    </row>
    <row r="160" spans="1:29" hidden="1" outlineLevel="2" x14ac:dyDescent="0.25">
      <c r="A160" s="69" t="s">
        <v>104</v>
      </c>
      <c r="B160" s="96"/>
      <c r="C160" s="96"/>
      <c r="D160" s="102"/>
      <c r="E160" s="103"/>
      <c r="F160" s="38"/>
      <c r="H160" s="81" t="s">
        <v>104</v>
      </c>
      <c r="I160" s="88">
        <f t="shared" si="24"/>
        <v>0</v>
      </c>
      <c r="J160" s="88">
        <f t="shared" si="25"/>
        <v>0</v>
      </c>
      <c r="K160" s="89">
        <f t="shared" si="26"/>
        <v>0</v>
      </c>
      <c r="L160" s="90">
        <f t="shared" si="27"/>
        <v>0</v>
      </c>
      <c r="M160" s="49"/>
      <c r="P160" t="s">
        <v>167</v>
      </c>
      <c r="Q160" s="10" t="s">
        <v>165</v>
      </c>
      <c r="R160" t="e">
        <f>IF(H141="Cadre",0,SUM(C143:C149))</f>
        <v>#N/A</v>
      </c>
      <c r="S160" t="e">
        <f>IF(H141="Cadre",0,SUM(J143:J149))</f>
        <v>#N/A</v>
      </c>
      <c r="T160" t="e">
        <f>IF(H141="Cadre",0,SUM(C151:C157))</f>
        <v>#N/A</v>
      </c>
      <c r="U160" t="e">
        <f>IF(H141="Cadre",0,SUM(J151:J157))</f>
        <v>#N/A</v>
      </c>
      <c r="V160" t="e">
        <f>IF(H141="Cadre",0,SUM(C159:C165))</f>
        <v>#N/A</v>
      </c>
      <c r="W160" s="63" t="e">
        <f t="shared" si="23"/>
        <v>#N/A</v>
      </c>
    </row>
    <row r="161" spans="1:29" hidden="1" outlineLevel="2" x14ac:dyDescent="0.25">
      <c r="A161" s="69" t="s">
        <v>105</v>
      </c>
      <c r="B161" s="96"/>
      <c r="C161" s="96"/>
      <c r="D161" s="102"/>
      <c r="E161" s="103"/>
      <c r="F161" s="38"/>
      <c r="H161" s="81" t="s">
        <v>105</v>
      </c>
      <c r="I161" s="88">
        <f t="shared" si="24"/>
        <v>0</v>
      </c>
      <c r="J161" s="88">
        <f t="shared" si="25"/>
        <v>0</v>
      </c>
      <c r="K161" s="89">
        <f t="shared" si="26"/>
        <v>0</v>
      </c>
      <c r="L161" s="90">
        <f t="shared" si="27"/>
        <v>0</v>
      </c>
      <c r="M161" s="49"/>
      <c r="P161" t="s">
        <v>168</v>
      </c>
      <c r="Q161" s="10" t="s">
        <v>165</v>
      </c>
      <c r="R161">
        <f>O140</f>
        <v>0</v>
      </c>
      <c r="S161">
        <f>O142</f>
        <v>0</v>
      </c>
      <c r="T161">
        <f>O144</f>
        <v>0</v>
      </c>
      <c r="U161">
        <f>O146</f>
        <v>0</v>
      </c>
      <c r="V161">
        <f>O148</f>
        <v>0</v>
      </c>
      <c r="W161" s="63">
        <f t="shared" si="23"/>
        <v>0</v>
      </c>
    </row>
    <row r="162" spans="1:29" hidden="1" outlineLevel="2" x14ac:dyDescent="0.25">
      <c r="A162" s="69" t="s">
        <v>106</v>
      </c>
      <c r="B162" s="96"/>
      <c r="C162" s="96"/>
      <c r="D162" s="102"/>
      <c r="E162" s="103"/>
      <c r="F162" s="38"/>
      <c r="H162" s="81" t="s">
        <v>106</v>
      </c>
      <c r="I162" s="88">
        <f t="shared" si="24"/>
        <v>0</v>
      </c>
      <c r="J162" s="88">
        <f t="shared" si="25"/>
        <v>0</v>
      </c>
      <c r="K162" s="89">
        <f t="shared" si="26"/>
        <v>0</v>
      </c>
      <c r="L162" s="90">
        <f t="shared" si="27"/>
        <v>0</v>
      </c>
      <c r="M162" s="49"/>
      <c r="P162" t="s">
        <v>166</v>
      </c>
      <c r="Q162" s="10" t="s">
        <v>159</v>
      </c>
      <c r="R162" t="e">
        <f>IF(H141="Employé",B149,0)</f>
        <v>#N/A</v>
      </c>
      <c r="S162" t="e">
        <f>IF(H141="Employé",I149,0)</f>
        <v>#N/A</v>
      </c>
      <c r="T162" t="e">
        <f>IF(H141="Employé",B157,0)</f>
        <v>#N/A</v>
      </c>
      <c r="U162" t="e">
        <f>IF(H141="Employé",I157,0)</f>
        <v>#N/A</v>
      </c>
      <c r="V162" t="e">
        <f>IF(H141="Employé",B165,0)</f>
        <v>#N/A</v>
      </c>
      <c r="W162" s="63" t="e">
        <f t="shared" si="23"/>
        <v>#N/A</v>
      </c>
    </row>
    <row r="163" spans="1:29" hidden="1" outlineLevel="2" x14ac:dyDescent="0.25">
      <c r="A163" s="69" t="s">
        <v>107</v>
      </c>
      <c r="B163" s="96"/>
      <c r="C163" s="96"/>
      <c r="D163" s="102"/>
      <c r="E163" s="103"/>
      <c r="F163" s="38"/>
      <c r="H163" s="81" t="s">
        <v>107</v>
      </c>
      <c r="I163" s="88">
        <f t="shared" si="24"/>
        <v>0</v>
      </c>
      <c r="J163" s="88">
        <f t="shared" si="25"/>
        <v>0</v>
      </c>
      <c r="K163" s="89">
        <f t="shared" si="26"/>
        <v>0</v>
      </c>
      <c r="L163" s="90">
        <f t="shared" si="27"/>
        <v>0</v>
      </c>
      <c r="M163" s="303" t="s">
        <v>178</v>
      </c>
      <c r="N163" s="304"/>
      <c r="O163" s="304"/>
      <c r="P163" t="s">
        <v>297</v>
      </c>
      <c r="Q163" s="10" t="s">
        <v>159</v>
      </c>
      <c r="R163">
        <f>O150</f>
        <v>0</v>
      </c>
      <c r="S163">
        <f>O152</f>
        <v>0</v>
      </c>
      <c r="T163">
        <f>O154</f>
        <v>0</v>
      </c>
      <c r="U163">
        <f>O156</f>
        <v>0</v>
      </c>
      <c r="V163">
        <f>O158</f>
        <v>0</v>
      </c>
      <c r="W163" s="63">
        <f t="shared" si="23"/>
        <v>0</v>
      </c>
    </row>
    <row r="164" spans="1:29" hidden="1" outlineLevel="2" x14ac:dyDescent="0.25">
      <c r="A164" s="69" t="s">
        <v>108</v>
      </c>
      <c r="B164" s="96"/>
      <c r="C164" s="96"/>
      <c r="D164" s="102"/>
      <c r="E164" s="103"/>
      <c r="F164" s="38"/>
      <c r="H164" s="81" t="s">
        <v>108</v>
      </c>
      <c r="I164" s="88">
        <f t="shared" si="24"/>
        <v>0</v>
      </c>
      <c r="J164" s="88">
        <f t="shared" si="25"/>
        <v>0</v>
      </c>
      <c r="K164" s="89">
        <f t="shared" si="26"/>
        <v>0</v>
      </c>
      <c r="L164" s="90">
        <f t="shared" si="27"/>
        <v>0</v>
      </c>
      <c r="M164" s="49"/>
      <c r="P164" t="s">
        <v>171</v>
      </c>
      <c r="Q164" s="10" t="s">
        <v>172</v>
      </c>
      <c r="R164" s="2"/>
      <c r="S164" s="2"/>
      <c r="T164" s="2"/>
      <c r="U164" s="2"/>
      <c r="V164" s="2"/>
      <c r="W164" s="91" t="e">
        <f>IF(AND(K140="non",H141="Employé"),SUM(I159:I165)+(SUM(W141:W154)-W137),(SUM(I159:I165)-W156)+(SUM(W141:W154)-W137))</f>
        <v>#N/A</v>
      </c>
    </row>
    <row r="165" spans="1:29" ht="15.75" hidden="1" outlineLevel="2" thickBot="1" x14ac:dyDescent="0.3">
      <c r="A165" s="70" t="s">
        <v>109</v>
      </c>
      <c r="B165" s="97"/>
      <c r="C165" s="97"/>
      <c r="D165" s="71"/>
      <c r="E165" s="104"/>
      <c r="F165" s="39"/>
      <c r="H165" s="92" t="s">
        <v>109</v>
      </c>
      <c r="I165" s="93">
        <f>(B149+I149+B157+I157+B165)</f>
        <v>0</v>
      </c>
      <c r="J165" s="93">
        <f>(C149+J149+C157+J157+C165)</f>
        <v>0</v>
      </c>
      <c r="K165" s="71">
        <f>(D149+K149+D157+K157+D165)</f>
        <v>0</v>
      </c>
      <c r="L165" s="94">
        <f>(E149+L149+E157+L157+E165)</f>
        <v>0</v>
      </c>
      <c r="M165" s="49"/>
      <c r="P165" t="s">
        <v>176</v>
      </c>
      <c r="Q165" s="10" t="s">
        <v>172</v>
      </c>
      <c r="R165" s="2"/>
      <c r="S165" s="2"/>
      <c r="T165" s="2"/>
      <c r="U165" s="2"/>
      <c r="V165" s="2"/>
      <c r="W165" s="91" t="e">
        <f>IF(H141="Cadre",((SUM(I159:I165)+SUM(W141:W154)-W143-W144)/2),0)</f>
        <v>#N/A</v>
      </c>
    </row>
    <row r="166" spans="1:29" ht="15" customHeight="1" collapsed="1" x14ac:dyDescent="0.25">
      <c r="D166" s="302" t="s">
        <v>298</v>
      </c>
      <c r="E166" s="302"/>
      <c r="F166" s="302"/>
      <c r="G166" s="302"/>
      <c r="H166" s="302"/>
      <c r="I166" s="302"/>
      <c r="J166" s="302"/>
      <c r="K166" s="302"/>
      <c r="L166" s="42" t="s">
        <v>282</v>
      </c>
      <c r="N166" s="43"/>
      <c r="O166" s="43" t="s">
        <v>179</v>
      </c>
      <c r="P166" s="15" t="s">
        <v>157</v>
      </c>
      <c r="AA166" s="15" t="s">
        <v>157</v>
      </c>
    </row>
    <row r="167" spans="1:29" hidden="1" outlineLevel="1" x14ac:dyDescent="0.25">
      <c r="D167" s="302"/>
      <c r="E167" s="302"/>
      <c r="F167" s="302"/>
      <c r="G167" s="302"/>
      <c r="H167" s="302"/>
      <c r="I167" s="302"/>
      <c r="J167" s="302"/>
      <c r="K167" s="302"/>
      <c r="N167" s="43"/>
      <c r="O167" s="43" t="s">
        <v>180</v>
      </c>
      <c r="AC167" t="s">
        <v>201</v>
      </c>
    </row>
    <row r="168" spans="1:29" hidden="1" outlineLevel="1" x14ac:dyDescent="0.25">
      <c r="D168" s="302"/>
      <c r="E168" s="302"/>
      <c r="F168" s="302"/>
      <c r="G168" s="302"/>
      <c r="H168" s="302"/>
      <c r="I168" s="302"/>
      <c r="J168" s="302"/>
      <c r="K168" s="302"/>
      <c r="N168" s="44"/>
      <c r="O168" s="44" t="s">
        <v>181</v>
      </c>
      <c r="AA168" s="15" t="s">
        <v>200</v>
      </c>
      <c r="AC168" s="2" t="str">
        <f>I170</f>
        <v>Juin</v>
      </c>
    </row>
    <row r="169" spans="1:29" hidden="1" outlineLevel="1" x14ac:dyDescent="0.25">
      <c r="A169" s="45" t="s">
        <v>3</v>
      </c>
      <c r="B169" s="46">
        <f>'Synthèse Horaires'!$B$4</f>
        <v>2026</v>
      </c>
      <c r="C169" s="47"/>
      <c r="D169" s="48" t="s">
        <v>1</v>
      </c>
      <c r="E169" s="46">
        <f>'Synthèse Horaires'!$D$4</f>
        <v>0</v>
      </c>
      <c r="F169" s="49"/>
      <c r="G169" s="49"/>
      <c r="H169" s="48" t="s">
        <v>2</v>
      </c>
      <c r="I169" s="47">
        <f>'Synthèse Horaires'!$I$4</f>
        <v>0</v>
      </c>
      <c r="J169" s="50"/>
      <c r="K169" s="50"/>
      <c r="N169" s="44"/>
      <c r="O169" s="44" t="s">
        <v>202</v>
      </c>
      <c r="V169" s="10" t="s">
        <v>174</v>
      </c>
      <c r="W169" s="51" t="e">
        <f>IF(K173="non",SUM(K192:K198)*(35/6),SUM(K192:K198)*(K173/6))</f>
        <v>#N/A</v>
      </c>
      <c r="AB169" t="s">
        <v>6</v>
      </c>
      <c r="AC169" s="14">
        <f>B173</f>
        <v>0</v>
      </c>
    </row>
    <row r="170" spans="1:29" hidden="1" outlineLevel="1" x14ac:dyDescent="0.25">
      <c r="A170" s="45" t="s">
        <v>10</v>
      </c>
      <c r="B170" s="49"/>
      <c r="C170" s="49"/>
      <c r="D170" s="50" t="str">
        <f>'Synthèse Horaires'!$C$6</f>
        <v>01 juin 2026 au 31 mai 2027.</v>
      </c>
      <c r="E170" s="2"/>
      <c r="H170" s="48" t="s">
        <v>205</v>
      </c>
      <c r="I170" s="47" t="str">
        <f>'Synthèse Horaires'!$I$5</f>
        <v>Juin</v>
      </c>
      <c r="N170" s="44"/>
      <c r="O170" s="44" t="s">
        <v>203</v>
      </c>
      <c r="V170" s="10" t="s">
        <v>173</v>
      </c>
      <c r="W170">
        <f>W176+W177</f>
        <v>0</v>
      </c>
      <c r="AB170" t="s">
        <v>57</v>
      </c>
      <c r="AC170" s="14" t="e">
        <f>B174</f>
        <v>#N/A</v>
      </c>
    </row>
    <row r="171" spans="1:29" hidden="1" outlineLevel="1" x14ac:dyDescent="0.25">
      <c r="AB171" t="s">
        <v>211</v>
      </c>
      <c r="AC171" s="14" t="e">
        <f>H174</f>
        <v>#N/A</v>
      </c>
    </row>
    <row r="172" spans="1:29" hidden="1" outlineLevel="1" x14ac:dyDescent="0.25">
      <c r="A172" s="4" t="s">
        <v>58</v>
      </c>
      <c r="B172" s="4"/>
      <c r="C172" s="4"/>
      <c r="D172" s="4"/>
      <c r="E172" s="4"/>
      <c r="F172" s="4"/>
      <c r="G172" s="4"/>
      <c r="H172" s="4"/>
      <c r="P172" s="53" t="s">
        <v>6</v>
      </c>
      <c r="Q172" s="2">
        <f>B173</f>
        <v>0</v>
      </c>
      <c r="T172" s="10" t="s">
        <v>76</v>
      </c>
      <c r="U172" s="2" t="e">
        <f>VLOOKUP(B173,'Base Matricule Siège'!$B$12:$H$1000,4,FALSE)</f>
        <v>#N/A</v>
      </c>
      <c r="AA172" t="s">
        <v>215</v>
      </c>
      <c r="AB172" t="s">
        <v>207</v>
      </c>
      <c r="AC172" s="14" t="e">
        <f>IF(AC171="Cadre",0,W197)</f>
        <v>#N/A</v>
      </c>
    </row>
    <row r="173" spans="1:29" hidden="1" outlineLevel="1" x14ac:dyDescent="0.25">
      <c r="A173" s="49" t="s">
        <v>18</v>
      </c>
      <c r="B173" s="113">
        <v>0</v>
      </c>
      <c r="E173" s="49"/>
      <c r="G173" s="57" t="s">
        <v>317</v>
      </c>
      <c r="H173" s="58" t="e">
        <f>VLOOKUP(B173,'Base Matricule Siège'!$B$13:$H$1000,7,FALSE)</f>
        <v>#N/A</v>
      </c>
      <c r="J173" s="10" t="s">
        <v>161</v>
      </c>
      <c r="K173" s="58" t="e">
        <f>IF((VLOOKUP('MASQUE COLLABORATEUR'!B173,'Base Matricule Siège'!$B$13:$E$1000,4,FALSE)&lt;'Base Matricule Siège'!$G$5),(VLOOKUP('MASQUE COLLABORATEUR'!B173,'Base Matricule Siège'!$B$13:$E$1000,4,FALSE)),"non")</f>
        <v>#N/A</v>
      </c>
      <c r="L173" s="114" t="s">
        <v>340</v>
      </c>
      <c r="M173" s="115" t="e">
        <f>IF(K173="non","0",VLOOKUP(B173,'Base Matricule Siège'!$B$13:$S$1000,18,FALSE))</f>
        <v>#N/A</v>
      </c>
      <c r="R173" t="s">
        <v>151</v>
      </c>
      <c r="S173" t="s">
        <v>152</v>
      </c>
      <c r="T173" t="s">
        <v>153</v>
      </c>
      <c r="U173" t="s">
        <v>154</v>
      </c>
      <c r="V173" t="s">
        <v>155</v>
      </c>
      <c r="W173" s="59" t="s">
        <v>156</v>
      </c>
      <c r="AB173" t="s">
        <v>11</v>
      </c>
      <c r="AC173" s="14" t="e">
        <f>W198</f>
        <v>#N/A</v>
      </c>
    </row>
    <row r="174" spans="1:29" ht="15.75" hidden="1" outlineLevel="1" thickBot="1" x14ac:dyDescent="0.3">
      <c r="A174" s="49" t="s">
        <v>59</v>
      </c>
      <c r="B174" s="2" t="e">
        <f>VLOOKUP(B173,'Base Matricule Siège'!$B$13:$C$1000,2,FALSE)</f>
        <v>#N/A</v>
      </c>
      <c r="C174" s="2"/>
      <c r="D174" s="2"/>
      <c r="G174" s="57" t="s">
        <v>158</v>
      </c>
      <c r="H174" s="58" t="e">
        <f>VLOOKUP(B173,'Base Matricule Siège'!$B$13:$G$1000,6,FALSE)</f>
        <v>#N/A</v>
      </c>
      <c r="P174" s="10" t="s">
        <v>142</v>
      </c>
      <c r="Q174" s="10" t="s">
        <v>149</v>
      </c>
      <c r="R174">
        <f>IF(F176=Q174,E176,0)+IF(F177=Q174,E177,0)+IF(F178=Q174,E178,0)+IF(Q174=F179,E179,0)+IF(F180=Q174,E180,0)+IF(F181=Q174,E181,0)</f>
        <v>0</v>
      </c>
      <c r="S174">
        <f>IF(M176=Q174,L176,0)+IF(M177=Q174,L177,0)+IF(M178=Q174,L178,0)+IF(Q174=M179,L179,0)+IF(M180=Q174,L180,0)+IF(M181=Q174,L181,0)</f>
        <v>0</v>
      </c>
      <c r="T174">
        <f>IF(F184=Q174,E184,0)+IF(F185=Q174,E185,0)+IF(F186=Q174,E186,0)+IF(Q174=F187,E187,0)+IF(F188=Q174,E188,0)+IF(F189=Q174,E189,0)</f>
        <v>0</v>
      </c>
      <c r="U174">
        <f>IF(M184=Q174,L184,0)+IF(M185=Q174,L185,0)+IF(M186=Q174,L186,0)+IF(Q174=M187,L187,0)+IF(M188=Q174,L188,0)+IF(M189=Q174,L189,0)</f>
        <v>0</v>
      </c>
      <c r="V174">
        <f>IF(F192=Q174,E192,0)+IF(F193=Q174,E193,0)+IF(F194=Q174,E194,0)+IF(Q174=F195,E195,0)+IF(F196=Q174,E196,0)+IF(F197=Q174,E197,0)</f>
        <v>0</v>
      </c>
      <c r="W174" s="63">
        <f>SUM(R174:V174)</f>
        <v>0</v>
      </c>
      <c r="AB174" t="s">
        <v>208</v>
      </c>
      <c r="AC174" s="14">
        <f>SUM(K192:K198)*2</f>
        <v>0</v>
      </c>
    </row>
    <row r="175" spans="1:29" ht="15.75" hidden="1" outlineLevel="1" thickBot="1" x14ac:dyDescent="0.3">
      <c r="A175" s="64" t="str">
        <f>A142</f>
        <v>Semaine 23</v>
      </c>
      <c r="B175" s="65" t="e">
        <f>IF(H174="Cadre","Demi J. Réalisées","H. Réalisées")</f>
        <v>#N/A</v>
      </c>
      <c r="C175" s="65" t="s">
        <v>141</v>
      </c>
      <c r="D175" s="66" t="e">
        <f>IF(H174="Cadre","CP en Demi J.","CP en jours")</f>
        <v>#N/A</v>
      </c>
      <c r="E175" s="66" t="e">
        <f>IF(H174="Cadre","Abs. En Demi J.","Absence en H.")</f>
        <v>#N/A</v>
      </c>
      <c r="F175" s="67" t="s">
        <v>110</v>
      </c>
      <c r="H175" s="64" t="str">
        <f>H142</f>
        <v>Semaine 24</v>
      </c>
      <c r="I175" s="65" t="e">
        <f>B175</f>
        <v>#N/A</v>
      </c>
      <c r="J175" s="65" t="str">
        <f>C175</f>
        <v>Férié</v>
      </c>
      <c r="K175" s="66" t="e">
        <f>D175</f>
        <v>#N/A</v>
      </c>
      <c r="L175" s="66" t="e">
        <f>E175</f>
        <v>#N/A</v>
      </c>
      <c r="M175" s="67" t="str">
        <f>F175</f>
        <v>Type absence</v>
      </c>
      <c r="Q175" s="10" t="s">
        <v>143</v>
      </c>
      <c r="R175">
        <f>IF(F176=Q175,E176,0)+IF(F177=Q175,E177,0)+IF(F178=Q175,E178,0)+IF(Q175=F179,E179,0)+IF(F181=Q175,E180,0)+IF(F180=Q175,E181,0)</f>
        <v>0</v>
      </c>
      <c r="S175">
        <f>IF(M177=Q175,L177,0)+IF(M178=Q175,L178,0)+IF(M179=Q175,L179,0)+IF(Q175=M180,L180,0)+IF(M181=Q175,L181,0)+IF(M176=Q175,L176,0)</f>
        <v>0</v>
      </c>
      <c r="T175">
        <f>IF(F184=Q175,E184,0)+IF(F185=Q175,E185,0)+IF(F186=Q175,E186,0)+IF(Q175=F187,E187,0)+IF(F188=Q175,E188,0)+IF(F189=Q175,E189,0)</f>
        <v>0</v>
      </c>
      <c r="U175">
        <f>IF(M184=Q175,L184,0)+IF(M185=Q175,L185,0)+IF(M186=Q175,L186,0)+IF(Q175=M187,L187,0)+IF(M188=Q175,L188,0)+IF(M189=Q175,L189,0)</f>
        <v>0</v>
      </c>
      <c r="V175">
        <f>IF(F192=Q175,E192,0)+IF(F193=Q175,E193,0)+IF(F194=Q175,E194,0)+IF(Q175=F195,E195,0)+IF(F196=Q175,E196,0)+IF(F197=Q175,E197,0)</f>
        <v>0</v>
      </c>
      <c r="W175" s="63">
        <f t="shared" ref="W175:W187" si="28">SUM(R175:V175)</f>
        <v>0</v>
      </c>
      <c r="AB175" t="s">
        <v>8</v>
      </c>
      <c r="AC175" s="14"/>
    </row>
    <row r="176" spans="1:29" hidden="1" outlineLevel="1" x14ac:dyDescent="0.25">
      <c r="A176" s="68" t="s">
        <v>103</v>
      </c>
      <c r="B176" s="98"/>
      <c r="C176" s="98"/>
      <c r="D176" s="99"/>
      <c r="E176" s="100"/>
      <c r="F176" s="101"/>
      <c r="H176" s="69" t="s">
        <v>103</v>
      </c>
      <c r="I176" s="95"/>
      <c r="J176" s="95"/>
      <c r="K176" s="106"/>
      <c r="L176" s="105"/>
      <c r="M176" s="101"/>
      <c r="Q176" s="10" t="s">
        <v>144</v>
      </c>
      <c r="R176">
        <f>IF(F178=Q176,E178,0)+IF(F179=Q176,E179,0)+IF(F180=Q176,E180,0)+IF(Q176=F181,E181,0)+IF(F176=Q176,E176,0)+IF(F177=Q176,E177,0)</f>
        <v>0</v>
      </c>
      <c r="S176">
        <f>IF(M178=Q176,L178,0)+IF(M179=Q176,L179,0)+IF(M180=Q176,L180,0)+IF(Q176=M181,L181,0)+IF(M176=Q176,L176,0)+IF(M177=Q176,L177,0)</f>
        <v>0</v>
      </c>
      <c r="T176">
        <f>IF(F184=Q176,E184,0)+IF(F185=Q176,E185,0)+IF(F186=Q176,E186,0)+IF(Q176=F187,E187,0)+IF(F188=Q176,E188,0)+IF(F189=Q176,E189,0)</f>
        <v>0</v>
      </c>
      <c r="U176">
        <f>IF(M184=Q176,L184,0)+IF(M185=Q176,L185,0)+IF(M186=Q176,L186,0)+IF(Q176=M187,L187,0)+IF(M188=Q176,L188,0)+IF(M189=Q176,L189,0)</f>
        <v>0</v>
      </c>
      <c r="V176">
        <f>IF(F192=Q176,E192,0)+IF(F193=Q176,E193,0)+IF(F194=Q176,E194,0)+IF(Q176=F195,E195,0)+IF(F196=Q176,E196,0)+IF(F197=Q176,E197,0)</f>
        <v>0</v>
      </c>
      <c r="W176" s="63">
        <f t="shared" si="28"/>
        <v>0</v>
      </c>
      <c r="AB176" t="s">
        <v>209</v>
      </c>
      <c r="AC176" s="14">
        <f>W176</f>
        <v>0</v>
      </c>
    </row>
    <row r="177" spans="1:29" hidden="1" outlineLevel="1" x14ac:dyDescent="0.25">
      <c r="A177" s="69" t="s">
        <v>104</v>
      </c>
      <c r="B177" s="96"/>
      <c r="C177" s="96"/>
      <c r="D177" s="102"/>
      <c r="E177" s="103"/>
      <c r="F177" s="38"/>
      <c r="H177" s="69" t="s">
        <v>104</v>
      </c>
      <c r="I177" s="96"/>
      <c r="J177" s="96"/>
      <c r="K177" s="102"/>
      <c r="L177" s="103"/>
      <c r="M177" s="38"/>
      <c r="Q177" s="10" t="s">
        <v>145</v>
      </c>
      <c r="R177">
        <f>IF(F179=Q177,E179,0)+IF(F180=Q177,E180,0)+IF(F181=Q177,E181,0)+IF(Q177=F176,E176,0)+IF(F177=Q177,E177,0)+IF(F178=Q177,E178,0)</f>
        <v>0</v>
      </c>
      <c r="S177">
        <f>IF(M179=Q177,L179,0)+IF(M180=Q177,L180,0)+IF(M181=Q177,L181,0)+IF(Q177=M176,L176,0)+IF(M177=Q177,L177,0)+IF(M178=Q177,L178,0)</f>
        <v>0</v>
      </c>
      <c r="T177">
        <f>IF(F184=Q177,$E184,0)+IF(F185=Q177,E185,0)+IF(F186=Q177,E186,0)+IF(Q177=F187,E187,0)+IF(F188=Q177,E188,0)+IF(F189=Q177,E189,0)</f>
        <v>0</v>
      </c>
      <c r="U177">
        <f>IF(M184=Q177,L184,0)+IF(M185=Q177,L185,0)+IF(M186=Q177,L186,0)+IF(Q177=M187,L187,0)+IF(M188=Q177,L188,0)+IF(M189=Q177,L189,0)</f>
        <v>0</v>
      </c>
      <c r="V177">
        <f>IF(F192=Q177,E192,0)+IF(F193=Q177,E193,0)+IF(F194=Q177,E194,0)+IF(Q177=F195,E195,0)+IF(F196=Q177,E196,0)+IF(F197=Q177,E197,0)</f>
        <v>0</v>
      </c>
      <c r="W177" s="63">
        <f t="shared" si="28"/>
        <v>0</v>
      </c>
      <c r="AB177" t="s">
        <v>210</v>
      </c>
      <c r="AC177" s="14">
        <f>SUM(W174:W187)-W176</f>
        <v>0</v>
      </c>
    </row>
    <row r="178" spans="1:29" hidden="1" outlineLevel="1" x14ac:dyDescent="0.25">
      <c r="A178" s="69" t="s">
        <v>105</v>
      </c>
      <c r="B178" s="96"/>
      <c r="C178" s="96"/>
      <c r="D178" s="102"/>
      <c r="E178" s="103"/>
      <c r="F178" s="38"/>
      <c r="H178" s="69" t="s">
        <v>105</v>
      </c>
      <c r="I178" s="96"/>
      <c r="J178" s="96"/>
      <c r="K178" s="102"/>
      <c r="L178" s="103"/>
      <c r="M178" s="38"/>
      <c r="Q178" s="10" t="s">
        <v>212</v>
      </c>
      <c r="R178">
        <f>IF(F180=Q178,E180,0)+IF(F181=Q178,E181,0)+IF(F176=Q178,E176,0)+IF(Q178=F177,E177,0)+IF(F178=Q178,E178,0)+IF(F179=Q178,E179,0)</f>
        <v>0</v>
      </c>
      <c r="S178">
        <f>IF(M179=Q178,L179,0)+IF(M180=Q178,L180,0)+IF(M181=Q178,L181,0)+IF(Q178=M176,L176,0)+IF(M177=Q178,L177,0)+IF(M178=Q178,L178,0)</f>
        <v>0</v>
      </c>
      <c r="T178">
        <f>IF(F184=Q178,E184,0)+IF(F185=Q178,E185,0)+IF(F186=Q178,E186,0)+IF(Q178=F187,E187,0)+IF(F188=Q178,E188,0)+IF(F189=Q178,E189,0)</f>
        <v>0</v>
      </c>
      <c r="U178">
        <f>IF(M184=Q178,L184,0)+IF(M185=Q178,L185,0)+IF(M186=Q178,L186,0)+IF(Q178=M187,L187,0)+IF(M188=Q178,L188,0)+IF(M189=Q178,L189,0)</f>
        <v>0</v>
      </c>
      <c r="V178">
        <f>IF(F192=Q178,E192,0)+IF(F193=Q178,E193,0)+IF(F194=Q178,E194,0)+IF(Q178=F195,E195,0)+IF(F196=Q178,E196,0)+IF(F197=Q178,E197,0)</f>
        <v>0</v>
      </c>
      <c r="W178" s="63">
        <f t="shared" si="28"/>
        <v>0</v>
      </c>
      <c r="AA178" t="s">
        <v>214</v>
      </c>
      <c r="AB178" t="s">
        <v>213</v>
      </c>
      <c r="AC178" s="14" t="e">
        <f>IF(AC171="Cadre",(W178/2),(W178/7))</f>
        <v>#N/A</v>
      </c>
    </row>
    <row r="179" spans="1:29" hidden="1" outlineLevel="1" x14ac:dyDescent="0.25">
      <c r="A179" s="69" t="s">
        <v>106</v>
      </c>
      <c r="B179" s="96"/>
      <c r="C179" s="96"/>
      <c r="D179" s="102"/>
      <c r="E179" s="103"/>
      <c r="F179" s="38"/>
      <c r="H179" s="69" t="s">
        <v>106</v>
      </c>
      <c r="I179" s="96"/>
      <c r="J179" s="96"/>
      <c r="K179" s="102"/>
      <c r="L179" s="103"/>
      <c r="M179" s="38"/>
      <c r="Q179" s="10" t="s">
        <v>146</v>
      </c>
      <c r="R179">
        <f>IF(F181=Q179,E181,0)+IF(F176=Q179,E176,0)+IF(F177=Q179,E177,0)+IF(Q179=F178,E178,0)+IF(F179=Q179,E179,0)+IF(F180=Q179,E180,0)</f>
        <v>0</v>
      </c>
      <c r="S179">
        <f>IF(M179=Q179,L179,0)+IF(M180=Q179,L180,0)+IF(M181=Q179,L181,0)+IF(Q179=M176,$L$11,0)+IF(M177=Q179,L177,0)+IF(M178=Q179,L178,0)</f>
        <v>0</v>
      </c>
      <c r="T179">
        <f>IF(F184=Q179,E184,0)+IF(F185=Q179,E185,0)+IF(F186=Q179,E186,0)+IF(Q179=F187,E187,0)+IF(F188=Q179,E188,0)+IF(F189=Q179,E189,0)</f>
        <v>0</v>
      </c>
      <c r="U179">
        <f>IF(M184=Q179,L184,0)+IF(M185=Q179,L185,0)+IF(M186=Q179,L186,0)+IF(Q179=M187,L187,0)+IF(M188=Q179,L188,0)+IF(M189=Q179,L189,0)</f>
        <v>0</v>
      </c>
      <c r="V179">
        <f>IF(F192=Q179,E192,0)+IF(F193=Q179,E193,0)+IF(F194=Q179,E194,0)+IF(Q179=F195,E195,0)+IF(F196=Q179,E196,0)+IF(F197=Q179,E197,0)</f>
        <v>0</v>
      </c>
      <c r="W179" s="63">
        <f t="shared" si="28"/>
        <v>0</v>
      </c>
      <c r="AA179" t="s">
        <v>216</v>
      </c>
      <c r="AB179" t="s">
        <v>217</v>
      </c>
      <c r="AC179" s="14" t="e">
        <f>W191+W192</f>
        <v>#N/A</v>
      </c>
    </row>
    <row r="180" spans="1:29" hidden="1" outlineLevel="1" x14ac:dyDescent="0.25">
      <c r="A180" s="69" t="s">
        <v>107</v>
      </c>
      <c r="B180" s="96"/>
      <c r="C180" s="96"/>
      <c r="D180" s="102"/>
      <c r="E180" s="103"/>
      <c r="F180" s="38"/>
      <c r="H180" s="69" t="s">
        <v>107</v>
      </c>
      <c r="I180" s="96"/>
      <c r="J180" s="96"/>
      <c r="K180" s="102"/>
      <c r="L180" s="103"/>
      <c r="M180" s="38"/>
      <c r="Q180" s="10" t="s">
        <v>499</v>
      </c>
      <c r="R180">
        <f>IF(F176=Q180,E176,0)+IF(F177=Q180,E177,0)+IF(F178=Q180,E178,0)+IF(Q180=F179,E179,0)+IF(F180=Q180,E180,0)+IF(F181=Q180,E181,0)</f>
        <v>0</v>
      </c>
      <c r="S180">
        <f>IF(M179=Q180,L179,0)+IF(M180=Q180,L180,0)+IF(M181=Q180,L181,0)+IF(Q180=M176,L176,0)+IF(M177=Q180,L177,0)+IF(M178=Q180,L178,0)</f>
        <v>0</v>
      </c>
      <c r="T180">
        <f>IF(F184=Q180,E184,0)+IF(F185=Q180,E185,0)+IF(F186=Q180,E186,0)+IF(Q180=F187,E187,0)+IF(F188=Q180,E188,0)+IF(F189=Q180,E189,0)</f>
        <v>0</v>
      </c>
      <c r="U180">
        <f>IF(M184=Q180,L184,0)+IF(M185=Q180,L185,0)+IF(M186=Q180,L186,0)+IF(Q180=M187,L187,0)+IF(M188=Q180,L188,0)+IF(M189=Q180,L189,0)</f>
        <v>0</v>
      </c>
      <c r="V180">
        <f>IF(F192=Q180,E192,0)+IF(F193=Q180,E193,0)+IF(F194=Q180,E194,0)+IF(Q180=F195,E195,0)+IF(F196=Q180,E196,0)+IF(F197=Q180,E197,0)</f>
        <v>0</v>
      </c>
      <c r="W180" s="63">
        <f t="shared" si="28"/>
        <v>0</v>
      </c>
      <c r="AA180" t="s">
        <v>218</v>
      </c>
      <c r="AB180" t="s">
        <v>219</v>
      </c>
      <c r="AC180" s="14" t="e">
        <f>W190</f>
        <v>#N/A</v>
      </c>
    </row>
    <row r="181" spans="1:29" hidden="1" outlineLevel="1" x14ac:dyDescent="0.25">
      <c r="A181" s="69" t="s">
        <v>108</v>
      </c>
      <c r="B181" s="96"/>
      <c r="C181" s="96"/>
      <c r="D181" s="102"/>
      <c r="E181" s="103"/>
      <c r="F181" s="38"/>
      <c r="H181" s="69" t="s">
        <v>108</v>
      </c>
      <c r="I181" s="96"/>
      <c r="J181" s="96"/>
      <c r="K181" s="102"/>
      <c r="L181" s="103"/>
      <c r="M181" s="38"/>
      <c r="Q181" s="10" t="s">
        <v>147</v>
      </c>
      <c r="R181">
        <f>IF(F177=Q181,E177,0)+IF(F178=Q181,E178,0)+IF(F179=Q181,E179,0)+IF(Q181=F180,E180,0)+IF(F181=Q181,E181,0)+IF(F176=Q181,E176,0)</f>
        <v>0</v>
      </c>
      <c r="S181">
        <f>IF(M179=Q181,L179,0)+IF(M180=Q181,L180,0)+IF(M181=Q181,L181,0)+IF(Q181=M176,L176,0)+IF(M177=Q181,L177,0)+IF(M178=Q181,L178,0)</f>
        <v>0</v>
      </c>
      <c r="T181">
        <f>IF(F184=Q181,E184,0)+IF(F185=Q181,E185,0)+IF(F186=Q181,E186,0)+IF(Q181=F187,E187,0)+IF(F188=Q181,E188,0)+IF(F189=Q181,E189,0)</f>
        <v>0</v>
      </c>
      <c r="U181">
        <f>IF(M184=Q181,L184,0)+IF(M185=Q181,L185,0)+IF(M186=Q181,L186,0)+IF(Q181=M187,L187,0)+IF(M188=Q181,L188,0)+IF(M189=Q181,L189,0)</f>
        <v>0</v>
      </c>
      <c r="V181">
        <f>IF(F192=Q181,E192,0)+IF(F193=Q181,E193,0)+IF(F194=Q181,E194,0)+IF(Q181=F195,E195,0)+IF(F196=Q181,E196,0)+IF(F197=Q181,E197,0)</f>
        <v>0</v>
      </c>
      <c r="W181" s="63">
        <f t="shared" si="28"/>
        <v>0</v>
      </c>
      <c r="AA181" t="s">
        <v>166</v>
      </c>
      <c r="AB181" t="s">
        <v>220</v>
      </c>
      <c r="AC181" s="14" t="e">
        <f>W195</f>
        <v>#N/A</v>
      </c>
    </row>
    <row r="182" spans="1:29" ht="15.75" hidden="1" outlineLevel="1" thickBot="1" x14ac:dyDescent="0.3">
      <c r="A182" s="70" t="s">
        <v>109</v>
      </c>
      <c r="B182" s="97"/>
      <c r="C182" s="97"/>
      <c r="D182" s="71"/>
      <c r="E182" s="104"/>
      <c r="F182" s="38"/>
      <c r="H182" s="70" t="s">
        <v>109</v>
      </c>
      <c r="I182" s="97"/>
      <c r="J182" s="97"/>
      <c r="K182" s="71"/>
      <c r="L182" s="104"/>
      <c r="M182" s="38"/>
      <c r="Q182" s="10" t="s">
        <v>500</v>
      </c>
      <c r="R182">
        <f>IF(F178=Q182,E178,0)+IF(F179=Q182,E179,0)+IF(F180=Q182,E180,0)+IF(Q182=F181,E181,0)+IF(F176=Q182,E176,0)+IF(F177=Q182,E177,0)</f>
        <v>0</v>
      </c>
      <c r="S182">
        <f>IF(M179=Q182,L179,0)+IF(M180=Q182,L180,0)+IF(M181=Q182,L181,0)+IF(Q182=M176,L176,0)+IF(M177=Q182,L177,0)+IF(M178=Q182,L178,0)</f>
        <v>0</v>
      </c>
      <c r="T182">
        <f>IF(F184=Q182,E184,0)+IF(F185=Q182,E185,0)+IF(F186=Q182,E186,0)+IF(Q182=F187,E187,0)+IF(F188=Q182,E188,0)+IF(F189=Q182,E189,0)</f>
        <v>0</v>
      </c>
      <c r="U182">
        <f>IF(M184=Q182,L184,0)+IF(M185=Q182,L185,0)+IF(M186=Q182,L186,0)+IF(Q182=M187,L187,0)+IF(M188=Q182,L188,0)+IF(M189=Q182,L189,0)</f>
        <v>0</v>
      </c>
      <c r="V182">
        <f>IF(F192=Q182,E192,0)+IF(F193=Q182,E193,0)+IF(F194=Q182,E194,0)+IF(Q182=F195,E195,0)+IF(F196=Q182,E196,0)+IF(F197=Q182,E197,0)</f>
        <v>0</v>
      </c>
      <c r="W182" s="63">
        <f t="shared" si="28"/>
        <v>0</v>
      </c>
      <c r="AA182" t="s">
        <v>222</v>
      </c>
      <c r="AB182" t="s">
        <v>220</v>
      </c>
      <c r="AC182" s="14" t="e">
        <f>W196</f>
        <v>#N/A</v>
      </c>
    </row>
    <row r="183" spans="1:29" ht="15.75" hidden="1" outlineLevel="1" thickBot="1" x14ac:dyDescent="0.3">
      <c r="A183" s="64" t="str">
        <f>A150</f>
        <v>Ne pas saisir</v>
      </c>
      <c r="B183" s="65" t="e">
        <f>B175</f>
        <v>#N/A</v>
      </c>
      <c r="C183" s="65" t="str">
        <f>C175</f>
        <v>Férié</v>
      </c>
      <c r="D183" s="66" t="e">
        <f>D175</f>
        <v>#N/A</v>
      </c>
      <c r="E183" s="66" t="e">
        <f>E175</f>
        <v>#N/A</v>
      </c>
      <c r="F183" s="67" t="str">
        <f>F175</f>
        <v>Type absence</v>
      </c>
      <c r="H183" s="64" t="str">
        <f>H150</f>
        <v>Ne pas saisir</v>
      </c>
      <c r="I183" s="65" t="e">
        <f>B175</f>
        <v>#N/A</v>
      </c>
      <c r="J183" s="65" t="str">
        <f>C175</f>
        <v>Férié</v>
      </c>
      <c r="K183" s="66" t="e">
        <f>D175</f>
        <v>#N/A</v>
      </c>
      <c r="L183" s="66" t="e">
        <f>E175</f>
        <v>#N/A</v>
      </c>
      <c r="M183" s="67" t="str">
        <f>F175</f>
        <v>Type absence</v>
      </c>
      <c r="Q183" s="10" t="s">
        <v>148</v>
      </c>
      <c r="R183">
        <f>IF(F179=Q183,E179,0)+IF(F180=Q183,E180,0)+IF(F181=Q183,E181,0)+IF(Q183=F176,E176,0)+IF(F177=Q183,E177,0)+IF(F178=Q183,E178,0)</f>
        <v>0</v>
      </c>
      <c r="S183">
        <f>IF(M179=Q183,L179,0)+IF(M180=Q183,L180,0)+IF(M181=Q183,L181,0)+IF(Q183=M176,L176,0)+IF(M177=Q183,L177,0)+IF(M178=Q183,L178,0)</f>
        <v>0</v>
      </c>
      <c r="T183">
        <f>IF(F184=Q183,E184,0)+IF(F185=Q183,E185,0)+IF(F186=Q183,E186,0)+IF(Q183=F187,E187,0)+IF(F188=Q183,E188,0)+IF(F189=Q183,E189,0)</f>
        <v>0</v>
      </c>
      <c r="U183">
        <f>IF(M184=Q183,L184,0)+IF(M185=Q183,L185,0)+IF(M186=Q183,L186,0)+IF(Q183=M187,L187,0)+IF(M188=Q183,L188,0)+IF(M189=Q183,L189,0)</f>
        <v>0</v>
      </c>
      <c r="V183">
        <f>IF(F192=Q183,E192,0)+IF(F193=Q183,E193,0)+IF(F194=Q183,E194,0)+IF(Q183=F195,E195,0)+IF(F196=Q183,E196,0)+IF(F197=Q183,E197,0)</f>
        <v>0</v>
      </c>
      <c r="W183" s="63">
        <f t="shared" si="28"/>
        <v>0</v>
      </c>
      <c r="AA183" t="s">
        <v>223</v>
      </c>
      <c r="AB183" t="s">
        <v>224</v>
      </c>
      <c r="AC183" s="14" t="e">
        <f>W194</f>
        <v>#N/A</v>
      </c>
    </row>
    <row r="184" spans="1:29" hidden="1" outlineLevel="1" x14ac:dyDescent="0.25">
      <c r="A184" s="69" t="s">
        <v>103</v>
      </c>
      <c r="B184" s="95"/>
      <c r="C184" s="95"/>
      <c r="D184" s="106"/>
      <c r="E184" s="105"/>
      <c r="F184" s="101"/>
      <c r="H184" s="69" t="s">
        <v>103</v>
      </c>
      <c r="I184" s="95"/>
      <c r="J184" s="95"/>
      <c r="K184" s="106"/>
      <c r="L184" s="105"/>
      <c r="M184" s="101"/>
      <c r="Q184" s="10" t="s">
        <v>150</v>
      </c>
      <c r="R184">
        <f>IF(F180=Q184,E180,0)+IF(F181=Q184,E181,0)+IF(F176=Q184,E176,0)+IF(Q184=F177,E177,0)+IF(F178=Q184,E178,0)+IF(F179=Q184,E179,0)</f>
        <v>0</v>
      </c>
      <c r="S184">
        <f>IF(M179=Q184,L179,0)+IF(M180=Q184,L180,0)+IF(M181=Q184,L181,0)+IF(Q184=M176,L176,0)+IF(M177=Q184,L177,0)+IF(M178=Q184,L178,0)</f>
        <v>0</v>
      </c>
      <c r="T184">
        <f>IF(F184=Q184,E184,0)+IF(F185=Q184,E185,0)+IF(F186=Q184,E186,0)+IF(Q184=F187,E187,0)+IF(F188=Q184,E188,0)+IF(F189=Q184,E189,0)</f>
        <v>0</v>
      </c>
      <c r="U184">
        <f>IF(M184=Q184,L184,0)+IF(M185=Q184,L185,0)+IF(M186=Q184,L186,0)+IF(Q184=M187,L187,0)+IF(M188=Q184,L188,0)+IF(M189=Q184,L189,0)</f>
        <v>0</v>
      </c>
      <c r="V184">
        <f>IF(F192=Q184,E192,0)+IF(F193=Q184,E193,0)+IF(F194=Q184,E194,0)+IF(Q184=F195,E195,0)+IF(F196=Q184,E196,0)+IF(F197=Q184,E197,0)</f>
        <v>0</v>
      </c>
      <c r="W184" s="63">
        <f t="shared" si="28"/>
        <v>0</v>
      </c>
      <c r="AB184" t="s">
        <v>267</v>
      </c>
      <c r="AC184">
        <f>(SUM(B176:B182))</f>
        <v>0</v>
      </c>
    </row>
    <row r="185" spans="1:29" hidden="1" outlineLevel="1" x14ac:dyDescent="0.25">
      <c r="A185" s="69" t="s">
        <v>104</v>
      </c>
      <c r="B185" s="96"/>
      <c r="C185" s="96"/>
      <c r="D185" s="102"/>
      <c r="E185" s="103"/>
      <c r="F185" s="38"/>
      <c r="H185" s="69" t="s">
        <v>104</v>
      </c>
      <c r="I185" s="96"/>
      <c r="J185" s="96"/>
      <c r="K185" s="102"/>
      <c r="L185" s="103"/>
      <c r="M185" s="38"/>
      <c r="Q185" s="10" t="s">
        <v>502</v>
      </c>
      <c r="R185">
        <f>IF(F181=Q185,E181,0)+IF(F176=Q185,E176,0)+IF(F177=Q185,E177,0)+IF(Q185=F178,E178,0)+IF(F179=Q185,E179,0)+IF(F180=Q185,E180,0)</f>
        <v>0</v>
      </c>
      <c r="S185">
        <f>IF(M179=Q185,L179,0)+IF(M180=Q185,L180,0)+IF(M181=Q185,L181,0)+IF(Q185=M176,L176,0)+IF(M177=Q185,L177,0)+IF(M178=Q185,L178,0)</f>
        <v>0</v>
      </c>
      <c r="T185">
        <f>IF(F184=Q185,E184,0)+IF(F185=Q185,E185,0)+IF(F186=Q185,E186,0)+IF(Q185=F187,E187,0)+IF(F188=Q185,E188,0)+IF(F189=Q185,E189,0)</f>
        <v>0</v>
      </c>
      <c r="U185">
        <f>IF(M184=Q185,L184,0)+IF(M185=Q185,L185,0)+IF(M186=Q185,L186,0)+IF(Q185=M187,L187,0)+IF(M188=Q185,L188,0)+IF(M189=Q185,L189,0)</f>
        <v>0</v>
      </c>
      <c r="V185">
        <f>IF(F192=Q185,E192,0)+IF(F193=Q185,E193,0)+IF(F194=Q185,E194,0)+IF(Q185=F195,E195,0)+IF(F196=Q185,E196,0)+IF(F197=Q185,E197,0)</f>
        <v>0</v>
      </c>
      <c r="W185" s="63">
        <f t="shared" si="28"/>
        <v>0</v>
      </c>
      <c r="AB185" t="s">
        <v>268</v>
      </c>
      <c r="AC185">
        <f>(SUM(I176:I182))</f>
        <v>0</v>
      </c>
    </row>
    <row r="186" spans="1:29" hidden="1" outlineLevel="1" x14ac:dyDescent="0.25">
      <c r="A186" s="69" t="s">
        <v>105</v>
      </c>
      <c r="B186" s="96"/>
      <c r="C186" s="96"/>
      <c r="D186" s="102"/>
      <c r="E186" s="103"/>
      <c r="F186" s="38"/>
      <c r="H186" s="69" t="s">
        <v>105</v>
      </c>
      <c r="I186" s="96"/>
      <c r="J186" s="96"/>
      <c r="K186" s="102"/>
      <c r="L186" s="103"/>
      <c r="M186" s="38"/>
      <c r="Q186" s="10" t="s">
        <v>498</v>
      </c>
      <c r="R186">
        <f>IF(F176=Q186,E176,0)+IF(F177=Q186,E177,0)+IF(F178=Q186,E178,0)+IF(Q186=F179,E179,0)+IF(F180=Q186,E180,0)+IF(F181=Q186,E181,0)</f>
        <v>0</v>
      </c>
      <c r="S186">
        <f>IF(M179=Q186,L179,0)+IF(M180=Q186,L180,0)+IF(M181=Q186,L181,0)+IF(Q186=M176,L176,0)+IF(M177=Q186,L177,0)+IF(M178=Q186,L178,0)</f>
        <v>0</v>
      </c>
      <c r="T186">
        <f>IF(F184=Q186,E184,0)+IF(F185=Q186,E185,0)+IF(F186=Q186,E186,0)+IF(Q186=F187,E187,0)+IF(F188=Q186,E188,0)+IF(F189=Q186,E189,0)</f>
        <v>0</v>
      </c>
      <c r="U186">
        <f>IF(M184=Q186,L184,0)+IF(M185=Q186,L185,0)+IF(M186=Q186,L186,0)+IF(Q186=M187,L187,0)+IF(M188=Q186,L188,0)+IF(M189=Q186,L189,0)</f>
        <v>0</v>
      </c>
      <c r="V186">
        <f>IF(F192=Q186,E192,0)+IF(F193=Q186,E193,0)+IF(F194=Q186,E194,0)+IF(Q186=F195,E195,0)+IF(F196=Q186,E196,0)+IF(F197=Q186,E197,0)</f>
        <v>0</v>
      </c>
      <c r="W186" s="63">
        <f t="shared" si="28"/>
        <v>0</v>
      </c>
      <c r="AB186" t="s">
        <v>269</v>
      </c>
      <c r="AC186">
        <f>(SUM(B184:B190))</f>
        <v>0</v>
      </c>
    </row>
    <row r="187" spans="1:29" hidden="1" outlineLevel="1" x14ac:dyDescent="0.25">
      <c r="A187" s="69" t="s">
        <v>106</v>
      </c>
      <c r="B187" s="96"/>
      <c r="C187" s="96"/>
      <c r="D187" s="102"/>
      <c r="E187" s="103"/>
      <c r="F187" s="38"/>
      <c r="H187" s="69" t="s">
        <v>106</v>
      </c>
      <c r="I187" s="96"/>
      <c r="J187" s="96"/>
      <c r="K187" s="102"/>
      <c r="L187" s="103"/>
      <c r="M187" s="38"/>
      <c r="P187" s="72"/>
      <c r="Q187" s="73" t="s">
        <v>501</v>
      </c>
      <c r="R187" s="72">
        <f>IF(F177=Q187,E177,0)+IF(F178=Q187,E178,0)+IF(F179=Q187,E179,0)+IF(Q187=F180,E180,0)+IF(F181=Q187,E181,0)+IF(F176=Q187,E176,0)</f>
        <v>0</v>
      </c>
      <c r="S187" s="72">
        <f>IF(M179=Q187,L179,0)+IF(M180=Q187,L180,0)+IF(M181=Q187,L181,0)+IF(Q187=M176,L176,0)+IF(M177=Q187,L177,0)+IF(M178=Q187,L178,0)</f>
        <v>0</v>
      </c>
      <c r="T187" s="72">
        <f>IF(F184=Q187,E184,0)+IF(F185=Q187,E185,0)+IF(F186=Q187,E186,0)+IF(Q187=F187,E187,0)+IF(F188=Q187,E188,0)+IF(F189=Q187,E189,0)</f>
        <v>0</v>
      </c>
      <c r="U187" s="72">
        <f>IF(M184=Q187,L184,0)+IF(M185=Q187,L185,0)+IF(M186=Q187,L186,0)+IF(Q187=M187,L187,0)+IF(M188=Q187,L188,0)+IF(M189=Q187,L189,0)</f>
        <v>0</v>
      </c>
      <c r="V187" s="72">
        <f>IF(F192=Q187,E192,0)+IF(F193=Q187,E193,0)+IF(F194=Q187,E194,0)+IF(Q187=F195,E195,0)+IF(F196=Q187,E196,0)+IF(F197=Q187,E197,0)</f>
        <v>0</v>
      </c>
      <c r="W187" s="74">
        <f t="shared" si="28"/>
        <v>0</v>
      </c>
      <c r="AB187" t="s">
        <v>270</v>
      </c>
      <c r="AC187">
        <f>(SUM(I184:I190))</f>
        <v>0</v>
      </c>
    </row>
    <row r="188" spans="1:29" hidden="1" outlineLevel="1" x14ac:dyDescent="0.25">
      <c r="A188" s="69" t="s">
        <v>107</v>
      </c>
      <c r="B188" s="96"/>
      <c r="C188" s="96"/>
      <c r="D188" s="102"/>
      <c r="E188" s="103"/>
      <c r="F188" s="38"/>
      <c r="H188" s="69" t="s">
        <v>107</v>
      </c>
      <c r="I188" s="96"/>
      <c r="J188" s="96"/>
      <c r="K188" s="102"/>
      <c r="L188" s="103"/>
      <c r="M188" s="38"/>
      <c r="Q188" s="75" t="s">
        <v>169</v>
      </c>
      <c r="R188" s="2" t="e">
        <f>IF(M173="Règlement HC",K173*10%,0)</f>
        <v>#N/A</v>
      </c>
      <c r="S188" s="2" t="e">
        <f>IF(M173="Règlement HC",K173*10%,0)</f>
        <v>#N/A</v>
      </c>
      <c r="T188" s="2" t="e">
        <f>IF(M173="Règlement HC",K173*10%,0)</f>
        <v>#N/A</v>
      </c>
      <c r="U188" s="2" t="e">
        <f>IF(M173="Règlement HC",K173*10%,0)</f>
        <v>#N/A</v>
      </c>
      <c r="V188" s="2" t="e">
        <f>IF(M173="Règlement HC",K173*10%,0)</f>
        <v>#N/A</v>
      </c>
      <c r="W188" s="76"/>
      <c r="AB188" t="s">
        <v>271</v>
      </c>
      <c r="AC188">
        <f>(SUM(B192:B198))</f>
        <v>0</v>
      </c>
    </row>
    <row r="189" spans="1:29" hidden="1" outlineLevel="1" x14ac:dyDescent="0.25">
      <c r="A189" s="69" t="s">
        <v>108</v>
      </c>
      <c r="B189" s="96"/>
      <c r="C189" s="96"/>
      <c r="D189" s="102"/>
      <c r="E189" s="103"/>
      <c r="F189" s="38"/>
      <c r="H189" s="69" t="s">
        <v>108</v>
      </c>
      <c r="I189" s="96"/>
      <c r="J189" s="96"/>
      <c r="K189" s="102"/>
      <c r="L189" s="103"/>
      <c r="M189" s="38"/>
      <c r="Q189" s="75" t="s">
        <v>175</v>
      </c>
      <c r="R189" s="2" t="e">
        <f>IF(M173="Règlement HC",SUM(B176:B182)-K173,0)</f>
        <v>#N/A</v>
      </c>
      <c r="S189" s="2" t="e">
        <f>IF(M173="Règlement HC",SUM(I176:I182)-K173,0)</f>
        <v>#N/A</v>
      </c>
      <c r="T189" s="2" t="e">
        <f>IF(M173="Règlement HC",SUM(B184:B190)-K173,0)</f>
        <v>#N/A</v>
      </c>
      <c r="U189" s="2" t="e">
        <f>IF(M173="Règlement HC",SUM(I184:I190)-K173,0)</f>
        <v>#N/A</v>
      </c>
      <c r="V189" s="2" t="e">
        <f>IF(M173="Règlement HC",SUM(B192:B198)-K173,0)</f>
        <v>#N/A</v>
      </c>
      <c r="W189" s="63" t="e">
        <f>SUM((IF(R189&gt;0,R189,0)+(IF(S189&gt;0,S189,0)+(IF(T189&gt;0,T189,0)+(IF(U189&gt;0,U189,0)+(IF(V189&gt;0,V189,0)))))))</f>
        <v>#N/A</v>
      </c>
      <c r="AA189" t="s">
        <v>313</v>
      </c>
      <c r="AB189" t="s">
        <v>314</v>
      </c>
      <c r="AC189" t="e">
        <f>W193</f>
        <v>#N/A</v>
      </c>
    </row>
    <row r="190" spans="1:29" ht="15.75" hidden="1" outlineLevel="1" thickBot="1" x14ac:dyDescent="0.3">
      <c r="A190" s="70" t="s">
        <v>109</v>
      </c>
      <c r="B190" s="97"/>
      <c r="C190" s="97"/>
      <c r="D190" s="71"/>
      <c r="E190" s="104"/>
      <c r="F190" s="38"/>
      <c r="H190" s="70" t="s">
        <v>109</v>
      </c>
      <c r="I190" s="97"/>
      <c r="J190" s="97"/>
      <c r="K190" s="71"/>
      <c r="L190" s="104"/>
      <c r="M190" s="39"/>
      <c r="P190" t="s">
        <v>170</v>
      </c>
      <c r="Q190" s="10" t="s">
        <v>162</v>
      </c>
      <c r="R190" t="e">
        <f>IF(R189&gt;=R188,R188,R189)</f>
        <v>#N/A</v>
      </c>
      <c r="S190" t="e">
        <f>IF(S189&gt;=S188,S188,S189)</f>
        <v>#N/A</v>
      </c>
      <c r="T190" t="e">
        <f>IF(T189&gt;=T188,T188,T189)</f>
        <v>#N/A</v>
      </c>
      <c r="U190" t="e">
        <f>IF(U189&gt;=U188,U188,U189)</f>
        <v>#N/A</v>
      </c>
      <c r="V190" t="e">
        <f>IF(V189&gt;=V188,V188,V189)</f>
        <v>#N/A</v>
      </c>
      <c r="W190" s="63" t="e">
        <f>SUM((IF(R190&gt;0,R190,0)+(IF(S190&gt;0,S190,0)+(IF(T190&gt;0,T190,0)+(IF(U190&gt;0,U190,0)+(IF(V190&gt;0,V190,0)))))))</f>
        <v>#N/A</v>
      </c>
    </row>
    <row r="191" spans="1:29" ht="15.75" hidden="1" outlineLevel="1" thickBot="1" x14ac:dyDescent="0.3">
      <c r="A191" s="64" t="str">
        <f>A158</f>
        <v>Ne pas saisir</v>
      </c>
      <c r="B191" s="65" t="e">
        <f>B175</f>
        <v>#N/A</v>
      </c>
      <c r="C191" s="65" t="str">
        <f>C175</f>
        <v>Férié</v>
      </c>
      <c r="D191" s="66" t="e">
        <f>D175</f>
        <v>#N/A</v>
      </c>
      <c r="E191" s="66" t="e">
        <f>E175</f>
        <v>#N/A</v>
      </c>
      <c r="F191" s="67" t="str">
        <f>F175</f>
        <v>Type absence</v>
      </c>
      <c r="H191" s="77" t="s">
        <v>136</v>
      </c>
      <c r="I191" s="78" t="e">
        <f>B175</f>
        <v>#N/A</v>
      </c>
      <c r="J191" s="78" t="str">
        <f>C175</f>
        <v>Férié</v>
      </c>
      <c r="K191" s="79" t="e">
        <f>D175</f>
        <v>#N/A</v>
      </c>
      <c r="L191" s="80" t="e">
        <f>E175</f>
        <v>#N/A</v>
      </c>
      <c r="M191" s="49"/>
      <c r="P191" t="s">
        <v>170</v>
      </c>
      <c r="Q191" s="10" t="s">
        <v>163</v>
      </c>
      <c r="R191" t="e">
        <f>R189-R190</f>
        <v>#N/A</v>
      </c>
      <c r="S191" t="e">
        <f>S189-S190</f>
        <v>#N/A</v>
      </c>
      <c r="T191" t="e">
        <f>T189-T190</f>
        <v>#N/A</v>
      </c>
      <c r="U191" t="e">
        <f>U189-U190</f>
        <v>#N/A</v>
      </c>
      <c r="V191" t="e">
        <f>V189-V190</f>
        <v>#N/A</v>
      </c>
      <c r="W191" s="63" t="e">
        <f t="shared" ref="W191:W196" si="29">SUM(R191:V191)</f>
        <v>#N/A</v>
      </c>
    </row>
    <row r="192" spans="1:29" hidden="1" outlineLevel="1" x14ac:dyDescent="0.25">
      <c r="A192" s="69" t="s">
        <v>103</v>
      </c>
      <c r="B192" s="95"/>
      <c r="C192" s="95"/>
      <c r="D192" s="106"/>
      <c r="E192" s="105"/>
      <c r="F192" s="101"/>
      <c r="H192" s="81" t="s">
        <v>103</v>
      </c>
      <c r="I192" s="82">
        <f t="shared" ref="I192:I197" si="30">B176+I176+B184+I184+B192</f>
        <v>0</v>
      </c>
      <c r="J192" s="82">
        <f t="shared" ref="J192:J197" si="31">C176+J176+C184+J184+C192</f>
        <v>0</v>
      </c>
      <c r="K192" s="83">
        <f t="shared" ref="K192:K197" si="32">D176+K176+D184+K184+D192</f>
        <v>0</v>
      </c>
      <c r="L192" s="84">
        <f t="shared" ref="L192:L197" si="33">E176+L176+E184+L184+E192</f>
        <v>0</v>
      </c>
      <c r="M192" s="303" t="s">
        <v>177</v>
      </c>
      <c r="N192" s="304"/>
      <c r="O192" s="304"/>
      <c r="Q192" s="10" t="s">
        <v>164</v>
      </c>
      <c r="R192" t="e">
        <f>IF(AND(K173="non",(SUM(B176:B182)&gt;U172)),SUM(B176:B182)-U172,0)</f>
        <v>#N/A</v>
      </c>
      <c r="S192" t="e">
        <f>IF(AND(K173="non",(SUM(I176:I182)&gt;U172)),SUM(I176:I182)-U172,0)</f>
        <v>#N/A</v>
      </c>
      <c r="T192" t="e">
        <f>IF(AND(K173="non",(SUM(B184:B190)&gt;U172)),SUM(B184:B190)-U172,0)</f>
        <v>#N/A</v>
      </c>
      <c r="U192" t="e">
        <f>IF(AND(K173="non",(SUM(I184:I190)&gt;U172)),SUM(I184:I190)-U172,0)</f>
        <v>#N/A</v>
      </c>
      <c r="V192" t="e">
        <f>IF(AND(K173="non",(SUM(B192:B198)&gt;U172)),SUM(B192:B198)-U172,0)</f>
        <v>#N/A</v>
      </c>
      <c r="W192" s="63" t="e">
        <f t="shared" si="29"/>
        <v>#N/A</v>
      </c>
    </row>
    <row r="193" spans="1:29" hidden="1" outlineLevel="1" x14ac:dyDescent="0.25">
      <c r="A193" s="69" t="s">
        <v>104</v>
      </c>
      <c r="B193" s="96"/>
      <c r="C193" s="96"/>
      <c r="D193" s="102"/>
      <c r="E193" s="103"/>
      <c r="F193" s="38"/>
      <c r="H193" s="81" t="s">
        <v>104</v>
      </c>
      <c r="I193" s="88">
        <f t="shared" si="30"/>
        <v>0</v>
      </c>
      <c r="J193" s="88">
        <f t="shared" si="31"/>
        <v>0</v>
      </c>
      <c r="K193" s="89">
        <f t="shared" si="32"/>
        <v>0</v>
      </c>
      <c r="L193" s="90">
        <f t="shared" si="33"/>
        <v>0</v>
      </c>
      <c r="M193" s="49"/>
      <c r="P193" t="s">
        <v>167</v>
      </c>
      <c r="Q193" s="10" t="s">
        <v>165</v>
      </c>
      <c r="R193" t="e">
        <f>IF(H174="Cadre",0,SUM(C176:C182))</f>
        <v>#N/A</v>
      </c>
      <c r="S193" t="e">
        <f>IF(H174="Cadre",0,SUM(J176:J182))</f>
        <v>#N/A</v>
      </c>
      <c r="T193" t="e">
        <f>IF(H174="Cadre",0,SUM(C184:C190))</f>
        <v>#N/A</v>
      </c>
      <c r="U193" t="e">
        <f>IF(H174="Cadre",0,SUM(J184:J190))</f>
        <v>#N/A</v>
      </c>
      <c r="V193" t="e">
        <f>IF(H174="Cadre",0,SUM(C192:C198))</f>
        <v>#N/A</v>
      </c>
      <c r="W193" s="63" t="e">
        <f t="shared" si="29"/>
        <v>#N/A</v>
      </c>
    </row>
    <row r="194" spans="1:29" hidden="1" outlineLevel="1" x14ac:dyDescent="0.25">
      <c r="A194" s="69" t="s">
        <v>105</v>
      </c>
      <c r="B194" s="96"/>
      <c r="C194" s="96"/>
      <c r="D194" s="102"/>
      <c r="E194" s="103"/>
      <c r="F194" s="38"/>
      <c r="H194" s="81" t="s">
        <v>105</v>
      </c>
      <c r="I194" s="88">
        <f t="shared" si="30"/>
        <v>0</v>
      </c>
      <c r="J194" s="88">
        <f t="shared" si="31"/>
        <v>0</v>
      </c>
      <c r="K194" s="89">
        <f t="shared" si="32"/>
        <v>0</v>
      </c>
      <c r="L194" s="90">
        <f t="shared" si="33"/>
        <v>0</v>
      </c>
      <c r="M194" s="49"/>
      <c r="P194" t="s">
        <v>168</v>
      </c>
      <c r="Q194" s="10" t="s">
        <v>165</v>
      </c>
      <c r="R194" t="e">
        <f>IF(H174="Cadre",((SUM(C176:C182)/2)*5),0)</f>
        <v>#N/A</v>
      </c>
      <c r="S194" t="e">
        <f>IF(H174="Cadre",(SUM(J176:J182)/2*5),0)</f>
        <v>#N/A</v>
      </c>
      <c r="T194" t="e">
        <f>IF(H174="Cadre",(SUM(C184:C190)/2*5),0)</f>
        <v>#N/A</v>
      </c>
      <c r="U194" t="e">
        <f>IF(H174="Cadre",(SUM(J184:J190)/2*5),0)</f>
        <v>#N/A</v>
      </c>
      <c r="V194" t="e">
        <f>IF(H174="Cadre",(SUM(C192:C198)/2*5),0)</f>
        <v>#N/A</v>
      </c>
      <c r="W194" s="63" t="e">
        <f t="shared" si="29"/>
        <v>#N/A</v>
      </c>
    </row>
    <row r="195" spans="1:29" hidden="1" outlineLevel="1" x14ac:dyDescent="0.25">
      <c r="A195" s="69" t="s">
        <v>106</v>
      </c>
      <c r="B195" s="96"/>
      <c r="C195" s="96"/>
      <c r="D195" s="102"/>
      <c r="E195" s="103"/>
      <c r="F195" s="38"/>
      <c r="H195" s="81" t="s">
        <v>106</v>
      </c>
      <c r="I195" s="88">
        <f t="shared" si="30"/>
        <v>0</v>
      </c>
      <c r="J195" s="88">
        <f t="shared" si="31"/>
        <v>0</v>
      </c>
      <c r="K195" s="89">
        <f t="shared" si="32"/>
        <v>0</v>
      </c>
      <c r="L195" s="90">
        <f t="shared" si="33"/>
        <v>0</v>
      </c>
      <c r="M195" s="49"/>
      <c r="P195" t="s">
        <v>166</v>
      </c>
      <c r="Q195" s="10" t="s">
        <v>159</v>
      </c>
      <c r="R195" t="e">
        <f>IF(H174="Employé",B182,0)</f>
        <v>#N/A</v>
      </c>
      <c r="S195" t="e">
        <f>IF(H174="Employé",I182,0)</f>
        <v>#N/A</v>
      </c>
      <c r="T195" t="e">
        <f>IF(H174="Employé",B190,0)</f>
        <v>#N/A</v>
      </c>
      <c r="U195" t="e">
        <f>IF(H174="Employé",I190,0)</f>
        <v>#N/A</v>
      </c>
      <c r="V195" t="e">
        <f>IF(H174="Employé",B198,0)</f>
        <v>#N/A</v>
      </c>
      <c r="W195" s="63" t="e">
        <f t="shared" si="29"/>
        <v>#N/A</v>
      </c>
    </row>
    <row r="196" spans="1:29" hidden="1" outlineLevel="1" x14ac:dyDescent="0.25">
      <c r="A196" s="69" t="s">
        <v>107</v>
      </c>
      <c r="B196" s="96"/>
      <c r="C196" s="96"/>
      <c r="D196" s="102"/>
      <c r="E196" s="103"/>
      <c r="F196" s="38"/>
      <c r="H196" s="81" t="s">
        <v>107</v>
      </c>
      <c r="I196" s="88">
        <f t="shared" si="30"/>
        <v>0</v>
      </c>
      <c r="J196" s="88">
        <f t="shared" si="31"/>
        <v>0</v>
      </c>
      <c r="K196" s="89">
        <f t="shared" si="32"/>
        <v>0</v>
      </c>
      <c r="L196" s="90">
        <f t="shared" si="33"/>
        <v>0</v>
      </c>
      <c r="M196" s="303" t="s">
        <v>178</v>
      </c>
      <c r="N196" s="304"/>
      <c r="O196" s="304"/>
      <c r="P196" t="s">
        <v>297</v>
      </c>
      <c r="Q196" s="10" t="s">
        <v>159</v>
      </c>
      <c r="R196" t="e">
        <f>IF(H174="Cadre",IF(B182=2,5,0),0)</f>
        <v>#N/A</v>
      </c>
      <c r="S196" t="e">
        <f>IF(H174="Cadre",IF(I182=2,5,0),0)</f>
        <v>#N/A</v>
      </c>
      <c r="T196" t="e">
        <f>IF(H174="Cadre",IF(B190=2,5,0),0)</f>
        <v>#N/A</v>
      </c>
      <c r="U196" t="e">
        <f>IF(H174="Cadre",IF(I190=2,5,0),0)</f>
        <v>#N/A</v>
      </c>
      <c r="V196" t="e">
        <f>IF(H174="Cadre",IF(B198=2,5,0),0)</f>
        <v>#N/A</v>
      </c>
      <c r="W196" s="63" t="e">
        <f t="shared" si="29"/>
        <v>#N/A</v>
      </c>
    </row>
    <row r="197" spans="1:29" hidden="1" outlineLevel="1" x14ac:dyDescent="0.25">
      <c r="A197" s="69" t="s">
        <v>108</v>
      </c>
      <c r="B197" s="96"/>
      <c r="C197" s="96"/>
      <c r="D197" s="102"/>
      <c r="E197" s="103"/>
      <c r="F197" s="38"/>
      <c r="H197" s="81" t="s">
        <v>108</v>
      </c>
      <c r="I197" s="88">
        <f t="shared" si="30"/>
        <v>0</v>
      </c>
      <c r="J197" s="88">
        <f t="shared" si="31"/>
        <v>0</v>
      </c>
      <c r="K197" s="89">
        <f t="shared" si="32"/>
        <v>0</v>
      </c>
      <c r="L197" s="90">
        <f t="shared" si="33"/>
        <v>0</v>
      </c>
      <c r="M197" s="49"/>
      <c r="P197" t="s">
        <v>171</v>
      </c>
      <c r="Q197" s="10" t="s">
        <v>172</v>
      </c>
      <c r="R197" s="2"/>
      <c r="S197" s="2"/>
      <c r="T197" s="2"/>
      <c r="U197" s="2"/>
      <c r="V197" s="2"/>
      <c r="W197" s="91" t="e">
        <f>IF(AND(K173="non",H174="Employé"),SUM(I192:I198)+(SUM(W174:W187)-W170),(SUM(I192:I198)-W189)+(SUM(W174:W187)-W170))</f>
        <v>#N/A</v>
      </c>
    </row>
    <row r="198" spans="1:29" ht="15.75" hidden="1" outlineLevel="1" thickBot="1" x14ac:dyDescent="0.3">
      <c r="A198" s="70" t="s">
        <v>109</v>
      </c>
      <c r="B198" s="97"/>
      <c r="C198" s="97"/>
      <c r="D198" s="71"/>
      <c r="E198" s="104"/>
      <c r="F198" s="39"/>
      <c r="H198" s="92" t="s">
        <v>109</v>
      </c>
      <c r="I198" s="93">
        <f>(B182+I182+B190+I190+B198)</f>
        <v>0</v>
      </c>
      <c r="J198" s="93">
        <f>(C182+J182+C190+J190+C198)</f>
        <v>0</v>
      </c>
      <c r="K198" s="71">
        <f>(D182+K182+D190+K190+D198)</f>
        <v>0</v>
      </c>
      <c r="L198" s="94">
        <f>(E182+L182+E190+L190+E198)</f>
        <v>0</v>
      </c>
      <c r="M198" s="49"/>
      <c r="P198" t="s">
        <v>176</v>
      </c>
      <c r="Q198" s="10" t="s">
        <v>172</v>
      </c>
      <c r="R198" s="2"/>
      <c r="S198" s="2"/>
      <c r="T198" s="2"/>
      <c r="U198" s="2"/>
      <c r="V198" s="2"/>
      <c r="W198" s="91" t="e">
        <f>IF(H174="Cadre",((SUM(I192:I198)+SUM(W174:W187)-W176-W177)/2),0)</f>
        <v>#N/A</v>
      </c>
    </row>
    <row r="199" spans="1:29" ht="15" customHeight="1" collapsed="1" x14ac:dyDescent="0.25">
      <c r="D199" s="302" t="s">
        <v>298</v>
      </c>
      <c r="E199" s="302"/>
      <c r="F199" s="302"/>
      <c r="G199" s="302"/>
      <c r="H199" s="302"/>
      <c r="I199" s="302"/>
      <c r="J199" s="302"/>
      <c r="K199" s="302"/>
      <c r="L199" s="42" t="s">
        <v>283</v>
      </c>
      <c r="N199" s="43"/>
      <c r="O199" s="43" t="s">
        <v>179</v>
      </c>
      <c r="P199" s="15" t="s">
        <v>157</v>
      </c>
      <c r="AA199" s="15" t="s">
        <v>157</v>
      </c>
    </row>
    <row r="200" spans="1:29" hidden="1" outlineLevel="1" x14ac:dyDescent="0.25">
      <c r="D200" s="302"/>
      <c r="E200" s="302"/>
      <c r="F200" s="302"/>
      <c r="G200" s="302"/>
      <c r="H200" s="302"/>
      <c r="I200" s="302"/>
      <c r="J200" s="302"/>
      <c r="K200" s="302"/>
      <c r="N200" s="43"/>
      <c r="O200" s="43" t="s">
        <v>180</v>
      </c>
      <c r="AC200" t="s">
        <v>201</v>
      </c>
    </row>
    <row r="201" spans="1:29" hidden="1" outlineLevel="1" x14ac:dyDescent="0.25">
      <c r="D201" s="302"/>
      <c r="E201" s="302"/>
      <c r="F201" s="302"/>
      <c r="G201" s="302"/>
      <c r="H201" s="302"/>
      <c r="I201" s="302"/>
      <c r="J201" s="302"/>
      <c r="K201" s="302"/>
      <c r="N201" s="44"/>
      <c r="O201" s="44" t="s">
        <v>181</v>
      </c>
      <c r="AA201" s="15" t="s">
        <v>200</v>
      </c>
      <c r="AC201" s="2" t="str">
        <f>I203</f>
        <v>Juin</v>
      </c>
    </row>
    <row r="202" spans="1:29" hidden="1" outlineLevel="1" x14ac:dyDescent="0.25">
      <c r="A202" s="45" t="s">
        <v>3</v>
      </c>
      <c r="B202" s="46">
        <f>'Synthèse Horaires'!$B$4</f>
        <v>2026</v>
      </c>
      <c r="C202" s="47"/>
      <c r="D202" s="48" t="s">
        <v>1</v>
      </c>
      <c r="E202" s="46">
        <f>'Synthèse Horaires'!$D$4</f>
        <v>0</v>
      </c>
      <c r="F202" s="49"/>
      <c r="G202" s="49"/>
      <c r="H202" s="48" t="s">
        <v>2</v>
      </c>
      <c r="I202" s="47">
        <f>'Synthèse Horaires'!$I$4</f>
        <v>0</v>
      </c>
      <c r="J202" s="50"/>
      <c r="K202" s="50"/>
      <c r="N202" s="44"/>
      <c r="O202" s="44" t="s">
        <v>202</v>
      </c>
      <c r="V202" s="10" t="s">
        <v>174</v>
      </c>
      <c r="W202" s="51" t="e">
        <f>IF(K206="non",SUM(K225:K231)*(35/6),SUM(K225:K231)*(K206/6))</f>
        <v>#N/A</v>
      </c>
      <c r="AB202" t="s">
        <v>6</v>
      </c>
      <c r="AC202" s="14">
        <f>B206</f>
        <v>0</v>
      </c>
    </row>
    <row r="203" spans="1:29" hidden="1" outlineLevel="1" x14ac:dyDescent="0.25">
      <c r="A203" s="45" t="s">
        <v>10</v>
      </c>
      <c r="B203" s="49"/>
      <c r="C203" s="49"/>
      <c r="D203" s="50" t="str">
        <f>'Synthèse Horaires'!$C$6</f>
        <v>01 juin 2026 au 31 mai 2027.</v>
      </c>
      <c r="E203" s="2"/>
      <c r="H203" s="48" t="s">
        <v>205</v>
      </c>
      <c r="I203" s="47" t="str">
        <f>'Synthèse Horaires'!$I$5</f>
        <v>Juin</v>
      </c>
      <c r="N203" s="44"/>
      <c r="O203" s="44" t="s">
        <v>203</v>
      </c>
      <c r="V203" s="10" t="s">
        <v>173</v>
      </c>
      <c r="W203">
        <f>W209+W210</f>
        <v>0</v>
      </c>
      <c r="AB203" t="s">
        <v>57</v>
      </c>
      <c r="AC203" s="14" t="e">
        <f>B207</f>
        <v>#N/A</v>
      </c>
    </row>
    <row r="204" spans="1:29" hidden="1" outlineLevel="1" x14ac:dyDescent="0.25">
      <c r="AB204" t="s">
        <v>211</v>
      </c>
      <c r="AC204" s="14" t="e">
        <f>H207</f>
        <v>#N/A</v>
      </c>
    </row>
    <row r="205" spans="1:29" hidden="1" outlineLevel="1" x14ac:dyDescent="0.25">
      <c r="A205" s="4" t="s">
        <v>58</v>
      </c>
      <c r="B205" s="4"/>
      <c r="C205" s="4"/>
      <c r="D205" s="4"/>
      <c r="E205" s="4"/>
      <c r="F205" s="4"/>
      <c r="G205" s="4"/>
      <c r="H205" s="4"/>
      <c r="P205" s="53" t="s">
        <v>6</v>
      </c>
      <c r="Q205" s="2">
        <f>B206</f>
        <v>0</v>
      </c>
      <c r="T205" s="10" t="s">
        <v>76</v>
      </c>
      <c r="U205" s="2" t="e">
        <f>VLOOKUP(B206,'Base Matricule Siège'!$B$12:$H$1000,4,FALSE)</f>
        <v>#N/A</v>
      </c>
      <c r="AA205" t="s">
        <v>215</v>
      </c>
      <c r="AB205" t="s">
        <v>207</v>
      </c>
      <c r="AC205" s="14" t="e">
        <f>IF(AC204="Cadre",0,W230)</f>
        <v>#N/A</v>
      </c>
    </row>
    <row r="206" spans="1:29" hidden="1" outlineLevel="1" x14ac:dyDescent="0.25">
      <c r="A206" s="49" t="s">
        <v>18</v>
      </c>
      <c r="B206" s="113"/>
      <c r="E206" s="49"/>
      <c r="G206" s="57" t="s">
        <v>317</v>
      </c>
      <c r="H206" s="58" t="e">
        <f>VLOOKUP(B206,'Base Matricule Siège'!$B$13:$H$1000,7,FALSE)</f>
        <v>#N/A</v>
      </c>
      <c r="J206" s="10" t="s">
        <v>161</v>
      </c>
      <c r="K206" s="58" t="e">
        <f>IF((VLOOKUP('MASQUE COLLABORATEUR'!B206,'Base Matricule Siège'!$B$13:$E$1000,4,FALSE)&lt;'Base Matricule Siège'!$G$5),(VLOOKUP('MASQUE COLLABORATEUR'!B206,'Base Matricule Siège'!$B$13:$E$1000,4,FALSE)),"non")</f>
        <v>#N/A</v>
      </c>
      <c r="L206" s="114" t="s">
        <v>340</v>
      </c>
      <c r="M206" s="115" t="e">
        <f>IF(K206="non","0",VLOOKUP(B206,'Base Matricule Siège'!$B$13:$S$1000,18,FALSE))</f>
        <v>#N/A</v>
      </c>
      <c r="R206" t="s">
        <v>151</v>
      </c>
      <c r="S206" t="s">
        <v>152</v>
      </c>
      <c r="T206" t="s">
        <v>153</v>
      </c>
      <c r="U206" t="s">
        <v>154</v>
      </c>
      <c r="V206" t="s">
        <v>155</v>
      </c>
      <c r="W206" s="59" t="s">
        <v>156</v>
      </c>
      <c r="AB206" t="s">
        <v>11</v>
      </c>
      <c r="AC206" s="14" t="e">
        <f>W231</f>
        <v>#N/A</v>
      </c>
    </row>
    <row r="207" spans="1:29" ht="15.75" hidden="1" outlineLevel="1" thickBot="1" x14ac:dyDescent="0.3">
      <c r="A207" s="49" t="s">
        <v>59</v>
      </c>
      <c r="B207" s="2" t="e">
        <f>VLOOKUP(B206,'Base Matricule Siège'!$B$13:$C$1000,2,FALSE)</f>
        <v>#N/A</v>
      </c>
      <c r="C207" s="2"/>
      <c r="D207" s="2"/>
      <c r="G207" s="57" t="s">
        <v>158</v>
      </c>
      <c r="H207" s="58" t="e">
        <f>VLOOKUP(B206,'Base Matricule Siège'!$B$13:$G$1000,6,FALSE)</f>
        <v>#N/A</v>
      </c>
      <c r="P207" s="10" t="s">
        <v>142</v>
      </c>
      <c r="Q207" s="10" t="s">
        <v>149</v>
      </c>
      <c r="R207">
        <f>IF(F209=Q207,E209,0)+IF(F210=Q207,E210,0)+IF(F211=Q207,E211,0)+IF(Q207=F212,E212,0)+IF(F213=Q207,E213,0)+IF(F214=Q207,E214,0)</f>
        <v>0</v>
      </c>
      <c r="S207">
        <f>IF(M209=Q207,L209,0)+IF(M210=Q207,L210,0)+IF(M211=Q207,L211,0)+IF(Q207=M212,L212,0)+IF(M213=Q207,L213,0)+IF(M214=Q207,L214,0)</f>
        <v>0</v>
      </c>
      <c r="T207">
        <f>IF(F217=Q207,E217,0)+IF(F218=Q207,E218,0)+IF(F219=Q207,E219,0)+IF(Q207=F220,E220,0)+IF(F221=Q207,E221,0)+IF(F222=Q207,E222,0)</f>
        <v>0</v>
      </c>
      <c r="U207">
        <f>IF(M217=Q207,L217,0)+IF(M218=Q207,L218,0)+IF(M219=Q207,L219,0)+IF(Q207=M220,L220,0)+IF(M221=Q207,L221,0)+IF(M222=Q207,L222,0)</f>
        <v>0</v>
      </c>
      <c r="V207">
        <f>IF(F225=Q207,E225,0)+IF(F226=Q207,E226,0)+IF(F227=Q207,E227,0)+IF(Q207=F228,E228,0)+IF(F229=Q207,E229,0)+IF(F230=Q207,E230,0)</f>
        <v>0</v>
      </c>
      <c r="W207" s="63">
        <f>SUM(R207:V207)</f>
        <v>0</v>
      </c>
      <c r="AB207" t="s">
        <v>208</v>
      </c>
      <c r="AC207" s="14">
        <f>SUM(K225:K231)*2</f>
        <v>0</v>
      </c>
    </row>
    <row r="208" spans="1:29" ht="15.75" hidden="1" outlineLevel="1" thickBot="1" x14ac:dyDescent="0.3">
      <c r="A208" s="64" t="str">
        <f>A175</f>
        <v>Semaine 23</v>
      </c>
      <c r="B208" s="65" t="e">
        <f>IF(H207="Cadre","Demi J. Réalisées","H. Réalisées")</f>
        <v>#N/A</v>
      </c>
      <c r="C208" s="65" t="s">
        <v>141</v>
      </c>
      <c r="D208" s="66" t="e">
        <f>IF(H207="Cadre","CP en Demi J.","CP en jours")</f>
        <v>#N/A</v>
      </c>
      <c r="E208" s="66" t="e">
        <f>IF(H207="Cadre","Abs. En Demi J.","Absence en H.")</f>
        <v>#N/A</v>
      </c>
      <c r="F208" s="67" t="s">
        <v>110</v>
      </c>
      <c r="H208" s="64" t="str">
        <f>H175</f>
        <v>Semaine 24</v>
      </c>
      <c r="I208" s="65" t="e">
        <f>B208</f>
        <v>#N/A</v>
      </c>
      <c r="J208" s="65" t="str">
        <f>C208</f>
        <v>Férié</v>
      </c>
      <c r="K208" s="66" t="e">
        <f>D208</f>
        <v>#N/A</v>
      </c>
      <c r="L208" s="66" t="e">
        <f>E208</f>
        <v>#N/A</v>
      </c>
      <c r="M208" s="67" t="str">
        <f>F208</f>
        <v>Type absence</v>
      </c>
      <c r="Q208" s="10" t="s">
        <v>143</v>
      </c>
      <c r="R208">
        <f>IF(F209=Q208,E209,0)+IF(F210=Q208,E210,0)+IF(F211=Q208,E211,0)+IF(Q208=F212,E212,0)+IF(F214=Q208,E213,0)+IF(F213=Q208,E214,0)</f>
        <v>0</v>
      </c>
      <c r="S208">
        <f>IF(M210=Q208,L210,0)+IF(M211=Q208,L211,0)+IF(M212=Q208,L212,0)+IF(Q208=M213,L213,0)+IF(M214=Q208,L214,0)+IF(M209=Q208,L209,0)</f>
        <v>0</v>
      </c>
      <c r="T208">
        <f>IF(F217=Q208,E217,0)+IF(F218=Q208,E218,0)+IF(F219=Q208,E219,0)+IF(Q208=F220,E220,0)+IF(F221=Q208,E221,0)+IF(F222=Q208,E222,0)</f>
        <v>0</v>
      </c>
      <c r="U208">
        <f>IF(M217=Q208,L217,0)+IF(M218=Q208,L218,0)+IF(M219=Q208,L219,0)+IF(Q208=M220,L220,0)+IF(M221=Q208,L221,0)+IF(M222=Q208,L222,0)</f>
        <v>0</v>
      </c>
      <c r="V208">
        <f>IF(F225=Q208,E225,0)+IF(F226=Q208,E226,0)+IF(F227=Q208,E227,0)+IF(Q208=F228,E228,0)+IF(F229=Q208,E229,0)+IF(F230=Q208,E230,0)</f>
        <v>0</v>
      </c>
      <c r="W208" s="63">
        <f t="shared" ref="W208:W220" si="34">SUM(R208:V208)</f>
        <v>0</v>
      </c>
      <c r="AB208" t="s">
        <v>8</v>
      </c>
      <c r="AC208" s="14"/>
    </row>
    <row r="209" spans="1:29" hidden="1" outlineLevel="1" x14ac:dyDescent="0.25">
      <c r="A209" s="68" t="s">
        <v>103</v>
      </c>
      <c r="B209" s="98"/>
      <c r="C209" s="98"/>
      <c r="D209" s="99"/>
      <c r="E209" s="100"/>
      <c r="F209" s="101"/>
      <c r="H209" s="69" t="s">
        <v>103</v>
      </c>
      <c r="I209" s="95"/>
      <c r="J209" s="95"/>
      <c r="K209" s="106"/>
      <c r="L209" s="105"/>
      <c r="M209" s="101"/>
      <c r="Q209" s="10" t="s">
        <v>144</v>
      </c>
      <c r="R209">
        <f>IF(F211=Q209,E211,0)+IF(F212=Q209,E212,0)+IF(F213=Q209,E213,0)+IF(Q209=F214,E214,0)+IF(F209=Q209,E209,0)+IF(F210=Q209,E210,0)</f>
        <v>0</v>
      </c>
      <c r="S209">
        <f>IF(M211=Q209,L211,0)+IF(M212=Q209,L212,0)+IF(M213=Q209,L213,0)+IF(Q209=M214,L214,0)+IF(M209=Q209,L209,0)+IF(M210=Q209,L210,0)</f>
        <v>0</v>
      </c>
      <c r="T209">
        <f>IF(F217=Q209,E217,0)+IF(F218=Q209,E218,0)+IF(F219=Q209,E219,0)+IF(Q209=F220,E220,0)+IF(F221=Q209,E221,0)+IF(F222=Q209,E222,0)</f>
        <v>0</v>
      </c>
      <c r="U209">
        <f>IF(M217=Q209,L217,0)+IF(M218=Q209,L218,0)+IF(M219=Q209,L219,0)+IF(Q209=M220,L220,0)+IF(M221=Q209,L221,0)+IF(M222=Q209,L222,0)</f>
        <v>0</v>
      </c>
      <c r="V209">
        <f>IF(F225=Q209,E225,0)+IF(F226=Q209,E226,0)+IF(F227=Q209,E227,0)+IF(Q209=F228,E228,0)+IF(F229=Q209,E229,0)+IF(F230=Q209,E230,0)</f>
        <v>0</v>
      </c>
      <c r="W209" s="63">
        <f t="shared" si="34"/>
        <v>0</v>
      </c>
      <c r="AB209" t="s">
        <v>209</v>
      </c>
      <c r="AC209" s="14">
        <f>W209</f>
        <v>0</v>
      </c>
    </row>
    <row r="210" spans="1:29" hidden="1" outlineLevel="1" x14ac:dyDescent="0.25">
      <c r="A210" s="69" t="s">
        <v>104</v>
      </c>
      <c r="B210" s="96"/>
      <c r="C210" s="96"/>
      <c r="D210" s="102"/>
      <c r="E210" s="103"/>
      <c r="F210" s="38"/>
      <c r="H210" s="69" t="s">
        <v>104</v>
      </c>
      <c r="I210" s="96"/>
      <c r="J210" s="96"/>
      <c r="K210" s="102"/>
      <c r="L210" s="103"/>
      <c r="M210" s="38"/>
      <c r="Q210" s="10" t="s">
        <v>145</v>
      </c>
      <c r="R210">
        <f>IF(F212=Q210,E212,0)+IF(F213=Q210,E213,0)+IF(F214=Q210,E214,0)+IF(Q210=F209,E209,0)+IF(F210=Q210,E210,0)+IF(F211=Q210,E211,0)</f>
        <v>0</v>
      </c>
      <c r="S210">
        <f>IF(M212=Q210,L212,0)+IF(M213=Q210,L213,0)+IF(M214=Q210,L214,0)+IF(Q210=M209,L209,0)+IF(M210=Q210,L210,0)+IF(M211=Q210,L211,0)</f>
        <v>0</v>
      </c>
      <c r="T210">
        <f>IF(F217=Q210,$E217,0)+IF(F218=Q210,E218,0)+IF(F219=Q210,E219,0)+IF(Q210=F220,E220,0)+IF(F221=Q210,E221,0)+IF(F222=Q210,E222,0)</f>
        <v>0</v>
      </c>
      <c r="U210">
        <f>IF(M217=Q210,L217,0)+IF(M218=Q210,L218,0)+IF(M219=Q210,L219,0)+IF(Q210=M220,L220,0)+IF(M221=Q210,L221,0)+IF(M222=Q210,L222,0)</f>
        <v>0</v>
      </c>
      <c r="V210">
        <f>IF(F225=Q210,E225,0)+IF(F226=Q210,E226,0)+IF(F227=Q210,E227,0)+IF(Q210=F228,E228,0)+IF(F229=Q210,E229,0)+IF(F230=Q210,E230,0)</f>
        <v>0</v>
      </c>
      <c r="W210" s="63">
        <f t="shared" si="34"/>
        <v>0</v>
      </c>
      <c r="AB210" t="s">
        <v>210</v>
      </c>
      <c r="AC210" s="14">
        <f>SUM(W207:W220)-W209</f>
        <v>0</v>
      </c>
    </row>
    <row r="211" spans="1:29" hidden="1" outlineLevel="1" x14ac:dyDescent="0.25">
      <c r="A211" s="69" t="s">
        <v>105</v>
      </c>
      <c r="B211" s="96"/>
      <c r="C211" s="96"/>
      <c r="D211" s="102"/>
      <c r="E211" s="103"/>
      <c r="F211" s="38"/>
      <c r="H211" s="69" t="s">
        <v>105</v>
      </c>
      <c r="I211" s="96"/>
      <c r="J211" s="96"/>
      <c r="K211" s="102"/>
      <c r="L211" s="103"/>
      <c r="M211" s="38"/>
      <c r="Q211" s="10" t="s">
        <v>212</v>
      </c>
      <c r="R211">
        <f>IF(F213=Q211,E213,0)+IF(F214=Q211,E214,0)+IF(F209=Q211,E209,0)+IF(Q211=F210,E210,0)+IF(F211=Q211,E211,0)+IF(F212=Q211,E212,0)</f>
        <v>0</v>
      </c>
      <c r="S211">
        <f>IF(M212=Q211,L212,0)+IF(M213=Q211,L213,0)+IF(M214=Q211,L214,0)+IF(Q211=M209,L209,0)+IF(M210=Q211,L210,0)+IF(M211=Q211,L211,0)</f>
        <v>0</v>
      </c>
      <c r="T211">
        <f>IF(F217=Q211,E217,0)+IF(F218=Q211,E218,0)+IF(F219=Q211,E219,0)+IF(Q211=F220,E220,0)+IF(F221=Q211,E221,0)+IF(F222=Q211,E222,0)</f>
        <v>0</v>
      </c>
      <c r="U211">
        <f>IF(M217=Q211,L217,0)+IF(M218=Q211,L218,0)+IF(M219=Q211,L219,0)+IF(Q211=M220,L220,0)+IF(M221=Q211,L221,0)+IF(M222=Q211,L222,0)</f>
        <v>0</v>
      </c>
      <c r="V211">
        <f>IF(F225=Q211,E225,0)+IF(F226=Q211,E226,0)+IF(F227=Q211,E227,0)+IF(Q211=F228,E228,0)+IF(F229=Q211,E229,0)+IF(F230=Q211,E230,0)</f>
        <v>0</v>
      </c>
      <c r="W211" s="63">
        <f t="shared" si="34"/>
        <v>0</v>
      </c>
      <c r="AA211" t="s">
        <v>214</v>
      </c>
      <c r="AB211" t="s">
        <v>213</v>
      </c>
      <c r="AC211" s="14" t="e">
        <f>IF(AC204="Cadre",(W211/2),(W211/7))</f>
        <v>#N/A</v>
      </c>
    </row>
    <row r="212" spans="1:29" hidden="1" outlineLevel="1" x14ac:dyDescent="0.25">
      <c r="A212" s="69" t="s">
        <v>106</v>
      </c>
      <c r="B212" s="96"/>
      <c r="C212" s="96"/>
      <c r="D212" s="102"/>
      <c r="E212" s="103"/>
      <c r="F212" s="38"/>
      <c r="H212" s="69" t="s">
        <v>106</v>
      </c>
      <c r="I212" s="96"/>
      <c r="J212" s="96"/>
      <c r="K212" s="102"/>
      <c r="L212" s="103"/>
      <c r="M212" s="38"/>
      <c r="Q212" s="10" t="s">
        <v>146</v>
      </c>
      <c r="R212">
        <f>IF(F214=Q212,E214,0)+IF(F209=Q212,E209,0)+IF(F210=Q212,E210,0)+IF(Q212=F211,E211,0)+IF(F212=Q212,E212,0)+IF(F213=Q212,E213,0)</f>
        <v>0</v>
      </c>
      <c r="S212">
        <f>IF(M212=Q212,L212,0)+IF(M213=Q212,L213,0)+IF(M214=Q212,L214,0)+IF(Q212=M209,$L$11,0)+IF(M210=Q212,L210,0)+IF(M211=Q212,L211,0)</f>
        <v>0</v>
      </c>
      <c r="T212">
        <f>IF(F217=Q212,E217,0)+IF(F218=Q212,E218,0)+IF(F219=Q212,E219,0)+IF(Q212=F220,E220,0)+IF(F221=Q212,E221,0)+IF(F222=Q212,E222,0)</f>
        <v>0</v>
      </c>
      <c r="U212">
        <f>IF(M217=Q212,L217,0)+IF(M218=Q212,L218,0)+IF(M219=Q212,L219,0)+IF(Q212=M220,L220,0)+IF(M221=Q212,L221,0)+IF(M222=Q212,L222,0)</f>
        <v>0</v>
      </c>
      <c r="V212">
        <f>IF(F225=Q212,E225,0)+IF(F226=Q212,E226,0)+IF(F227=Q212,E227,0)+IF(Q212=F228,E228,0)+IF(F229=Q212,E229,0)+IF(F230=Q212,E230,0)</f>
        <v>0</v>
      </c>
      <c r="W212" s="63">
        <f t="shared" si="34"/>
        <v>0</v>
      </c>
      <c r="AA212" t="s">
        <v>216</v>
      </c>
      <c r="AB212" t="s">
        <v>217</v>
      </c>
      <c r="AC212" s="14" t="e">
        <f>W224+W225</f>
        <v>#N/A</v>
      </c>
    </row>
    <row r="213" spans="1:29" hidden="1" outlineLevel="1" x14ac:dyDescent="0.25">
      <c r="A213" s="69" t="s">
        <v>107</v>
      </c>
      <c r="B213" s="96"/>
      <c r="C213" s="96"/>
      <c r="D213" s="102"/>
      <c r="E213" s="103"/>
      <c r="F213" s="38"/>
      <c r="H213" s="69" t="s">
        <v>107</v>
      </c>
      <c r="I213" s="96"/>
      <c r="J213" s="96"/>
      <c r="K213" s="102"/>
      <c r="L213" s="103"/>
      <c r="M213" s="38"/>
      <c r="Q213" s="10" t="s">
        <v>499</v>
      </c>
      <c r="R213">
        <f>IF(F209=Q213,E209,0)+IF(F210=Q213,E210,0)+IF(F211=Q213,E211,0)+IF(Q213=F212,E212,0)+IF(F213=Q213,E213,0)+IF(F214=Q213,E214,0)</f>
        <v>0</v>
      </c>
      <c r="S213">
        <f>IF(M212=Q213,L212,0)+IF(M213=Q213,L213,0)+IF(M214=Q213,L214,0)+IF(Q213=M209,L209,0)+IF(M210=Q213,L210,0)+IF(M211=Q213,L211,0)</f>
        <v>0</v>
      </c>
      <c r="T213">
        <f>IF(F217=Q213,E217,0)+IF(F218=Q213,E218,0)+IF(F219=Q213,E219,0)+IF(Q213=F220,E220,0)+IF(F221=Q213,E221,0)+IF(F222=Q213,E222,0)</f>
        <v>0</v>
      </c>
      <c r="U213">
        <f>IF(M217=Q213,L217,0)+IF(M218=Q213,L218,0)+IF(M219=Q213,L219,0)+IF(Q213=M220,L220,0)+IF(M221=Q213,L221,0)+IF(M222=Q213,L222,0)</f>
        <v>0</v>
      </c>
      <c r="V213">
        <f>IF(F225=Q213,E225,0)+IF(F226=Q213,E226,0)+IF(F227=Q213,E227,0)+IF(Q213=F228,E228,0)+IF(F229=Q213,E229,0)+IF(F230=Q213,E230,0)</f>
        <v>0</v>
      </c>
      <c r="W213" s="63">
        <f t="shared" si="34"/>
        <v>0</v>
      </c>
      <c r="AA213" t="s">
        <v>218</v>
      </c>
      <c r="AB213" t="s">
        <v>219</v>
      </c>
      <c r="AC213" s="14" t="e">
        <f>W223</f>
        <v>#N/A</v>
      </c>
    </row>
    <row r="214" spans="1:29" hidden="1" outlineLevel="1" x14ac:dyDescent="0.25">
      <c r="A214" s="69" t="s">
        <v>108</v>
      </c>
      <c r="B214" s="96"/>
      <c r="C214" s="96"/>
      <c r="D214" s="102"/>
      <c r="E214" s="103"/>
      <c r="F214" s="38"/>
      <c r="H214" s="69" t="s">
        <v>108</v>
      </c>
      <c r="I214" s="96"/>
      <c r="J214" s="96"/>
      <c r="K214" s="102"/>
      <c r="L214" s="103"/>
      <c r="M214" s="38"/>
      <c r="Q214" s="10" t="s">
        <v>147</v>
      </c>
      <c r="R214">
        <f>IF(F210=Q214,E210,0)+IF(F211=Q214,E211,0)+IF(F212=Q214,E212,0)+IF(Q214=F213,E213,0)+IF(F214=Q214,E214,0)+IF(F209=Q214,E209,0)</f>
        <v>0</v>
      </c>
      <c r="S214">
        <f>IF(M212=Q214,L212,0)+IF(M213=Q214,L213,0)+IF(M214=Q214,L214,0)+IF(Q214=M209,L209,0)+IF(M210=Q214,L210,0)+IF(M211=Q214,L211,0)</f>
        <v>0</v>
      </c>
      <c r="T214">
        <f>IF(F217=Q214,E217,0)+IF(F218=Q214,E218,0)+IF(F219=Q214,E219,0)+IF(Q214=F220,E220,0)+IF(F221=Q214,E221,0)+IF(F222=Q214,E222,0)</f>
        <v>0</v>
      </c>
      <c r="U214">
        <f>IF(M217=Q214,L217,0)+IF(M218=Q214,L218,0)+IF(M219=Q214,L219,0)+IF(Q214=M220,L220,0)+IF(M221=Q214,L221,0)+IF(M222=Q214,L222,0)</f>
        <v>0</v>
      </c>
      <c r="V214">
        <f>IF(F225=Q214,E225,0)+IF(F226=Q214,E226,0)+IF(F227=Q214,E227,0)+IF(Q214=F228,E228,0)+IF(F229=Q214,E229,0)+IF(F230=Q214,E230,0)</f>
        <v>0</v>
      </c>
      <c r="W214" s="63">
        <f t="shared" si="34"/>
        <v>0</v>
      </c>
      <c r="AA214" t="s">
        <v>166</v>
      </c>
      <c r="AB214" t="s">
        <v>220</v>
      </c>
      <c r="AC214" s="14" t="e">
        <f>W228</f>
        <v>#N/A</v>
      </c>
    </row>
    <row r="215" spans="1:29" ht="15.75" hidden="1" outlineLevel="1" thickBot="1" x14ac:dyDescent="0.3">
      <c r="A215" s="70" t="s">
        <v>109</v>
      </c>
      <c r="B215" s="97"/>
      <c r="C215" s="97"/>
      <c r="D215" s="71"/>
      <c r="E215" s="104"/>
      <c r="F215" s="38"/>
      <c r="H215" s="70" t="s">
        <v>109</v>
      </c>
      <c r="I215" s="97"/>
      <c r="J215" s="97"/>
      <c r="K215" s="71"/>
      <c r="L215" s="104"/>
      <c r="M215" s="38"/>
      <c r="Q215" s="10" t="s">
        <v>500</v>
      </c>
      <c r="R215">
        <f>IF(F211=Q215,E211,0)+IF(F212=Q215,E212,0)+IF(F213=Q215,E213,0)+IF(Q215=F214,E214,0)+IF(F209=Q215,E209,0)+IF(F210=Q215,E210,0)</f>
        <v>0</v>
      </c>
      <c r="S215">
        <f>IF(M212=Q215,L212,0)+IF(M213=Q215,L213,0)+IF(M214=Q215,L214,0)+IF(Q215=M209,L209,0)+IF(M210=Q215,L210,0)+IF(M211=Q215,L211,0)</f>
        <v>0</v>
      </c>
      <c r="T215">
        <f>IF(F217=Q215,E217,0)+IF(F218=Q215,E218,0)+IF(F219=Q215,E219,0)+IF(Q215=F220,E220,0)+IF(F221=Q215,E221,0)+IF(F222=Q215,E222,0)</f>
        <v>0</v>
      </c>
      <c r="U215">
        <f>IF(M217=Q215,L217,0)+IF(M218=Q215,L218,0)+IF(M219=Q215,L219,0)+IF(Q215=M220,L220,0)+IF(M221=Q215,L221,0)+IF(M222=Q215,L222,0)</f>
        <v>0</v>
      </c>
      <c r="V215">
        <f>IF(F225=Q215,E225,0)+IF(F226=Q215,E226,0)+IF(F227=Q215,E227,0)+IF(Q215=F228,E228,0)+IF(F229=Q215,E229,0)+IF(F230=Q215,E230,0)</f>
        <v>0</v>
      </c>
      <c r="W215" s="63">
        <f t="shared" si="34"/>
        <v>0</v>
      </c>
      <c r="AA215" t="s">
        <v>222</v>
      </c>
      <c r="AB215" t="s">
        <v>220</v>
      </c>
      <c r="AC215" s="14" t="e">
        <f>W229</f>
        <v>#N/A</v>
      </c>
    </row>
    <row r="216" spans="1:29" ht="15.75" hidden="1" outlineLevel="1" thickBot="1" x14ac:dyDescent="0.3">
      <c r="A216" s="64" t="str">
        <f>A183</f>
        <v>Ne pas saisir</v>
      </c>
      <c r="B216" s="65" t="e">
        <f>B208</f>
        <v>#N/A</v>
      </c>
      <c r="C216" s="65" t="str">
        <f>C208</f>
        <v>Férié</v>
      </c>
      <c r="D216" s="66" t="e">
        <f>D208</f>
        <v>#N/A</v>
      </c>
      <c r="E216" s="66" t="e">
        <f>E208</f>
        <v>#N/A</v>
      </c>
      <c r="F216" s="67" t="str">
        <f>F208</f>
        <v>Type absence</v>
      </c>
      <c r="H216" s="64" t="str">
        <f>H183</f>
        <v>Ne pas saisir</v>
      </c>
      <c r="I216" s="65" t="e">
        <f>B208</f>
        <v>#N/A</v>
      </c>
      <c r="J216" s="65" t="str">
        <f>C208</f>
        <v>Férié</v>
      </c>
      <c r="K216" s="66" t="e">
        <f>D208</f>
        <v>#N/A</v>
      </c>
      <c r="L216" s="66" t="e">
        <f>E208</f>
        <v>#N/A</v>
      </c>
      <c r="M216" s="67" t="str">
        <f>F208</f>
        <v>Type absence</v>
      </c>
      <c r="Q216" s="10" t="s">
        <v>148</v>
      </c>
      <c r="R216">
        <f>IF(F212=Q216,E212,0)+IF(F213=Q216,E213,0)+IF(F214=Q216,E214,0)+IF(Q216=F209,E209,0)+IF(F210=Q216,E210,0)+IF(F211=Q216,E211,0)</f>
        <v>0</v>
      </c>
      <c r="S216">
        <f>IF(M212=Q216,L212,0)+IF(M213=Q216,L213,0)+IF(M214=Q216,L214,0)+IF(Q216=M209,L209,0)+IF(M210=Q216,L210,0)+IF(M211=Q216,L211,0)</f>
        <v>0</v>
      </c>
      <c r="T216">
        <f>IF(F217=Q216,E217,0)+IF(F218=Q216,E218,0)+IF(F219=Q216,E219,0)+IF(Q216=F220,E220,0)+IF(F221=Q216,E221,0)+IF(F222=Q216,E222,0)</f>
        <v>0</v>
      </c>
      <c r="U216">
        <f>IF(M217=Q216,L217,0)+IF(M218=Q216,L218,0)+IF(M219=Q216,L219,0)+IF(Q216=M220,L220,0)+IF(M221=Q216,L221,0)+IF(M222=Q216,L222,0)</f>
        <v>0</v>
      </c>
      <c r="V216">
        <f>IF(F225=Q216,E225,0)+IF(F226=Q216,E226,0)+IF(F227=Q216,E227,0)+IF(Q216=F228,E228,0)+IF(F229=Q216,E229,0)+IF(F230=Q216,E230,0)</f>
        <v>0</v>
      </c>
      <c r="W216" s="63">
        <f t="shared" si="34"/>
        <v>0</v>
      </c>
      <c r="AA216" t="s">
        <v>223</v>
      </c>
      <c r="AB216" t="s">
        <v>224</v>
      </c>
      <c r="AC216" s="14" t="e">
        <f>W227</f>
        <v>#N/A</v>
      </c>
    </row>
    <row r="217" spans="1:29" hidden="1" outlineLevel="1" x14ac:dyDescent="0.25">
      <c r="A217" s="69" t="s">
        <v>103</v>
      </c>
      <c r="B217" s="95"/>
      <c r="C217" s="95"/>
      <c r="D217" s="106"/>
      <c r="E217" s="105"/>
      <c r="F217" s="101"/>
      <c r="H217" s="69" t="s">
        <v>103</v>
      </c>
      <c r="I217" s="95"/>
      <c r="J217" s="95"/>
      <c r="K217" s="106"/>
      <c r="L217" s="105"/>
      <c r="M217" s="101"/>
      <c r="Q217" s="10" t="s">
        <v>150</v>
      </c>
      <c r="R217">
        <f>IF(F213=Q217,E213,0)+IF(F214=Q217,E214,0)+IF(F209=Q217,E209,0)+IF(Q217=F210,E210,0)+IF(F211=Q217,E211,0)+IF(F212=Q217,E212,0)</f>
        <v>0</v>
      </c>
      <c r="S217">
        <f>IF(M212=Q217,L212,0)+IF(M213=Q217,L213,0)+IF(M214=Q217,L214,0)+IF(Q217=M209,L209,0)+IF(M210=Q217,L210,0)+IF(M211=Q217,L211,0)</f>
        <v>0</v>
      </c>
      <c r="T217">
        <f>IF(F217=Q217,E217,0)+IF(F218=Q217,E218,0)+IF(F219=Q217,E219,0)+IF(Q217=F220,E220,0)+IF(F221=Q217,E221,0)+IF(F222=Q217,E222,0)</f>
        <v>0</v>
      </c>
      <c r="U217">
        <f>IF(M217=Q217,L217,0)+IF(M218=Q217,L218,0)+IF(M219=Q217,L219,0)+IF(Q217=M220,L220,0)+IF(M221=Q217,L221,0)+IF(M222=Q217,L222,0)</f>
        <v>0</v>
      </c>
      <c r="V217">
        <f>IF(F225=Q217,E225,0)+IF(F226=Q217,E226,0)+IF(F227=Q217,E227,0)+IF(Q217=F228,E228,0)+IF(F229=Q217,E229,0)+IF(F230=Q217,E230,0)</f>
        <v>0</v>
      </c>
      <c r="W217" s="63">
        <f t="shared" si="34"/>
        <v>0</v>
      </c>
      <c r="AB217" t="s">
        <v>267</v>
      </c>
      <c r="AC217">
        <f>(SUM(B209:B215))</f>
        <v>0</v>
      </c>
    </row>
    <row r="218" spans="1:29" hidden="1" outlineLevel="1" x14ac:dyDescent="0.25">
      <c r="A218" s="69" t="s">
        <v>104</v>
      </c>
      <c r="B218" s="96"/>
      <c r="C218" s="96"/>
      <c r="D218" s="102"/>
      <c r="E218" s="103"/>
      <c r="F218" s="38"/>
      <c r="H218" s="69" t="s">
        <v>104</v>
      </c>
      <c r="I218" s="96"/>
      <c r="J218" s="96"/>
      <c r="K218" s="102"/>
      <c r="L218" s="103"/>
      <c r="M218" s="38"/>
      <c r="Q218" s="10" t="s">
        <v>502</v>
      </c>
      <c r="R218">
        <f>IF(F214=Q218,E214,0)+IF(F209=Q218,E209,0)+IF(F210=Q218,E210,0)+IF(Q218=F211,E211,0)+IF(F212=Q218,E212,0)+IF(F213=Q218,E213,0)</f>
        <v>0</v>
      </c>
      <c r="S218">
        <f>IF(M212=Q218,L212,0)+IF(M213=Q218,L213,0)+IF(M214=Q218,L214,0)+IF(Q218=M209,L209,0)+IF(M210=Q218,L210,0)+IF(M211=Q218,L211,0)</f>
        <v>0</v>
      </c>
      <c r="T218">
        <f>IF(F217=Q218,E217,0)+IF(F218=Q218,E218,0)+IF(F219=Q218,E219,0)+IF(Q218=F220,E220,0)+IF(F221=Q218,E221,0)+IF(F222=Q218,E222,0)</f>
        <v>0</v>
      </c>
      <c r="U218">
        <f>IF(M217=Q218,L217,0)+IF(M218=Q218,L218,0)+IF(M219=Q218,L219,0)+IF(Q218=M220,L220,0)+IF(M221=Q218,L221,0)+IF(M222=Q218,L222,0)</f>
        <v>0</v>
      </c>
      <c r="V218">
        <f>IF(F225=Q218,E225,0)+IF(F226=Q218,E226,0)+IF(F227=Q218,E227,0)+IF(Q218=F228,E228,0)+IF(F229=Q218,E229,0)+IF(F230=Q218,E230,0)</f>
        <v>0</v>
      </c>
      <c r="W218" s="63">
        <f t="shared" si="34"/>
        <v>0</v>
      </c>
      <c r="AB218" t="s">
        <v>268</v>
      </c>
      <c r="AC218">
        <f>(SUM(I209:I215))</f>
        <v>0</v>
      </c>
    </row>
    <row r="219" spans="1:29" hidden="1" outlineLevel="1" x14ac:dyDescent="0.25">
      <c r="A219" s="69" t="s">
        <v>105</v>
      </c>
      <c r="B219" s="96"/>
      <c r="C219" s="96"/>
      <c r="D219" s="102"/>
      <c r="E219" s="103"/>
      <c r="F219" s="38"/>
      <c r="H219" s="69" t="s">
        <v>105</v>
      </c>
      <c r="I219" s="96"/>
      <c r="J219" s="96"/>
      <c r="K219" s="102"/>
      <c r="L219" s="103"/>
      <c r="M219" s="38"/>
      <c r="Q219" s="10" t="s">
        <v>498</v>
      </c>
      <c r="R219">
        <f>IF(F209=Q219,E209,0)+IF(F210=Q219,E210,0)+IF(F211=Q219,E211,0)+IF(Q219=F212,E212,0)+IF(F213=Q219,E213,0)+IF(F214=Q219,E214,0)</f>
        <v>0</v>
      </c>
      <c r="S219">
        <f>IF(M212=Q219,L212,0)+IF(M213=Q219,L213,0)+IF(M214=Q219,L214,0)+IF(Q219=M209,L209,0)+IF(M210=Q219,L210,0)+IF(M211=Q219,L211,0)</f>
        <v>0</v>
      </c>
      <c r="T219">
        <f>IF(F217=Q219,E217,0)+IF(F218=Q219,E218,0)+IF(F219=Q219,E219,0)+IF(Q219=F220,E220,0)+IF(F221=Q219,E221,0)+IF(F222=Q219,E222,0)</f>
        <v>0</v>
      </c>
      <c r="U219">
        <f>IF(M217=Q219,L217,0)+IF(M218=Q219,L218,0)+IF(M219=Q219,L219,0)+IF(Q219=M220,L220,0)+IF(M221=Q219,L221,0)+IF(M222=Q219,L222,0)</f>
        <v>0</v>
      </c>
      <c r="V219">
        <f>IF(F225=Q219,E225,0)+IF(F226=Q219,E226,0)+IF(F227=Q219,E227,0)+IF(Q219=F228,E228,0)+IF(F229=Q219,E229,0)+IF(F230=Q219,E230,0)</f>
        <v>0</v>
      </c>
      <c r="W219" s="63">
        <f t="shared" si="34"/>
        <v>0</v>
      </c>
      <c r="AB219" t="s">
        <v>269</v>
      </c>
      <c r="AC219">
        <f>(SUM(B217:B223))</f>
        <v>0</v>
      </c>
    </row>
    <row r="220" spans="1:29" hidden="1" outlineLevel="1" x14ac:dyDescent="0.25">
      <c r="A220" s="69" t="s">
        <v>106</v>
      </c>
      <c r="B220" s="96"/>
      <c r="C220" s="96"/>
      <c r="D220" s="102"/>
      <c r="E220" s="103"/>
      <c r="F220" s="38"/>
      <c r="H220" s="69" t="s">
        <v>106</v>
      </c>
      <c r="I220" s="96"/>
      <c r="J220" s="96"/>
      <c r="K220" s="102"/>
      <c r="L220" s="103"/>
      <c r="M220" s="38"/>
      <c r="P220" s="72"/>
      <c r="Q220" s="73" t="s">
        <v>501</v>
      </c>
      <c r="R220" s="72">
        <f>IF(F210=Q220,E210,0)+IF(F211=Q220,E211,0)+IF(F212=Q220,E212,0)+IF(Q220=F213,E213,0)+IF(F214=Q220,E214,0)+IF(F209=Q220,E209,0)</f>
        <v>0</v>
      </c>
      <c r="S220" s="72">
        <f>IF(M212=Q220,L212,0)+IF(M213=Q220,L213,0)+IF(M214=Q220,L214,0)+IF(Q220=M209,L209,0)+IF(M210=Q220,L210,0)+IF(M211=Q220,L211,0)</f>
        <v>0</v>
      </c>
      <c r="T220" s="72">
        <f>IF(F217=Q220,E217,0)+IF(F218=Q220,E218,0)+IF(F219=Q220,E219,0)+IF(Q220=F220,E220,0)+IF(F221=Q220,E221,0)+IF(F222=Q220,E222,0)</f>
        <v>0</v>
      </c>
      <c r="U220" s="72">
        <f>IF(M217=Q220,L217,0)+IF(M218=Q220,L218,0)+IF(M219=Q220,L219,0)+IF(Q220=M220,L220,0)+IF(M221=Q220,L221,0)+IF(M222=Q220,L222,0)</f>
        <v>0</v>
      </c>
      <c r="V220" s="72">
        <f>IF(F225=Q220,E225,0)+IF(F226=Q220,E226,0)+IF(F227=Q220,E227,0)+IF(Q220=F228,E228,0)+IF(F229=Q220,E229,0)+IF(F230=Q220,E230,0)</f>
        <v>0</v>
      </c>
      <c r="W220" s="74">
        <f t="shared" si="34"/>
        <v>0</v>
      </c>
      <c r="AB220" t="s">
        <v>270</v>
      </c>
      <c r="AC220">
        <f>(SUM(I217:I223))</f>
        <v>0</v>
      </c>
    </row>
    <row r="221" spans="1:29" hidden="1" outlineLevel="1" x14ac:dyDescent="0.25">
      <c r="A221" s="69" t="s">
        <v>107</v>
      </c>
      <c r="B221" s="96"/>
      <c r="C221" s="96"/>
      <c r="D221" s="102"/>
      <c r="E221" s="103"/>
      <c r="F221" s="38"/>
      <c r="H221" s="69" t="s">
        <v>107</v>
      </c>
      <c r="I221" s="96"/>
      <c r="J221" s="96"/>
      <c r="K221" s="102"/>
      <c r="L221" s="103"/>
      <c r="M221" s="38"/>
      <c r="Q221" s="75" t="s">
        <v>169</v>
      </c>
      <c r="R221" s="2" t="e">
        <f>IF(M206="Règlement HC",K206*10%,0)</f>
        <v>#N/A</v>
      </c>
      <c r="S221" s="2" t="e">
        <f>IF(M206="Règlement HC",K206*10%,0)</f>
        <v>#N/A</v>
      </c>
      <c r="T221" s="2" t="e">
        <f>IF(M206="Règlement HC",K206*10%,0)</f>
        <v>#N/A</v>
      </c>
      <c r="U221" s="2" t="e">
        <f>IF(M206="Règlement HC",K206*10%,0)</f>
        <v>#N/A</v>
      </c>
      <c r="V221" s="2" t="e">
        <f>IF(M206="Règlement HC",K206*10%,0)</f>
        <v>#N/A</v>
      </c>
      <c r="W221" s="76"/>
      <c r="AB221" t="s">
        <v>271</v>
      </c>
      <c r="AC221">
        <f>(SUM(B225:B231))</f>
        <v>0</v>
      </c>
    </row>
    <row r="222" spans="1:29" hidden="1" outlineLevel="1" x14ac:dyDescent="0.25">
      <c r="A222" s="69" t="s">
        <v>108</v>
      </c>
      <c r="B222" s="96"/>
      <c r="C222" s="96"/>
      <c r="D222" s="102"/>
      <c r="E222" s="103"/>
      <c r="F222" s="38"/>
      <c r="H222" s="69" t="s">
        <v>108</v>
      </c>
      <c r="I222" s="96"/>
      <c r="J222" s="96"/>
      <c r="K222" s="102"/>
      <c r="L222" s="103"/>
      <c r="M222" s="38"/>
      <c r="Q222" s="75" t="s">
        <v>175</v>
      </c>
      <c r="R222" s="2" t="e">
        <f>IF(M206="Règlement HC",SUM(B209:B215)-K206,0)</f>
        <v>#N/A</v>
      </c>
      <c r="S222" s="2" t="e">
        <f>IF(M206="Règlement HC",SUM(I209:I215)-K206,0)</f>
        <v>#N/A</v>
      </c>
      <c r="T222" s="2" t="e">
        <f>IF(M206="Règlement HC",SUM(B217:B223)-K206,0)</f>
        <v>#N/A</v>
      </c>
      <c r="U222" s="2" t="e">
        <f>IF(M206="Règlement HC",SUM(I217:I223)-K206,0)</f>
        <v>#N/A</v>
      </c>
      <c r="V222" s="2" t="e">
        <f>IF(M206="Règlement HC",SUM(B225:B231)-K206,0)</f>
        <v>#N/A</v>
      </c>
      <c r="W222" s="63" t="e">
        <f>SUM((IF(R222&gt;0,R222,0)+(IF(S222&gt;0,S222,0)+(IF(T222&gt;0,T222,0)+(IF(U222&gt;0,U222,0)+(IF(V222&gt;0,V222,0)))))))</f>
        <v>#N/A</v>
      </c>
      <c r="AA222" t="s">
        <v>313</v>
      </c>
      <c r="AB222" t="s">
        <v>314</v>
      </c>
      <c r="AC222" t="e">
        <f>W226</f>
        <v>#N/A</v>
      </c>
    </row>
    <row r="223" spans="1:29" ht="15.75" hidden="1" outlineLevel="1" thickBot="1" x14ac:dyDescent="0.3">
      <c r="A223" s="70" t="s">
        <v>109</v>
      </c>
      <c r="B223" s="97"/>
      <c r="C223" s="97"/>
      <c r="D223" s="71"/>
      <c r="E223" s="104"/>
      <c r="F223" s="38"/>
      <c r="H223" s="70" t="s">
        <v>109</v>
      </c>
      <c r="I223" s="97"/>
      <c r="J223" s="97"/>
      <c r="K223" s="71"/>
      <c r="L223" s="104"/>
      <c r="M223" s="39"/>
      <c r="P223" t="s">
        <v>170</v>
      </c>
      <c r="Q223" s="10" t="s">
        <v>162</v>
      </c>
      <c r="R223" t="e">
        <f>IF(R222&gt;=R221,R221,R222)</f>
        <v>#N/A</v>
      </c>
      <c r="S223" t="e">
        <f>IF(S222&gt;=S221,S221,S222)</f>
        <v>#N/A</v>
      </c>
      <c r="T223" t="e">
        <f>IF(T222&gt;=T221,T221,T222)</f>
        <v>#N/A</v>
      </c>
      <c r="U223" t="e">
        <f>IF(U222&gt;=U221,U221,U222)</f>
        <v>#N/A</v>
      </c>
      <c r="V223" t="e">
        <f>IF(V222&gt;=V221,V221,V222)</f>
        <v>#N/A</v>
      </c>
      <c r="W223" s="63" t="e">
        <f>SUM((IF(R223&gt;0,R223,0)+(IF(S223&gt;0,S223,0)+(IF(T223&gt;0,T223,0)+(IF(U223&gt;0,U223,0)+(IF(V223&gt;0,V223,0)))))))</f>
        <v>#N/A</v>
      </c>
    </row>
    <row r="224" spans="1:29" ht="15.75" hidden="1" outlineLevel="1" thickBot="1" x14ac:dyDescent="0.3">
      <c r="A224" s="64" t="str">
        <f>A191</f>
        <v>Ne pas saisir</v>
      </c>
      <c r="B224" s="65" t="e">
        <f>B208</f>
        <v>#N/A</v>
      </c>
      <c r="C224" s="65" t="str">
        <f>C208</f>
        <v>Férié</v>
      </c>
      <c r="D224" s="66" t="e">
        <f>D208</f>
        <v>#N/A</v>
      </c>
      <c r="E224" s="66" t="e">
        <f>E208</f>
        <v>#N/A</v>
      </c>
      <c r="F224" s="67" t="str">
        <f>F208</f>
        <v>Type absence</v>
      </c>
      <c r="H224" s="77" t="s">
        <v>136</v>
      </c>
      <c r="I224" s="78" t="e">
        <f>B208</f>
        <v>#N/A</v>
      </c>
      <c r="J224" s="78" t="str">
        <f>C208</f>
        <v>Férié</v>
      </c>
      <c r="K224" s="79" t="e">
        <f>D208</f>
        <v>#N/A</v>
      </c>
      <c r="L224" s="80" t="e">
        <f>E208</f>
        <v>#N/A</v>
      </c>
      <c r="M224" s="49"/>
      <c r="P224" t="s">
        <v>170</v>
      </c>
      <c r="Q224" s="10" t="s">
        <v>163</v>
      </c>
      <c r="R224" t="e">
        <f>R222-R223</f>
        <v>#N/A</v>
      </c>
      <c r="S224" t="e">
        <f>S222-S223</f>
        <v>#N/A</v>
      </c>
      <c r="T224" t="e">
        <f>T222-T223</f>
        <v>#N/A</v>
      </c>
      <c r="U224" t="e">
        <f>U222-U223</f>
        <v>#N/A</v>
      </c>
      <c r="V224" t="e">
        <f>V222-V223</f>
        <v>#N/A</v>
      </c>
      <c r="W224" s="63" t="e">
        <f t="shared" ref="W224:W229" si="35">SUM(R224:V224)</f>
        <v>#N/A</v>
      </c>
    </row>
    <row r="225" spans="1:29" hidden="1" outlineLevel="1" x14ac:dyDescent="0.25">
      <c r="A225" s="69" t="s">
        <v>103</v>
      </c>
      <c r="B225" s="95"/>
      <c r="C225" s="95"/>
      <c r="D225" s="106"/>
      <c r="E225" s="105"/>
      <c r="F225" s="101"/>
      <c r="H225" s="81" t="s">
        <v>103</v>
      </c>
      <c r="I225" s="82">
        <f t="shared" ref="I225:I230" si="36">B209+I209+B217+I217+B225</f>
        <v>0</v>
      </c>
      <c r="J225" s="82">
        <f t="shared" ref="J225:J230" si="37">C209+J209+C217+J217+C225</f>
        <v>0</v>
      </c>
      <c r="K225" s="83">
        <f t="shared" ref="K225:K230" si="38">D209+K209+D217+K217+D225</f>
        <v>0</v>
      </c>
      <c r="L225" s="84">
        <f t="shared" ref="L225:L230" si="39">E209+L209+E217+L217+E225</f>
        <v>0</v>
      </c>
      <c r="M225" s="303" t="s">
        <v>177</v>
      </c>
      <c r="N225" s="304"/>
      <c r="O225" s="304"/>
      <c r="Q225" s="10" t="s">
        <v>164</v>
      </c>
      <c r="R225" t="e">
        <f>IF(AND(K206="non",(SUM(B209:B215)&gt;U205)),SUM(B209:B215)-U205,0)</f>
        <v>#N/A</v>
      </c>
      <c r="S225" t="e">
        <f>IF(AND(K206="non",(SUM(I209:I215)&gt;U205)),SUM(I209:I215)-U205,0)</f>
        <v>#N/A</v>
      </c>
      <c r="T225" t="e">
        <f>IF(AND(K206="non",(SUM(B217:B223)&gt;U205)),SUM(B217:B223)-U205,0)</f>
        <v>#N/A</v>
      </c>
      <c r="U225" t="e">
        <f>IF(AND(K206="non",(SUM(I217:I223)&gt;U205)),SUM(I217:I223)-U205,0)</f>
        <v>#N/A</v>
      </c>
      <c r="V225" t="e">
        <f>IF(AND(K206="non",(SUM(B225:B231)&gt;U205)),SUM(B225:B231)-U205,0)</f>
        <v>#N/A</v>
      </c>
      <c r="W225" s="63" t="e">
        <f t="shared" si="35"/>
        <v>#N/A</v>
      </c>
    </row>
    <row r="226" spans="1:29" hidden="1" outlineLevel="1" x14ac:dyDescent="0.25">
      <c r="A226" s="69" t="s">
        <v>104</v>
      </c>
      <c r="B226" s="96"/>
      <c r="C226" s="96"/>
      <c r="D226" s="102"/>
      <c r="E226" s="103"/>
      <c r="F226" s="38"/>
      <c r="H226" s="81" t="s">
        <v>104</v>
      </c>
      <c r="I226" s="88">
        <f t="shared" si="36"/>
        <v>0</v>
      </c>
      <c r="J226" s="88">
        <f t="shared" si="37"/>
        <v>0</v>
      </c>
      <c r="K226" s="89">
        <f t="shared" si="38"/>
        <v>0</v>
      </c>
      <c r="L226" s="90">
        <f t="shared" si="39"/>
        <v>0</v>
      </c>
      <c r="M226" s="49"/>
      <c r="P226" t="s">
        <v>167</v>
      </c>
      <c r="Q226" s="10" t="s">
        <v>165</v>
      </c>
      <c r="R226" t="e">
        <f>IF(H207="Cadre",0,SUM(C209:C215))</f>
        <v>#N/A</v>
      </c>
      <c r="S226" t="e">
        <f>IF(H207="Cadre",0,SUM(J209:J215))</f>
        <v>#N/A</v>
      </c>
      <c r="T226" t="e">
        <f>IF(H207="Cadre",0,SUM(C217:C223))</f>
        <v>#N/A</v>
      </c>
      <c r="U226" t="e">
        <f>IF(H207="Cadre",0,SUM(J217:J223))</f>
        <v>#N/A</v>
      </c>
      <c r="V226" t="e">
        <f>IF(H207="Cadre",0,SUM(C225:C231))</f>
        <v>#N/A</v>
      </c>
      <c r="W226" s="63" t="e">
        <f t="shared" si="35"/>
        <v>#N/A</v>
      </c>
    </row>
    <row r="227" spans="1:29" hidden="1" outlineLevel="1" x14ac:dyDescent="0.25">
      <c r="A227" s="69" t="s">
        <v>105</v>
      </c>
      <c r="B227" s="96"/>
      <c r="C227" s="96"/>
      <c r="D227" s="102"/>
      <c r="E227" s="103"/>
      <c r="F227" s="38"/>
      <c r="H227" s="81" t="s">
        <v>105</v>
      </c>
      <c r="I227" s="88">
        <f t="shared" si="36"/>
        <v>0</v>
      </c>
      <c r="J227" s="88">
        <f t="shared" si="37"/>
        <v>0</v>
      </c>
      <c r="K227" s="89">
        <f t="shared" si="38"/>
        <v>0</v>
      </c>
      <c r="L227" s="90">
        <f t="shared" si="39"/>
        <v>0</v>
      </c>
      <c r="M227" s="49"/>
      <c r="P227" t="s">
        <v>168</v>
      </c>
      <c r="Q227" s="10" t="s">
        <v>165</v>
      </c>
      <c r="R227" t="e">
        <f>IF(H207="Cadre",((SUM(C209:C215)/2)*5),0)</f>
        <v>#N/A</v>
      </c>
      <c r="S227" t="e">
        <f>IF(H207="Cadre",(SUM(J209:J215)/2*5),0)</f>
        <v>#N/A</v>
      </c>
      <c r="T227" t="e">
        <f>IF(H207="Cadre",(SUM(C217:C223)/2*5),0)</f>
        <v>#N/A</v>
      </c>
      <c r="U227" t="e">
        <f>IF(H207="Cadre",(SUM(J217:J223)/2*5),0)</f>
        <v>#N/A</v>
      </c>
      <c r="V227" t="e">
        <f>IF(H207="Cadre",(SUM(C225:C231)/2*5),0)</f>
        <v>#N/A</v>
      </c>
      <c r="W227" s="63" t="e">
        <f t="shared" si="35"/>
        <v>#N/A</v>
      </c>
    </row>
    <row r="228" spans="1:29" hidden="1" outlineLevel="1" x14ac:dyDescent="0.25">
      <c r="A228" s="69" t="s">
        <v>106</v>
      </c>
      <c r="B228" s="96"/>
      <c r="C228" s="96"/>
      <c r="D228" s="102"/>
      <c r="E228" s="103"/>
      <c r="F228" s="38"/>
      <c r="H228" s="81" t="s">
        <v>106</v>
      </c>
      <c r="I228" s="88">
        <f t="shared" si="36"/>
        <v>0</v>
      </c>
      <c r="J228" s="88">
        <f t="shared" si="37"/>
        <v>0</v>
      </c>
      <c r="K228" s="89">
        <f t="shared" si="38"/>
        <v>0</v>
      </c>
      <c r="L228" s="90">
        <f t="shared" si="39"/>
        <v>0</v>
      </c>
      <c r="M228" s="49"/>
      <c r="P228" t="s">
        <v>166</v>
      </c>
      <c r="Q228" s="10" t="s">
        <v>159</v>
      </c>
      <c r="R228" t="e">
        <f>IF(H207="Employé",B215,0)</f>
        <v>#N/A</v>
      </c>
      <c r="S228" t="e">
        <f>IF(H207="Employé",I215,0)</f>
        <v>#N/A</v>
      </c>
      <c r="T228" t="e">
        <f>IF(H207="Employé",B223,0)</f>
        <v>#N/A</v>
      </c>
      <c r="U228" t="e">
        <f>IF(H207="Employé",I223,0)</f>
        <v>#N/A</v>
      </c>
      <c r="V228" t="e">
        <f>IF(H207="Employé",B231,0)</f>
        <v>#N/A</v>
      </c>
      <c r="W228" s="63" t="e">
        <f t="shared" si="35"/>
        <v>#N/A</v>
      </c>
    </row>
    <row r="229" spans="1:29" hidden="1" outlineLevel="1" x14ac:dyDescent="0.25">
      <c r="A229" s="69" t="s">
        <v>107</v>
      </c>
      <c r="B229" s="96"/>
      <c r="C229" s="96"/>
      <c r="D229" s="102"/>
      <c r="E229" s="103"/>
      <c r="F229" s="38"/>
      <c r="H229" s="81" t="s">
        <v>107</v>
      </c>
      <c r="I229" s="88">
        <f t="shared" si="36"/>
        <v>0</v>
      </c>
      <c r="J229" s="88">
        <f t="shared" si="37"/>
        <v>0</v>
      </c>
      <c r="K229" s="89">
        <f t="shared" si="38"/>
        <v>0</v>
      </c>
      <c r="L229" s="90">
        <f t="shared" si="39"/>
        <v>0</v>
      </c>
      <c r="M229" s="303" t="s">
        <v>178</v>
      </c>
      <c r="N229" s="304"/>
      <c r="O229" s="304"/>
      <c r="P229" t="s">
        <v>297</v>
      </c>
      <c r="Q229" s="10" t="s">
        <v>159</v>
      </c>
      <c r="R229" t="e">
        <f>IF(H207="Cadre",IF(B215=2,5,0),0)</f>
        <v>#N/A</v>
      </c>
      <c r="S229" t="e">
        <f>IF(H207="Cadre",IF(I215=2,5,0),0)</f>
        <v>#N/A</v>
      </c>
      <c r="T229" t="e">
        <f>IF(H207="Cadre",IF(B223=2,5,0),0)</f>
        <v>#N/A</v>
      </c>
      <c r="U229" t="e">
        <f>IF(H207="Cadre",IF(I223=2,5,0),0)</f>
        <v>#N/A</v>
      </c>
      <c r="V229" t="e">
        <f>IF(H207="Cadre",IF(B231=2,5,0),0)</f>
        <v>#N/A</v>
      </c>
      <c r="W229" s="63" t="e">
        <f t="shared" si="35"/>
        <v>#N/A</v>
      </c>
    </row>
    <row r="230" spans="1:29" hidden="1" outlineLevel="1" x14ac:dyDescent="0.25">
      <c r="A230" s="69" t="s">
        <v>108</v>
      </c>
      <c r="B230" s="96"/>
      <c r="C230" s="96"/>
      <c r="D230" s="102"/>
      <c r="E230" s="103"/>
      <c r="F230" s="38"/>
      <c r="H230" s="81" t="s">
        <v>108</v>
      </c>
      <c r="I230" s="88">
        <f t="shared" si="36"/>
        <v>0</v>
      </c>
      <c r="J230" s="88">
        <f t="shared" si="37"/>
        <v>0</v>
      </c>
      <c r="K230" s="89">
        <f t="shared" si="38"/>
        <v>0</v>
      </c>
      <c r="L230" s="90">
        <f t="shared" si="39"/>
        <v>0</v>
      </c>
      <c r="M230" s="49"/>
      <c r="P230" t="s">
        <v>171</v>
      </c>
      <c r="Q230" s="10" t="s">
        <v>172</v>
      </c>
      <c r="R230" s="2"/>
      <c r="S230" s="2"/>
      <c r="T230" s="2"/>
      <c r="U230" s="2"/>
      <c r="V230" s="2"/>
      <c r="W230" s="91" t="e">
        <f>IF(AND(K206="non",H207="Employé"),SUM(I225:I231)+(SUM(W207:W220)-W203),(SUM(I225:I231)-W222)+(SUM(W207:W220)-W203))</f>
        <v>#N/A</v>
      </c>
    </row>
    <row r="231" spans="1:29" ht="15.75" hidden="1" outlineLevel="1" thickBot="1" x14ac:dyDescent="0.3">
      <c r="A231" s="70" t="s">
        <v>109</v>
      </c>
      <c r="B231" s="97"/>
      <c r="C231" s="97"/>
      <c r="D231" s="71"/>
      <c r="E231" s="104"/>
      <c r="F231" s="39"/>
      <c r="H231" s="92" t="s">
        <v>109</v>
      </c>
      <c r="I231" s="93">
        <f>(B215+I215+B223+I223+B231)</f>
        <v>0</v>
      </c>
      <c r="J231" s="93">
        <f>(C215+J215+C223+J223+C231)</f>
        <v>0</v>
      </c>
      <c r="K231" s="71">
        <f>(D215+K215+D223+K223+D231)</f>
        <v>0</v>
      </c>
      <c r="L231" s="94">
        <f>(E215+L215+E223+L223+E231)</f>
        <v>0</v>
      </c>
      <c r="M231" s="49"/>
      <c r="P231" t="s">
        <v>176</v>
      </c>
      <c r="Q231" s="10" t="s">
        <v>172</v>
      </c>
      <c r="R231" s="2"/>
      <c r="S231" s="2"/>
      <c r="T231" s="2"/>
      <c r="U231" s="2"/>
      <c r="V231" s="2"/>
      <c r="W231" s="91" t="e">
        <f>IF(H207="Cadre",((SUM(I225:I231)+SUM(W207:W220)-W209-W210)/2),0)</f>
        <v>#N/A</v>
      </c>
    </row>
    <row r="232" spans="1:29" ht="15" customHeight="1" collapsed="1" x14ac:dyDescent="0.25">
      <c r="D232" s="302" t="s">
        <v>298</v>
      </c>
      <c r="E232" s="302"/>
      <c r="F232" s="302"/>
      <c r="G232" s="302"/>
      <c r="H232" s="302"/>
      <c r="I232" s="302"/>
      <c r="J232" s="302"/>
      <c r="K232" s="302"/>
      <c r="L232" s="42" t="s">
        <v>284</v>
      </c>
      <c r="N232" s="43"/>
      <c r="O232" s="43" t="s">
        <v>179</v>
      </c>
      <c r="P232" s="15" t="s">
        <v>157</v>
      </c>
      <c r="AA232" s="15" t="s">
        <v>157</v>
      </c>
    </row>
    <row r="233" spans="1:29" hidden="1" outlineLevel="1" x14ac:dyDescent="0.25">
      <c r="D233" s="302"/>
      <c r="E233" s="302"/>
      <c r="F233" s="302"/>
      <c r="G233" s="302"/>
      <c r="H233" s="302"/>
      <c r="I233" s="302"/>
      <c r="J233" s="302"/>
      <c r="K233" s="302"/>
      <c r="N233" s="43"/>
      <c r="O233" s="43" t="s">
        <v>180</v>
      </c>
      <c r="AC233" t="s">
        <v>201</v>
      </c>
    </row>
    <row r="234" spans="1:29" hidden="1" outlineLevel="1" x14ac:dyDescent="0.25">
      <c r="D234" s="302"/>
      <c r="E234" s="302"/>
      <c r="F234" s="302"/>
      <c r="G234" s="302"/>
      <c r="H234" s="302"/>
      <c r="I234" s="302"/>
      <c r="J234" s="302"/>
      <c r="K234" s="302"/>
      <c r="N234" s="44"/>
      <c r="O234" s="44" t="s">
        <v>181</v>
      </c>
      <c r="AA234" s="15" t="s">
        <v>200</v>
      </c>
      <c r="AC234" s="2" t="str">
        <f>I236</f>
        <v>Juin</v>
      </c>
    </row>
    <row r="235" spans="1:29" hidden="1" outlineLevel="1" x14ac:dyDescent="0.25">
      <c r="A235" s="45" t="s">
        <v>3</v>
      </c>
      <c r="B235" s="46">
        <f>'Synthèse Horaires'!$B$4</f>
        <v>2026</v>
      </c>
      <c r="C235" s="47"/>
      <c r="D235" s="48" t="s">
        <v>1</v>
      </c>
      <c r="E235" s="46">
        <f>'Synthèse Horaires'!$D$4</f>
        <v>0</v>
      </c>
      <c r="F235" s="49"/>
      <c r="G235" s="49"/>
      <c r="H235" s="48" t="s">
        <v>2</v>
      </c>
      <c r="I235" s="47">
        <f>'Synthèse Horaires'!$I$4</f>
        <v>0</v>
      </c>
      <c r="J235" s="50"/>
      <c r="K235" s="50"/>
      <c r="N235" s="44"/>
      <c r="O235" s="44" t="s">
        <v>202</v>
      </c>
      <c r="V235" s="10" t="s">
        <v>174</v>
      </c>
      <c r="W235" s="51" t="e">
        <f>IF(K239="non",SUM(K258:K264)*(35/6),SUM(K258:K264)*(K239/6))</f>
        <v>#N/A</v>
      </c>
      <c r="AB235" t="s">
        <v>6</v>
      </c>
      <c r="AC235" s="14">
        <f>B239</f>
        <v>0</v>
      </c>
    </row>
    <row r="236" spans="1:29" hidden="1" outlineLevel="1" x14ac:dyDescent="0.25">
      <c r="A236" s="45" t="s">
        <v>10</v>
      </c>
      <c r="B236" s="49"/>
      <c r="C236" s="49"/>
      <c r="D236" s="50" t="str">
        <f>'Synthèse Horaires'!$C$6</f>
        <v>01 juin 2026 au 31 mai 2027.</v>
      </c>
      <c r="E236" s="2"/>
      <c r="H236" s="48" t="s">
        <v>205</v>
      </c>
      <c r="I236" s="47" t="str">
        <f>'Synthèse Horaires'!$I$5</f>
        <v>Juin</v>
      </c>
      <c r="N236" s="44"/>
      <c r="O236" s="44" t="s">
        <v>203</v>
      </c>
      <c r="V236" s="10" t="s">
        <v>173</v>
      </c>
      <c r="W236">
        <f>W242+W243</f>
        <v>0</v>
      </c>
      <c r="AB236" t="s">
        <v>57</v>
      </c>
      <c r="AC236" s="14" t="e">
        <f>B240</f>
        <v>#N/A</v>
      </c>
    </row>
    <row r="237" spans="1:29" hidden="1" outlineLevel="1" x14ac:dyDescent="0.25">
      <c r="AB237" t="s">
        <v>211</v>
      </c>
      <c r="AC237" s="14" t="e">
        <f>H240</f>
        <v>#N/A</v>
      </c>
    </row>
    <row r="238" spans="1:29" hidden="1" outlineLevel="1" x14ac:dyDescent="0.25">
      <c r="A238" s="4" t="s">
        <v>58</v>
      </c>
      <c r="B238" s="4"/>
      <c r="C238" s="4"/>
      <c r="D238" s="4"/>
      <c r="E238" s="4"/>
      <c r="F238" s="4"/>
      <c r="G238" s="4"/>
      <c r="H238" s="4"/>
      <c r="P238" s="53" t="s">
        <v>6</v>
      </c>
      <c r="Q238" s="2">
        <f>B239</f>
        <v>0</v>
      </c>
      <c r="T238" s="10" t="s">
        <v>76</v>
      </c>
      <c r="U238" s="2" t="e">
        <f>VLOOKUP(B239,'Base Matricule Siège'!$B$12:$H$1000,4,FALSE)</f>
        <v>#N/A</v>
      </c>
      <c r="AA238" t="s">
        <v>215</v>
      </c>
      <c r="AB238" t="s">
        <v>207</v>
      </c>
      <c r="AC238" s="14" t="e">
        <f>IF(AC237="Cadre",0,W263)</f>
        <v>#N/A</v>
      </c>
    </row>
    <row r="239" spans="1:29" hidden="1" outlineLevel="1" x14ac:dyDescent="0.25">
      <c r="A239" s="49" t="s">
        <v>18</v>
      </c>
      <c r="B239" s="113">
        <v>0</v>
      </c>
      <c r="E239" s="49"/>
      <c r="G239" s="57" t="s">
        <v>317</v>
      </c>
      <c r="H239" s="58" t="e">
        <f>VLOOKUP(B239,'Base Matricule Siège'!$B$13:$H$1000,7,FALSE)</f>
        <v>#N/A</v>
      </c>
      <c r="J239" s="10" t="s">
        <v>161</v>
      </c>
      <c r="K239" s="58" t="e">
        <f>IF((VLOOKUP('MASQUE COLLABORATEUR'!B239,'Base Matricule Siège'!$B$13:$E$1000,4,FALSE)&lt;'Base Matricule Siège'!$G$5),(VLOOKUP('MASQUE COLLABORATEUR'!B239,'Base Matricule Siège'!$B$13:$E$1000,4,FALSE)),"non")</f>
        <v>#N/A</v>
      </c>
      <c r="L239" s="114" t="s">
        <v>340</v>
      </c>
      <c r="M239" s="115" t="e">
        <f>IF(K239="non","0",VLOOKUP(B239,'Base Matricule Siège'!$B$13:$S$1000,18,FALSE))</f>
        <v>#N/A</v>
      </c>
      <c r="R239" t="s">
        <v>151</v>
      </c>
      <c r="S239" t="s">
        <v>152</v>
      </c>
      <c r="T239" t="s">
        <v>153</v>
      </c>
      <c r="U239" t="s">
        <v>154</v>
      </c>
      <c r="V239" t="s">
        <v>155</v>
      </c>
      <c r="W239" s="59" t="s">
        <v>156</v>
      </c>
      <c r="AB239" t="s">
        <v>11</v>
      </c>
      <c r="AC239" s="14" t="e">
        <f>W264</f>
        <v>#N/A</v>
      </c>
    </row>
    <row r="240" spans="1:29" ht="15.75" hidden="1" outlineLevel="1" thickBot="1" x14ac:dyDescent="0.3">
      <c r="A240" s="49" t="s">
        <v>59</v>
      </c>
      <c r="B240" s="2" t="e">
        <f>VLOOKUP(B239,'Base Matricule Siège'!$B$13:$C$1000,2,FALSE)</f>
        <v>#N/A</v>
      </c>
      <c r="C240" s="2"/>
      <c r="D240" s="2"/>
      <c r="G240" s="57" t="s">
        <v>158</v>
      </c>
      <c r="H240" s="58" t="e">
        <f>VLOOKUP(B239,'Base Matricule Siège'!$B$13:$G$1000,6,FALSE)</f>
        <v>#N/A</v>
      </c>
      <c r="P240" s="10" t="s">
        <v>142</v>
      </c>
      <c r="Q240" s="10" t="s">
        <v>149</v>
      </c>
      <c r="R240">
        <f>IF(F242=Q240,E242,0)+IF(F243=Q240,E243,0)+IF(F244=Q240,E244,0)+IF(Q240=F245,E245,0)+IF(F246=Q240,E246,0)+IF(F247=Q240,E247,0)</f>
        <v>0</v>
      </c>
      <c r="S240">
        <f>IF(M242=Q240,L242,0)+IF(M243=Q240,L243,0)+IF(M244=Q240,L244,0)+IF(Q240=M245,L245,0)+IF(M246=Q240,L246,0)+IF(M247=Q240,L247,0)</f>
        <v>0</v>
      </c>
      <c r="T240">
        <f>IF(F250=Q240,E250,0)+IF(F251=Q240,E251,0)+IF(F252=Q240,E252,0)+IF(Q240=F253,E253,0)+IF(F254=Q240,E254,0)+IF(F255=Q240,E255,0)</f>
        <v>0</v>
      </c>
      <c r="U240">
        <f>IF(M250=Q240,L250,0)+IF(M251=Q240,L251,0)+IF(M252=Q240,L252,0)+IF(Q240=M253,L253,0)+IF(M254=Q240,L254,0)+IF(M255=Q240,L255,0)</f>
        <v>0</v>
      </c>
      <c r="V240">
        <f>IF(F258=Q240,E258,0)+IF(F259=Q240,E259,0)+IF(F260=Q240,E260,0)+IF(Q240=F261,E261,0)+IF(F262=Q240,E262,0)+IF(F263=Q240,E263,0)</f>
        <v>0</v>
      </c>
      <c r="W240" s="63">
        <f>SUM(R240:V240)</f>
        <v>0</v>
      </c>
      <c r="AB240" t="s">
        <v>208</v>
      </c>
      <c r="AC240" s="14">
        <f>SUM(K258:K264)*2</f>
        <v>0</v>
      </c>
    </row>
    <row r="241" spans="1:29" ht="15.75" hidden="1" outlineLevel="1" thickBot="1" x14ac:dyDescent="0.3">
      <c r="A241" s="64" t="str">
        <f>A208</f>
        <v>Semaine 23</v>
      </c>
      <c r="B241" s="65" t="e">
        <f>IF(H240="Cadre","Demi J. Réalisées","H. Réalisées")</f>
        <v>#N/A</v>
      </c>
      <c r="C241" s="65" t="s">
        <v>141</v>
      </c>
      <c r="D241" s="66" t="e">
        <f>IF(H240="Cadre","CP en Demi J.","CP en jours")</f>
        <v>#N/A</v>
      </c>
      <c r="E241" s="66" t="e">
        <f>IF(H240="Cadre","Abs. En Demi J.","Absence en H.")</f>
        <v>#N/A</v>
      </c>
      <c r="F241" s="67" t="s">
        <v>110</v>
      </c>
      <c r="H241" s="64" t="str">
        <f>H208</f>
        <v>Semaine 24</v>
      </c>
      <c r="I241" s="65" t="e">
        <f>B241</f>
        <v>#N/A</v>
      </c>
      <c r="J241" s="65" t="str">
        <f>C241</f>
        <v>Férié</v>
      </c>
      <c r="K241" s="66" t="e">
        <f>D241</f>
        <v>#N/A</v>
      </c>
      <c r="L241" s="66" t="e">
        <f>E241</f>
        <v>#N/A</v>
      </c>
      <c r="M241" s="67" t="str">
        <f>F241</f>
        <v>Type absence</v>
      </c>
      <c r="Q241" s="10" t="s">
        <v>143</v>
      </c>
      <c r="R241">
        <f>IF(F242=Q241,E242,0)+IF(F243=Q241,E243,0)+IF(F244=Q241,E244,0)+IF(Q241=F245,E245,0)+IF(F247=Q241,E246,0)+IF(F246=Q241,E247,0)</f>
        <v>0</v>
      </c>
      <c r="S241">
        <f>IF(M243=Q241,L243,0)+IF(M244=Q241,L244,0)+IF(M245=Q241,L245,0)+IF(Q241=M246,L246,0)+IF(M247=Q241,L247,0)+IF(M242=Q241,L242,0)</f>
        <v>0</v>
      </c>
      <c r="T241">
        <f>IF(F250=Q241,E250,0)+IF(F251=Q241,E251,0)+IF(F252=Q241,E252,0)+IF(Q241=F253,E253,0)+IF(F254=Q241,E254,0)+IF(F255=Q241,E255,0)</f>
        <v>0</v>
      </c>
      <c r="U241">
        <f>IF(M250=Q241,L250,0)+IF(M251=Q241,L251,0)+IF(M252=Q241,L252,0)+IF(Q241=M253,L253,0)+IF(M254=Q241,L254,0)+IF(M255=Q241,L255,0)</f>
        <v>0</v>
      </c>
      <c r="V241">
        <f>IF(F258=Q241,E258,0)+IF(F259=Q241,E259,0)+IF(F260=Q241,E260,0)+IF(Q241=F261,E261,0)+IF(F262=Q241,E262,0)+IF(F263=Q241,E263,0)</f>
        <v>0</v>
      </c>
      <c r="W241" s="63">
        <f t="shared" ref="W241:W253" si="40">SUM(R241:V241)</f>
        <v>0</v>
      </c>
      <c r="AB241" t="s">
        <v>8</v>
      </c>
      <c r="AC241" s="14"/>
    </row>
    <row r="242" spans="1:29" hidden="1" outlineLevel="1" x14ac:dyDescent="0.25">
      <c r="A242" s="68" t="s">
        <v>103</v>
      </c>
      <c r="B242" s="98"/>
      <c r="C242" s="98"/>
      <c r="D242" s="99"/>
      <c r="E242" s="100"/>
      <c r="F242" s="101"/>
      <c r="H242" s="69" t="s">
        <v>103</v>
      </c>
      <c r="I242" s="95"/>
      <c r="J242" s="95"/>
      <c r="K242" s="106"/>
      <c r="L242" s="105"/>
      <c r="M242" s="101"/>
      <c r="Q242" s="10" t="s">
        <v>144</v>
      </c>
      <c r="R242">
        <f>IF(F244=Q242,E244,0)+IF(F245=Q242,E245,0)+IF(F246=Q242,E246,0)+IF(Q242=F247,E247,0)+IF(F242=Q242,E242,0)+IF(F243=Q242,E243,0)</f>
        <v>0</v>
      </c>
      <c r="S242">
        <f>IF(M244=Q242,L244,0)+IF(M245=Q242,L245,0)+IF(M246=Q242,L246,0)+IF(Q242=M247,L247,0)+IF(M242=Q242,L242,0)+IF(M243=Q242,L243,0)</f>
        <v>0</v>
      </c>
      <c r="T242">
        <f>IF(F250=Q242,E250,0)+IF(F251=Q242,E251,0)+IF(F252=Q242,E252,0)+IF(Q242=F253,E253,0)+IF(F254=Q242,E254,0)+IF(F255=Q242,E255,0)</f>
        <v>0</v>
      </c>
      <c r="U242">
        <f>IF(M250=Q242,L250,0)+IF(M251=Q242,L251,0)+IF(M252=Q242,L252,0)+IF(Q242=M253,L253,0)+IF(M254=Q242,L254,0)+IF(M255=Q242,L255,0)</f>
        <v>0</v>
      </c>
      <c r="V242">
        <f>IF(F258=Q242,E258,0)+IF(F259=Q242,E259,0)+IF(F260=Q242,E260,0)+IF(Q242=F261,E261,0)+IF(F262=Q242,E262,0)+IF(F263=Q242,E263,0)</f>
        <v>0</v>
      </c>
      <c r="W242" s="63">
        <f t="shared" si="40"/>
        <v>0</v>
      </c>
      <c r="AB242" t="s">
        <v>209</v>
      </c>
      <c r="AC242" s="14">
        <f>W242</f>
        <v>0</v>
      </c>
    </row>
    <row r="243" spans="1:29" hidden="1" outlineLevel="1" x14ac:dyDescent="0.25">
      <c r="A243" s="69" t="s">
        <v>104</v>
      </c>
      <c r="B243" s="96"/>
      <c r="C243" s="96"/>
      <c r="D243" s="102"/>
      <c r="E243" s="103"/>
      <c r="F243" s="38"/>
      <c r="H243" s="69" t="s">
        <v>104</v>
      </c>
      <c r="I243" s="96"/>
      <c r="J243" s="96"/>
      <c r="K243" s="102"/>
      <c r="L243" s="103"/>
      <c r="M243" s="38"/>
      <c r="Q243" s="10" t="s">
        <v>145</v>
      </c>
      <c r="R243">
        <f>IF(F245=Q243,E245,0)+IF(F246=Q243,E246,0)+IF(F247=Q243,E247,0)+IF(Q243=F242,E242,0)+IF(F243=Q243,E243,0)+IF(F244=Q243,E244,0)</f>
        <v>0</v>
      </c>
      <c r="S243">
        <f>IF(M245=Q243,L245,0)+IF(M246=Q243,L246,0)+IF(M247=Q243,L247,0)+IF(Q243=M242,L242,0)+IF(M243=Q243,L243,0)+IF(M244=Q243,L244,0)</f>
        <v>0</v>
      </c>
      <c r="T243">
        <f>IF(F250=Q243,$E250,0)+IF(F251=Q243,E251,0)+IF(F252=Q243,E252,0)+IF(Q243=F253,E253,0)+IF(F254=Q243,E254,0)+IF(F255=Q243,E255,0)</f>
        <v>0</v>
      </c>
      <c r="U243">
        <f>IF(M250=Q243,L250,0)+IF(M251=Q243,L251,0)+IF(M252=Q243,L252,0)+IF(Q243=M253,L253,0)+IF(M254=Q243,L254,0)+IF(M255=Q243,L255,0)</f>
        <v>0</v>
      </c>
      <c r="V243">
        <f>IF(F258=Q243,E258,0)+IF(F259=Q243,E259,0)+IF(F260=Q243,E260,0)+IF(Q243=F261,E261,0)+IF(F262=Q243,E262,0)+IF(F263=Q243,E263,0)</f>
        <v>0</v>
      </c>
      <c r="W243" s="63">
        <f t="shared" si="40"/>
        <v>0</v>
      </c>
      <c r="AB243" t="s">
        <v>210</v>
      </c>
      <c r="AC243" s="14">
        <f>SUM(W240:W253)-W242</f>
        <v>0</v>
      </c>
    </row>
    <row r="244" spans="1:29" hidden="1" outlineLevel="1" x14ac:dyDescent="0.25">
      <c r="A244" s="69" t="s">
        <v>105</v>
      </c>
      <c r="B244" s="96"/>
      <c r="C244" s="96"/>
      <c r="D244" s="102"/>
      <c r="E244" s="103"/>
      <c r="F244" s="38"/>
      <c r="H244" s="69" t="s">
        <v>105</v>
      </c>
      <c r="I244" s="96"/>
      <c r="J244" s="96"/>
      <c r="K244" s="102"/>
      <c r="L244" s="103"/>
      <c r="M244" s="38"/>
      <c r="Q244" s="10" t="s">
        <v>212</v>
      </c>
      <c r="R244">
        <f>IF(F246=Q244,E246,0)+IF(F247=Q244,E247,0)+IF(F242=Q244,E242,0)+IF(Q244=F243,E243,0)+IF(F244=Q244,E244,0)+IF(F245=Q244,E245,0)</f>
        <v>0</v>
      </c>
      <c r="S244">
        <f>IF(M245=Q244,L245,0)+IF(M246=Q244,L246,0)+IF(M247=Q244,L247,0)+IF(Q244=M242,L242,0)+IF(M243=Q244,L243,0)+IF(M244=Q244,L244,0)</f>
        <v>0</v>
      </c>
      <c r="T244">
        <f>IF(F250=Q244,E250,0)+IF(F251=Q244,E251,0)+IF(F252=Q244,E252,0)+IF(Q244=F253,E253,0)+IF(F254=Q244,E254,0)+IF(F255=Q244,E255,0)</f>
        <v>0</v>
      </c>
      <c r="U244">
        <f>IF(M250=Q244,L250,0)+IF(M251=Q244,L251,0)+IF(M252=Q244,L252,0)+IF(Q244=M253,L253,0)+IF(M254=Q244,L254,0)+IF(M255=Q244,L255,0)</f>
        <v>0</v>
      </c>
      <c r="V244">
        <f>IF(F258=Q244,E258,0)+IF(F259=Q244,E259,0)+IF(F260=Q244,E260,0)+IF(Q244=F261,E261,0)+IF(F262=Q244,E262,0)+IF(F263=Q244,E263,0)</f>
        <v>0</v>
      </c>
      <c r="W244" s="63">
        <f t="shared" si="40"/>
        <v>0</v>
      </c>
      <c r="AA244" t="s">
        <v>214</v>
      </c>
      <c r="AB244" t="s">
        <v>213</v>
      </c>
      <c r="AC244" s="14" t="e">
        <f>IF(AC237="Cadre",(W244/2),(W244/7))</f>
        <v>#N/A</v>
      </c>
    </row>
    <row r="245" spans="1:29" hidden="1" outlineLevel="1" x14ac:dyDescent="0.25">
      <c r="A245" s="69" t="s">
        <v>106</v>
      </c>
      <c r="B245" s="96"/>
      <c r="C245" s="96"/>
      <c r="D245" s="102"/>
      <c r="E245" s="103"/>
      <c r="F245" s="38"/>
      <c r="H245" s="69" t="s">
        <v>106</v>
      </c>
      <c r="I245" s="96"/>
      <c r="J245" s="96"/>
      <c r="K245" s="102"/>
      <c r="L245" s="103"/>
      <c r="M245" s="38"/>
      <c r="Q245" s="10" t="s">
        <v>146</v>
      </c>
      <c r="R245">
        <f>IF(F247=Q245,E247,0)+IF(F242=Q245,E242,0)+IF(F243=Q245,E243,0)+IF(Q245=F244,E244,0)+IF(F245=Q245,E245,0)+IF(F246=Q245,E246,0)</f>
        <v>0</v>
      </c>
      <c r="S245">
        <f>IF(M245=Q245,L245,0)+IF(M246=Q245,L246,0)+IF(M247=Q245,L247,0)+IF(Q245=M242,$L$11,0)+IF(M243=Q245,L243,0)+IF(M244=Q245,L244,0)</f>
        <v>0</v>
      </c>
      <c r="T245">
        <f>IF(F250=Q245,E250,0)+IF(F251=Q245,E251,0)+IF(F252=Q245,E252,0)+IF(Q245=F253,E253,0)+IF(F254=Q245,E254,0)+IF(F255=Q245,E255,0)</f>
        <v>0</v>
      </c>
      <c r="U245">
        <f>IF(M250=Q245,L250,0)+IF(M251=Q245,L251,0)+IF(M252=Q245,L252,0)+IF(Q245=M253,L253,0)+IF(M254=Q245,L254,0)+IF(M255=Q245,L255,0)</f>
        <v>0</v>
      </c>
      <c r="V245">
        <f>IF(F258=Q245,E258,0)+IF(F259=Q245,E259,0)+IF(F260=Q245,E260,0)+IF(Q245=F261,E261,0)+IF(F262=Q245,E262,0)+IF(F263=Q245,E263,0)</f>
        <v>0</v>
      </c>
      <c r="W245" s="63">
        <f t="shared" si="40"/>
        <v>0</v>
      </c>
      <c r="AA245" t="s">
        <v>216</v>
      </c>
      <c r="AB245" t="s">
        <v>217</v>
      </c>
      <c r="AC245" s="14" t="e">
        <f>W257+W258</f>
        <v>#N/A</v>
      </c>
    </row>
    <row r="246" spans="1:29" hidden="1" outlineLevel="1" x14ac:dyDescent="0.25">
      <c r="A246" s="69" t="s">
        <v>107</v>
      </c>
      <c r="B246" s="96"/>
      <c r="C246" s="96"/>
      <c r="D246" s="102"/>
      <c r="E246" s="103"/>
      <c r="F246" s="38"/>
      <c r="H246" s="69" t="s">
        <v>107</v>
      </c>
      <c r="I246" s="96"/>
      <c r="J246" s="96"/>
      <c r="K246" s="102"/>
      <c r="L246" s="103"/>
      <c r="M246" s="38"/>
      <c r="Q246" s="10" t="s">
        <v>499</v>
      </c>
      <c r="R246">
        <f>IF(F242=Q246,E242,0)+IF(F243=Q246,E243,0)+IF(F244=Q246,E244,0)+IF(Q246=F245,E245,0)+IF(F246=Q246,E246,0)+IF(F247=Q246,E247,0)</f>
        <v>0</v>
      </c>
      <c r="S246">
        <f>IF(M245=Q246,L245,0)+IF(M246=Q246,L246,0)+IF(M247=Q246,L247,0)+IF(Q246=M242,L242,0)+IF(M243=Q246,L243,0)+IF(M244=Q246,L244,0)</f>
        <v>0</v>
      </c>
      <c r="T246">
        <f>IF(F250=Q246,E250,0)+IF(F251=Q246,E251,0)+IF(F252=Q246,E252,0)+IF(Q246=F253,E253,0)+IF(F254=Q246,E254,0)+IF(F255=Q246,E255,0)</f>
        <v>0</v>
      </c>
      <c r="U246">
        <f>IF(M250=Q246,L250,0)+IF(M251=Q246,L251,0)+IF(M252=Q246,L252,0)+IF(Q246=M253,L253,0)+IF(M254=Q246,L254,0)+IF(M255=Q246,L255,0)</f>
        <v>0</v>
      </c>
      <c r="V246">
        <f>IF(F258=Q246,E258,0)+IF(F259=Q246,E259,0)+IF(F260=Q246,E260,0)+IF(Q246=F261,E261,0)+IF(F262=Q246,E262,0)+IF(F263=Q246,E263,0)</f>
        <v>0</v>
      </c>
      <c r="W246" s="63">
        <f t="shared" si="40"/>
        <v>0</v>
      </c>
      <c r="AA246" t="s">
        <v>218</v>
      </c>
      <c r="AB246" t="s">
        <v>219</v>
      </c>
      <c r="AC246" s="14" t="e">
        <f>W256</f>
        <v>#N/A</v>
      </c>
    </row>
    <row r="247" spans="1:29" hidden="1" outlineLevel="1" x14ac:dyDescent="0.25">
      <c r="A247" s="69" t="s">
        <v>108</v>
      </c>
      <c r="B247" s="96"/>
      <c r="C247" s="96"/>
      <c r="D247" s="102"/>
      <c r="E247" s="103"/>
      <c r="F247" s="38"/>
      <c r="H247" s="69" t="s">
        <v>108</v>
      </c>
      <c r="I247" s="96"/>
      <c r="J247" s="96"/>
      <c r="K247" s="102"/>
      <c r="L247" s="103"/>
      <c r="M247" s="38"/>
      <c r="Q247" s="10" t="s">
        <v>147</v>
      </c>
      <c r="R247">
        <f>IF(F243=Q247,E243,0)+IF(F244=Q247,E244,0)+IF(F245=Q247,E245,0)+IF(Q247=F246,E246,0)+IF(F247=Q247,E247,0)+IF(F242=Q247,E242,0)</f>
        <v>0</v>
      </c>
      <c r="S247">
        <f>IF(M245=Q247,L245,0)+IF(M246=Q247,L246,0)+IF(M247=Q247,L247,0)+IF(Q247=M242,L242,0)+IF(M243=Q247,L243,0)+IF(M244=Q247,L244,0)</f>
        <v>0</v>
      </c>
      <c r="T247">
        <f>IF(F250=Q247,E250,0)+IF(F251=Q247,E251,0)+IF(F252=Q247,E252,0)+IF(Q247=F253,E253,0)+IF(F254=Q247,E254,0)+IF(F255=Q247,E255,0)</f>
        <v>0</v>
      </c>
      <c r="U247">
        <f>IF(M250=Q247,L250,0)+IF(M251=Q247,L251,0)+IF(M252=Q247,L252,0)+IF(Q247=M253,L253,0)+IF(M254=Q247,L254,0)+IF(M255=Q247,L255,0)</f>
        <v>0</v>
      </c>
      <c r="V247">
        <f>IF(F258=Q247,E258,0)+IF(F259=Q247,E259,0)+IF(F260=Q247,E260,0)+IF(Q247=F261,E261,0)+IF(F262=Q247,E262,0)+IF(F263=Q247,E263,0)</f>
        <v>0</v>
      </c>
      <c r="W247" s="63">
        <f t="shared" si="40"/>
        <v>0</v>
      </c>
      <c r="AA247" t="s">
        <v>166</v>
      </c>
      <c r="AB247" t="s">
        <v>220</v>
      </c>
      <c r="AC247" s="14" t="e">
        <f>W261</f>
        <v>#N/A</v>
      </c>
    </row>
    <row r="248" spans="1:29" ht="15.75" hidden="1" outlineLevel="1" thickBot="1" x14ac:dyDescent="0.3">
      <c r="A248" s="70" t="s">
        <v>109</v>
      </c>
      <c r="B248" s="97"/>
      <c r="C248" s="97"/>
      <c r="D248" s="71"/>
      <c r="E248" s="104"/>
      <c r="F248" s="38"/>
      <c r="H248" s="70" t="s">
        <v>109</v>
      </c>
      <c r="I248" s="97"/>
      <c r="J248" s="97"/>
      <c r="K248" s="71"/>
      <c r="L248" s="104"/>
      <c r="M248" s="38"/>
      <c r="Q248" s="10" t="s">
        <v>500</v>
      </c>
      <c r="R248">
        <f>IF(F244=Q248,E244,0)+IF(F245=Q248,E245,0)+IF(F246=Q248,E246,0)+IF(Q248=F247,E247,0)+IF(F242=Q248,E242,0)+IF(F243=Q248,E243,0)</f>
        <v>0</v>
      </c>
      <c r="S248">
        <f>IF(M245=Q248,L245,0)+IF(M246=Q248,L246,0)+IF(M247=Q248,L247,0)+IF(Q248=M242,L242,0)+IF(M243=Q248,L243,0)+IF(M244=Q248,L244,0)</f>
        <v>0</v>
      </c>
      <c r="T248">
        <f>IF(F250=Q248,E250,0)+IF(F251=Q248,E251,0)+IF(F252=Q248,E252,0)+IF(Q248=F253,E253,0)+IF(F254=Q248,E254,0)+IF(F255=Q248,E255,0)</f>
        <v>0</v>
      </c>
      <c r="U248">
        <f>IF(M250=Q248,L250,0)+IF(M251=Q248,L251,0)+IF(M252=Q248,L252,0)+IF(Q248=M253,L253,0)+IF(M254=Q248,L254,0)+IF(M255=Q248,L255,0)</f>
        <v>0</v>
      </c>
      <c r="V248">
        <f>IF(F258=Q248,E258,0)+IF(F259=Q248,E259,0)+IF(F260=Q248,E260,0)+IF(Q248=F261,E261,0)+IF(F262=Q248,E262,0)+IF(F263=Q248,E263,0)</f>
        <v>0</v>
      </c>
      <c r="W248" s="63">
        <f t="shared" si="40"/>
        <v>0</v>
      </c>
      <c r="AA248" t="s">
        <v>222</v>
      </c>
      <c r="AB248" t="s">
        <v>220</v>
      </c>
      <c r="AC248" s="14" t="e">
        <f>W262</f>
        <v>#N/A</v>
      </c>
    </row>
    <row r="249" spans="1:29" ht="15.75" hidden="1" outlineLevel="1" thickBot="1" x14ac:dyDescent="0.3">
      <c r="A249" s="64" t="str">
        <f>A216</f>
        <v>Ne pas saisir</v>
      </c>
      <c r="B249" s="65" t="e">
        <f>B241</f>
        <v>#N/A</v>
      </c>
      <c r="C249" s="65" t="str">
        <f>C241</f>
        <v>Férié</v>
      </c>
      <c r="D249" s="66" t="e">
        <f>D241</f>
        <v>#N/A</v>
      </c>
      <c r="E249" s="66" t="e">
        <f>E241</f>
        <v>#N/A</v>
      </c>
      <c r="F249" s="67" t="str">
        <f>F241</f>
        <v>Type absence</v>
      </c>
      <c r="H249" s="64" t="str">
        <f>H216</f>
        <v>Ne pas saisir</v>
      </c>
      <c r="I249" s="65" t="e">
        <f>B241</f>
        <v>#N/A</v>
      </c>
      <c r="J249" s="65" t="str">
        <f>C241</f>
        <v>Férié</v>
      </c>
      <c r="K249" s="66" t="e">
        <f>D241</f>
        <v>#N/A</v>
      </c>
      <c r="L249" s="66" t="e">
        <f>E241</f>
        <v>#N/A</v>
      </c>
      <c r="M249" s="67" t="str">
        <f>F241</f>
        <v>Type absence</v>
      </c>
      <c r="Q249" s="10" t="s">
        <v>148</v>
      </c>
      <c r="R249">
        <f>IF(F245=Q249,E245,0)+IF(F246=Q249,E246,0)+IF(F247=Q249,E247,0)+IF(Q249=F242,E242,0)+IF(F243=Q249,E243,0)+IF(F244=Q249,E244,0)</f>
        <v>0</v>
      </c>
      <c r="S249">
        <f>IF(M245=Q249,L245,0)+IF(M246=Q249,L246,0)+IF(M247=Q249,L247,0)+IF(Q249=M242,L242,0)+IF(M243=Q249,L243,0)+IF(M244=Q249,L244,0)</f>
        <v>0</v>
      </c>
      <c r="T249">
        <f>IF(F250=Q249,E250,0)+IF(F251=Q249,E251,0)+IF(F252=Q249,E252,0)+IF(Q249=F253,E253,0)+IF(F254=Q249,E254,0)+IF(F255=Q249,E255,0)</f>
        <v>0</v>
      </c>
      <c r="U249">
        <f>IF(M250=Q249,L250,0)+IF(M251=Q249,L251,0)+IF(M252=Q249,L252,0)+IF(Q249=M253,L253,0)+IF(M254=Q249,L254,0)+IF(M255=Q249,L255,0)</f>
        <v>0</v>
      </c>
      <c r="V249">
        <f>IF(F258=Q249,E258,0)+IF(F259=Q249,E259,0)+IF(F260=Q249,E260,0)+IF(Q249=F261,E261,0)+IF(F262=Q249,E262,0)+IF(F263=Q249,E263,0)</f>
        <v>0</v>
      </c>
      <c r="W249" s="63">
        <f t="shared" si="40"/>
        <v>0</v>
      </c>
      <c r="AA249" t="s">
        <v>223</v>
      </c>
      <c r="AB249" t="s">
        <v>224</v>
      </c>
      <c r="AC249" s="14" t="e">
        <f>W260</f>
        <v>#N/A</v>
      </c>
    </row>
    <row r="250" spans="1:29" hidden="1" outlineLevel="1" x14ac:dyDescent="0.25">
      <c r="A250" s="69" t="s">
        <v>103</v>
      </c>
      <c r="B250" s="95"/>
      <c r="C250" s="95"/>
      <c r="D250" s="106"/>
      <c r="E250" s="105"/>
      <c r="F250" s="101"/>
      <c r="H250" s="69" t="s">
        <v>103</v>
      </c>
      <c r="I250" s="95"/>
      <c r="J250" s="95"/>
      <c r="K250" s="106"/>
      <c r="L250" s="105"/>
      <c r="M250" s="101"/>
      <c r="Q250" s="10" t="s">
        <v>150</v>
      </c>
      <c r="R250">
        <f>IF(F246=Q250,E246,0)+IF(F247=Q250,E247,0)+IF(F242=Q250,E242,0)+IF(Q250=F243,E243,0)+IF(F244=Q250,E244,0)+IF(F245=Q250,E245,0)</f>
        <v>0</v>
      </c>
      <c r="S250">
        <f>IF(M245=Q250,L245,0)+IF(M246=Q250,L246,0)+IF(M247=Q250,L247,0)+IF(Q250=M242,L242,0)+IF(M243=Q250,L243,0)+IF(M244=Q250,L244,0)</f>
        <v>0</v>
      </c>
      <c r="T250">
        <f>IF(F250=Q250,E250,0)+IF(F251=Q250,E251,0)+IF(F252=Q250,E252,0)+IF(Q250=F253,E253,0)+IF(F254=Q250,E254,0)+IF(F255=Q250,E255,0)</f>
        <v>0</v>
      </c>
      <c r="U250">
        <f>IF(M250=Q250,L250,0)+IF(M251=Q250,L251,0)+IF(M252=Q250,L252,0)+IF(Q250=M253,L253,0)+IF(M254=Q250,L254,0)+IF(M255=Q250,L255,0)</f>
        <v>0</v>
      </c>
      <c r="V250">
        <f>IF(F258=Q250,E258,0)+IF(F259=Q250,E259,0)+IF(F260=Q250,E260,0)+IF(Q250=F261,E261,0)+IF(F262=Q250,E262,0)+IF(F263=Q250,E263,0)</f>
        <v>0</v>
      </c>
      <c r="W250" s="63">
        <f t="shared" si="40"/>
        <v>0</v>
      </c>
      <c r="AB250" t="s">
        <v>267</v>
      </c>
      <c r="AC250">
        <f>(SUM(B242:B248))</f>
        <v>0</v>
      </c>
    </row>
    <row r="251" spans="1:29" hidden="1" outlineLevel="1" x14ac:dyDescent="0.25">
      <c r="A251" s="69" t="s">
        <v>104</v>
      </c>
      <c r="B251" s="96"/>
      <c r="C251" s="96"/>
      <c r="D251" s="102"/>
      <c r="E251" s="103"/>
      <c r="F251" s="38"/>
      <c r="H251" s="69" t="s">
        <v>104</v>
      </c>
      <c r="I251" s="96"/>
      <c r="J251" s="96"/>
      <c r="K251" s="102"/>
      <c r="L251" s="103"/>
      <c r="M251" s="38"/>
      <c r="Q251" s="10" t="s">
        <v>502</v>
      </c>
      <c r="R251">
        <f>IF(F247=Q251,E247,0)+IF(F242=Q251,E242,0)+IF(F243=Q251,E243,0)+IF(Q251=F244,E244,0)+IF(F245=Q251,E245,0)+IF(F246=Q251,E246,0)</f>
        <v>0</v>
      </c>
      <c r="S251">
        <f>IF(M245=Q251,L245,0)+IF(M246=Q251,L246,0)+IF(M247=Q251,L247,0)+IF(Q251=M242,L242,0)+IF(M243=Q251,L243,0)+IF(M244=Q251,L244,0)</f>
        <v>0</v>
      </c>
      <c r="T251">
        <f>IF(F250=Q251,E250,0)+IF(F251=Q251,E251,0)+IF(F252=Q251,E252,0)+IF(Q251=F253,E253,0)+IF(F254=Q251,E254,0)+IF(F255=Q251,E255,0)</f>
        <v>0</v>
      </c>
      <c r="U251">
        <f>IF(M250=Q251,L250,0)+IF(M251=Q251,L251,0)+IF(M252=Q251,L252,0)+IF(Q251=M253,L253,0)+IF(M254=Q251,L254,0)+IF(M255=Q251,L255,0)</f>
        <v>0</v>
      </c>
      <c r="V251">
        <f>IF(F258=Q251,E258,0)+IF(F259=Q251,E259,0)+IF(F260=Q251,E260,0)+IF(Q251=F261,E261,0)+IF(F262=Q251,E262,0)+IF(F263=Q251,E263,0)</f>
        <v>0</v>
      </c>
      <c r="W251" s="63">
        <f t="shared" si="40"/>
        <v>0</v>
      </c>
      <c r="AB251" t="s">
        <v>268</v>
      </c>
      <c r="AC251">
        <f>(SUM(I242:I248))</f>
        <v>0</v>
      </c>
    </row>
    <row r="252" spans="1:29" hidden="1" outlineLevel="1" x14ac:dyDescent="0.25">
      <c r="A252" s="69" t="s">
        <v>105</v>
      </c>
      <c r="B252" s="96"/>
      <c r="C252" s="96"/>
      <c r="D252" s="102"/>
      <c r="E252" s="103"/>
      <c r="F252" s="38"/>
      <c r="H252" s="69" t="s">
        <v>105</v>
      </c>
      <c r="I252" s="96"/>
      <c r="J252" s="96"/>
      <c r="K252" s="102"/>
      <c r="L252" s="103"/>
      <c r="M252" s="38"/>
      <c r="Q252" s="10" t="s">
        <v>498</v>
      </c>
      <c r="R252">
        <f>IF(F242=Q252,E242,0)+IF(F243=Q252,E243,0)+IF(F244=Q252,E244,0)+IF(Q252=F245,E245,0)+IF(F246=Q252,E246,0)+IF(F247=Q252,E247,0)</f>
        <v>0</v>
      </c>
      <c r="S252">
        <f>IF(M245=Q252,L245,0)+IF(M246=Q252,L246,0)+IF(M247=Q252,L247,0)+IF(Q252=M242,L242,0)+IF(M243=Q252,L243,0)+IF(M244=Q252,L244,0)</f>
        <v>0</v>
      </c>
      <c r="T252">
        <f>IF(F250=Q252,E250,0)+IF(F251=Q252,E251,0)+IF(F252=Q252,E252,0)+IF(Q252=F253,E253,0)+IF(F254=Q252,E254,0)+IF(F255=Q252,E255,0)</f>
        <v>0</v>
      </c>
      <c r="U252">
        <f>IF(M250=Q252,L250,0)+IF(M251=Q252,L251,0)+IF(M252=Q252,L252,0)+IF(Q252=M253,L253,0)+IF(M254=Q252,L254,0)+IF(M255=Q252,L255,0)</f>
        <v>0</v>
      </c>
      <c r="V252">
        <f>IF(F258=Q252,E258,0)+IF(F259=Q252,E259,0)+IF(F260=Q252,E260,0)+IF(Q252=F261,E261,0)+IF(F262=Q252,E262,0)+IF(F263=Q252,E263,0)</f>
        <v>0</v>
      </c>
      <c r="W252" s="63">
        <f t="shared" si="40"/>
        <v>0</v>
      </c>
      <c r="AB252" t="s">
        <v>269</v>
      </c>
      <c r="AC252">
        <f>(SUM(B250:B256))</f>
        <v>0</v>
      </c>
    </row>
    <row r="253" spans="1:29" hidden="1" outlineLevel="1" x14ac:dyDescent="0.25">
      <c r="A253" s="69" t="s">
        <v>106</v>
      </c>
      <c r="B253" s="96"/>
      <c r="C253" s="96"/>
      <c r="D253" s="102"/>
      <c r="E253" s="103"/>
      <c r="F253" s="38"/>
      <c r="H253" s="69" t="s">
        <v>106</v>
      </c>
      <c r="I253" s="96"/>
      <c r="J253" s="96"/>
      <c r="K253" s="102"/>
      <c r="L253" s="103"/>
      <c r="M253" s="38"/>
      <c r="P253" s="72"/>
      <c r="Q253" s="73" t="s">
        <v>501</v>
      </c>
      <c r="R253" s="72">
        <f>IF(F243=Q253,E243,0)+IF(F244=Q253,E244,0)+IF(F245=Q253,E245,0)+IF(Q253=F246,E246,0)+IF(F247=Q253,E247,0)+IF(F242=Q253,E242,0)</f>
        <v>0</v>
      </c>
      <c r="S253" s="72">
        <f>IF(M245=Q253,L245,0)+IF(M246=Q253,L246,0)+IF(M247=Q253,L247,0)+IF(Q253=M242,L242,0)+IF(M243=Q253,L243,0)+IF(M244=Q253,L244,0)</f>
        <v>0</v>
      </c>
      <c r="T253" s="72">
        <f>IF(F250=Q253,E250,0)+IF(F251=Q253,E251,0)+IF(F252=Q253,E252,0)+IF(Q253=F253,E253,0)+IF(F254=Q253,E254,0)+IF(F255=Q253,E255,0)</f>
        <v>0</v>
      </c>
      <c r="U253" s="72">
        <f>IF(M250=Q253,L250,0)+IF(M251=Q253,L251,0)+IF(M252=Q253,L252,0)+IF(Q253=M253,L253,0)+IF(M254=Q253,L254,0)+IF(M255=Q253,L255,0)</f>
        <v>0</v>
      </c>
      <c r="V253" s="72">
        <f>IF(F258=Q253,E258,0)+IF(F259=Q253,E259,0)+IF(F260=Q253,E260,0)+IF(Q253=F261,E261,0)+IF(F262=Q253,E262,0)+IF(F263=Q253,E263,0)</f>
        <v>0</v>
      </c>
      <c r="W253" s="74">
        <f t="shared" si="40"/>
        <v>0</v>
      </c>
      <c r="AB253" t="s">
        <v>270</v>
      </c>
      <c r="AC253">
        <f>(SUM(I250:I256))</f>
        <v>0</v>
      </c>
    </row>
    <row r="254" spans="1:29" hidden="1" outlineLevel="1" x14ac:dyDescent="0.25">
      <c r="A254" s="69" t="s">
        <v>107</v>
      </c>
      <c r="B254" s="96"/>
      <c r="C254" s="96"/>
      <c r="D254" s="102"/>
      <c r="E254" s="103"/>
      <c r="F254" s="38"/>
      <c r="H254" s="69" t="s">
        <v>107</v>
      </c>
      <c r="I254" s="96"/>
      <c r="J254" s="96"/>
      <c r="K254" s="102"/>
      <c r="L254" s="103"/>
      <c r="M254" s="38"/>
      <c r="Q254" s="75" t="s">
        <v>169</v>
      </c>
      <c r="R254" s="2" t="e">
        <f>IF(M239="Règlement HC",K239*10%,0)</f>
        <v>#N/A</v>
      </c>
      <c r="S254" s="2" t="e">
        <f>IF(M239="Règlement HC",K239*10%,0)</f>
        <v>#N/A</v>
      </c>
      <c r="T254" s="2" t="e">
        <f>IF(M239="Règlement HC",K239*10%,0)</f>
        <v>#N/A</v>
      </c>
      <c r="U254" s="2" t="e">
        <f>IF(M239="Règlement HC",K239*10%,0)</f>
        <v>#N/A</v>
      </c>
      <c r="V254" s="2" t="e">
        <f>IF(M239="Règlement HC",K239*10%,0)</f>
        <v>#N/A</v>
      </c>
      <c r="W254" s="76"/>
      <c r="AB254" t="s">
        <v>271</v>
      </c>
      <c r="AC254">
        <f>(SUM(B258:B264))</f>
        <v>0</v>
      </c>
    </row>
    <row r="255" spans="1:29" hidden="1" outlineLevel="1" x14ac:dyDescent="0.25">
      <c r="A255" s="69" t="s">
        <v>108</v>
      </c>
      <c r="B255" s="96"/>
      <c r="C255" s="96"/>
      <c r="D255" s="102"/>
      <c r="E255" s="103"/>
      <c r="F255" s="38"/>
      <c r="H255" s="69" t="s">
        <v>108</v>
      </c>
      <c r="I255" s="96"/>
      <c r="J255" s="96"/>
      <c r="K255" s="102"/>
      <c r="L255" s="103"/>
      <c r="M255" s="38"/>
      <c r="Q255" s="75" t="s">
        <v>175</v>
      </c>
      <c r="R255" s="2" t="e">
        <f>IF(M239="Règlement HC",SUM(B242:B248)-K239,0)</f>
        <v>#N/A</v>
      </c>
      <c r="S255" s="2" t="e">
        <f>IF(M239="Règlement HC",SUM(I242:I248)-K239,0)</f>
        <v>#N/A</v>
      </c>
      <c r="T255" s="2" t="e">
        <f>IF(M239="Règlement HC",SUM(B250:B256)-K239,0)</f>
        <v>#N/A</v>
      </c>
      <c r="U255" s="2" t="e">
        <f>IF(M239="Règlement HC",SUM(I250:I256)-K239,0)</f>
        <v>#N/A</v>
      </c>
      <c r="V255" s="2" t="e">
        <f>IF(M239="Règlement HC",SUM(B258:B264)-K239,0)</f>
        <v>#N/A</v>
      </c>
      <c r="W255" s="63" t="e">
        <f>SUM((IF(R255&gt;0,R255,0)+(IF(S255&gt;0,S255,0)+(IF(T255&gt;0,T255,0)+(IF(U255&gt;0,U255,0)+(IF(V255&gt;0,V255,0)))))))</f>
        <v>#N/A</v>
      </c>
      <c r="AA255" t="s">
        <v>313</v>
      </c>
      <c r="AB255" t="s">
        <v>314</v>
      </c>
      <c r="AC255" t="e">
        <f>W259</f>
        <v>#N/A</v>
      </c>
    </row>
    <row r="256" spans="1:29" ht="15.75" hidden="1" outlineLevel="1" thickBot="1" x14ac:dyDescent="0.3">
      <c r="A256" s="70" t="s">
        <v>109</v>
      </c>
      <c r="B256" s="97"/>
      <c r="C256" s="97"/>
      <c r="D256" s="71"/>
      <c r="E256" s="104"/>
      <c r="F256" s="38"/>
      <c r="H256" s="70" t="s">
        <v>109</v>
      </c>
      <c r="I256" s="97"/>
      <c r="J256" s="97"/>
      <c r="K256" s="71"/>
      <c r="L256" s="104"/>
      <c r="M256" s="39"/>
      <c r="P256" t="s">
        <v>170</v>
      </c>
      <c r="Q256" s="10" t="s">
        <v>162</v>
      </c>
      <c r="R256" t="e">
        <f>IF(R255&gt;=R254,R254,R255)</f>
        <v>#N/A</v>
      </c>
      <c r="S256" t="e">
        <f>IF(S255&gt;=S254,S254,S255)</f>
        <v>#N/A</v>
      </c>
      <c r="T256" t="e">
        <f>IF(T255&gt;=T254,T254,T255)</f>
        <v>#N/A</v>
      </c>
      <c r="U256" t="e">
        <f>IF(U255&gt;=U254,U254,U255)</f>
        <v>#N/A</v>
      </c>
      <c r="V256" t="e">
        <f>IF(V255&gt;=V254,V254,V255)</f>
        <v>#N/A</v>
      </c>
      <c r="W256" s="63" t="e">
        <f>SUM((IF(R256&gt;0,R256,0)+(IF(S256&gt;0,S256,0)+(IF(T256&gt;0,T256,0)+(IF(U256&gt;0,U256,0)+(IF(V256&gt;0,V256,0)))))))</f>
        <v>#N/A</v>
      </c>
    </row>
    <row r="257" spans="1:29" ht="15.75" hidden="1" outlineLevel="1" thickBot="1" x14ac:dyDescent="0.3">
      <c r="A257" s="64" t="str">
        <f>A224</f>
        <v>Ne pas saisir</v>
      </c>
      <c r="B257" s="65" t="e">
        <f>B241</f>
        <v>#N/A</v>
      </c>
      <c r="C257" s="65" t="str">
        <f>C241</f>
        <v>Férié</v>
      </c>
      <c r="D257" s="66" t="e">
        <f>D241</f>
        <v>#N/A</v>
      </c>
      <c r="E257" s="66" t="e">
        <f>E241</f>
        <v>#N/A</v>
      </c>
      <c r="F257" s="67" t="str">
        <f>F241</f>
        <v>Type absence</v>
      </c>
      <c r="H257" s="77" t="s">
        <v>136</v>
      </c>
      <c r="I257" s="78" t="e">
        <f>B241</f>
        <v>#N/A</v>
      </c>
      <c r="J257" s="78" t="str">
        <f>C241</f>
        <v>Férié</v>
      </c>
      <c r="K257" s="79" t="e">
        <f>D241</f>
        <v>#N/A</v>
      </c>
      <c r="L257" s="80" t="e">
        <f>E241</f>
        <v>#N/A</v>
      </c>
      <c r="M257" s="49"/>
      <c r="P257" t="s">
        <v>170</v>
      </c>
      <c r="Q257" s="10" t="s">
        <v>163</v>
      </c>
      <c r="R257" t="e">
        <f>R255-R256</f>
        <v>#N/A</v>
      </c>
      <c r="S257" t="e">
        <f>S255-S256</f>
        <v>#N/A</v>
      </c>
      <c r="T257" t="e">
        <f>T255-T256</f>
        <v>#N/A</v>
      </c>
      <c r="U257" t="e">
        <f>U255-U256</f>
        <v>#N/A</v>
      </c>
      <c r="V257" t="e">
        <f>V255-V256</f>
        <v>#N/A</v>
      </c>
      <c r="W257" s="63" t="e">
        <f t="shared" ref="W257:W262" si="41">SUM(R257:V257)</f>
        <v>#N/A</v>
      </c>
    </row>
    <row r="258" spans="1:29" hidden="1" outlineLevel="1" x14ac:dyDescent="0.25">
      <c r="A258" s="69" t="s">
        <v>103</v>
      </c>
      <c r="B258" s="95"/>
      <c r="C258" s="95"/>
      <c r="D258" s="106"/>
      <c r="E258" s="105"/>
      <c r="F258" s="101"/>
      <c r="H258" s="81" t="s">
        <v>103</v>
      </c>
      <c r="I258" s="82">
        <f t="shared" ref="I258:I263" si="42">B242+I242+B250+I250+B258</f>
        <v>0</v>
      </c>
      <c r="J258" s="82">
        <f t="shared" ref="J258:J263" si="43">C242+J242+C250+J250+C258</f>
        <v>0</v>
      </c>
      <c r="K258" s="83">
        <f t="shared" ref="K258:K263" si="44">D242+K242+D250+K250+D258</f>
        <v>0</v>
      </c>
      <c r="L258" s="84">
        <f t="shared" ref="L258:L263" si="45">E242+L242+E250+L250+E258</f>
        <v>0</v>
      </c>
      <c r="M258" s="303" t="s">
        <v>177</v>
      </c>
      <c r="N258" s="304"/>
      <c r="O258" s="304"/>
      <c r="Q258" s="10" t="s">
        <v>164</v>
      </c>
      <c r="R258" t="e">
        <f>IF(AND(K239="non",(SUM(B242:B248)&gt;U238)),SUM(B242:B248)-U238,0)</f>
        <v>#N/A</v>
      </c>
      <c r="S258" t="e">
        <f>IF(AND(K239="non",(SUM(I242:I248)&gt;U238)),SUM(I242:I248)-U238,0)</f>
        <v>#N/A</v>
      </c>
      <c r="T258" t="e">
        <f>IF(AND(K239="non",(SUM(B250:B256)&gt;U238)),SUM(B250:B256)-U238,0)</f>
        <v>#N/A</v>
      </c>
      <c r="U258" t="e">
        <f>IF(AND(K239="non",(SUM(I250:I256)&gt;U238)),SUM(I250:I256)-U238,0)</f>
        <v>#N/A</v>
      </c>
      <c r="V258" t="e">
        <f>IF(AND(K239="non",(SUM(B258:B264)&gt;U238)),SUM(B258:B264)-U238,0)</f>
        <v>#N/A</v>
      </c>
      <c r="W258" s="63" t="e">
        <f t="shared" si="41"/>
        <v>#N/A</v>
      </c>
    </row>
    <row r="259" spans="1:29" hidden="1" outlineLevel="1" x14ac:dyDescent="0.25">
      <c r="A259" s="69" t="s">
        <v>104</v>
      </c>
      <c r="B259" s="96"/>
      <c r="C259" s="96"/>
      <c r="D259" s="102"/>
      <c r="E259" s="103"/>
      <c r="F259" s="38"/>
      <c r="H259" s="81" t="s">
        <v>104</v>
      </c>
      <c r="I259" s="88">
        <f t="shared" si="42"/>
        <v>0</v>
      </c>
      <c r="J259" s="88">
        <f t="shared" si="43"/>
        <v>0</v>
      </c>
      <c r="K259" s="89">
        <f t="shared" si="44"/>
        <v>0</v>
      </c>
      <c r="L259" s="90">
        <f t="shared" si="45"/>
        <v>0</v>
      </c>
      <c r="M259" s="49"/>
      <c r="P259" t="s">
        <v>167</v>
      </c>
      <c r="Q259" s="10" t="s">
        <v>165</v>
      </c>
      <c r="R259" t="e">
        <f>IF(H240="Cadre",0,SUM(C242:C248))</f>
        <v>#N/A</v>
      </c>
      <c r="S259" t="e">
        <f>IF(H240="Cadre",0,SUM(J242:J248))</f>
        <v>#N/A</v>
      </c>
      <c r="T259" t="e">
        <f>IF(H240="Cadre",0,SUM(C250:C256))</f>
        <v>#N/A</v>
      </c>
      <c r="U259" t="e">
        <f>IF(H240="Cadre",0,SUM(J250:J256))</f>
        <v>#N/A</v>
      </c>
      <c r="V259" t="e">
        <f>IF(H240="Cadre",0,SUM(C258:C264))</f>
        <v>#N/A</v>
      </c>
      <c r="W259" s="63" t="e">
        <f t="shared" si="41"/>
        <v>#N/A</v>
      </c>
    </row>
    <row r="260" spans="1:29" hidden="1" outlineLevel="1" x14ac:dyDescent="0.25">
      <c r="A260" s="69" t="s">
        <v>105</v>
      </c>
      <c r="B260" s="96"/>
      <c r="C260" s="96"/>
      <c r="D260" s="102"/>
      <c r="E260" s="103"/>
      <c r="F260" s="38"/>
      <c r="H260" s="81" t="s">
        <v>105</v>
      </c>
      <c r="I260" s="88">
        <f t="shared" si="42"/>
        <v>0</v>
      </c>
      <c r="J260" s="88">
        <f t="shared" si="43"/>
        <v>0</v>
      </c>
      <c r="K260" s="89">
        <f t="shared" si="44"/>
        <v>0</v>
      </c>
      <c r="L260" s="90">
        <f t="shared" si="45"/>
        <v>0</v>
      </c>
      <c r="M260" s="49"/>
      <c r="P260" t="s">
        <v>168</v>
      </c>
      <c r="Q260" s="10" t="s">
        <v>165</v>
      </c>
      <c r="R260" t="e">
        <f>IF(H240="Cadre",((SUM(C242:C248)/2)*5),0)</f>
        <v>#N/A</v>
      </c>
      <c r="S260" t="e">
        <f>IF(H240="Cadre",(SUM(J242:J248)/2*5),0)</f>
        <v>#N/A</v>
      </c>
      <c r="T260" t="e">
        <f>IF(H240="Cadre",(SUM(C250:C256)/2*5),0)</f>
        <v>#N/A</v>
      </c>
      <c r="U260" t="e">
        <f>IF(H240="Cadre",(SUM(J250:J256)/2*5),0)</f>
        <v>#N/A</v>
      </c>
      <c r="V260" t="e">
        <f>IF(H240="Cadre",(SUM(C258:C264)/2*5),0)</f>
        <v>#N/A</v>
      </c>
      <c r="W260" s="63" t="e">
        <f t="shared" si="41"/>
        <v>#N/A</v>
      </c>
    </row>
    <row r="261" spans="1:29" hidden="1" outlineLevel="1" x14ac:dyDescent="0.25">
      <c r="A261" s="69" t="s">
        <v>106</v>
      </c>
      <c r="B261" s="96"/>
      <c r="C261" s="96"/>
      <c r="D261" s="102"/>
      <c r="E261" s="103"/>
      <c r="F261" s="38"/>
      <c r="H261" s="81" t="s">
        <v>106</v>
      </c>
      <c r="I261" s="88">
        <f t="shared" si="42"/>
        <v>0</v>
      </c>
      <c r="J261" s="88">
        <f t="shared" si="43"/>
        <v>0</v>
      </c>
      <c r="K261" s="89">
        <f t="shared" si="44"/>
        <v>0</v>
      </c>
      <c r="L261" s="90">
        <f t="shared" si="45"/>
        <v>0</v>
      </c>
      <c r="M261" s="49"/>
      <c r="P261" t="s">
        <v>166</v>
      </c>
      <c r="Q261" s="10" t="s">
        <v>159</v>
      </c>
      <c r="R261" t="e">
        <f>IF(H240="Employé",B248,0)</f>
        <v>#N/A</v>
      </c>
      <c r="S261" t="e">
        <f>IF(H240="Employé",I248,0)</f>
        <v>#N/A</v>
      </c>
      <c r="T261" t="e">
        <f>IF(H240="Employé",B256,0)</f>
        <v>#N/A</v>
      </c>
      <c r="U261" t="e">
        <f>IF(H240="Employé",I256,0)</f>
        <v>#N/A</v>
      </c>
      <c r="V261" t="e">
        <f>IF(H240="Employé",B264,0)</f>
        <v>#N/A</v>
      </c>
      <c r="W261" s="63" t="e">
        <f t="shared" si="41"/>
        <v>#N/A</v>
      </c>
    </row>
    <row r="262" spans="1:29" hidden="1" outlineLevel="1" x14ac:dyDescent="0.25">
      <c r="A262" s="69" t="s">
        <v>107</v>
      </c>
      <c r="B262" s="96"/>
      <c r="C262" s="96"/>
      <c r="D262" s="102"/>
      <c r="E262" s="103"/>
      <c r="F262" s="38"/>
      <c r="H262" s="81" t="s">
        <v>107</v>
      </c>
      <c r="I262" s="88">
        <f t="shared" si="42"/>
        <v>0</v>
      </c>
      <c r="J262" s="88">
        <f t="shared" si="43"/>
        <v>0</v>
      </c>
      <c r="K262" s="89">
        <f t="shared" si="44"/>
        <v>0</v>
      </c>
      <c r="L262" s="90">
        <f t="shared" si="45"/>
        <v>0</v>
      </c>
      <c r="M262" s="303" t="s">
        <v>178</v>
      </c>
      <c r="N262" s="304"/>
      <c r="O262" s="304"/>
      <c r="P262" t="s">
        <v>297</v>
      </c>
      <c r="Q262" s="10" t="s">
        <v>159</v>
      </c>
      <c r="R262" t="e">
        <f>IF(H240="Cadre",IF(B248=2,5,0),0)</f>
        <v>#N/A</v>
      </c>
      <c r="S262" t="e">
        <f>IF(H240="Cadre",IF(I248=2,5,0),0)</f>
        <v>#N/A</v>
      </c>
      <c r="T262" t="e">
        <f>IF(H240="Cadre",IF(B256=2,5,0),0)</f>
        <v>#N/A</v>
      </c>
      <c r="U262" t="e">
        <f>IF(H240="Cadre",IF(I256=2,5,0),0)</f>
        <v>#N/A</v>
      </c>
      <c r="V262" t="e">
        <f>IF(H240="Cadre",IF(B264=2,5,0),0)</f>
        <v>#N/A</v>
      </c>
      <c r="W262" s="63" t="e">
        <f t="shared" si="41"/>
        <v>#N/A</v>
      </c>
    </row>
    <row r="263" spans="1:29" hidden="1" outlineLevel="1" x14ac:dyDescent="0.25">
      <c r="A263" s="69" t="s">
        <v>108</v>
      </c>
      <c r="B263" s="96"/>
      <c r="C263" s="96"/>
      <c r="D263" s="102"/>
      <c r="E263" s="103"/>
      <c r="F263" s="38"/>
      <c r="H263" s="81" t="s">
        <v>108</v>
      </c>
      <c r="I263" s="88">
        <f t="shared" si="42"/>
        <v>0</v>
      </c>
      <c r="J263" s="88">
        <f t="shared" si="43"/>
        <v>0</v>
      </c>
      <c r="K263" s="89">
        <f t="shared" si="44"/>
        <v>0</v>
      </c>
      <c r="L263" s="90">
        <f t="shared" si="45"/>
        <v>0</v>
      </c>
      <c r="M263" s="49"/>
      <c r="P263" t="s">
        <v>171</v>
      </c>
      <c r="Q263" s="10" t="s">
        <v>172</v>
      </c>
      <c r="R263" s="2"/>
      <c r="S263" s="2"/>
      <c r="T263" s="2"/>
      <c r="U263" s="2"/>
      <c r="V263" s="2"/>
      <c r="W263" s="91" t="e">
        <f>IF(AND(K239="non",H240="Employé"),SUM(I258:I264)+(SUM(W240:W253)-W236),(SUM(I258:I264)-W255)+(SUM(W240:W253)-W236))</f>
        <v>#N/A</v>
      </c>
    </row>
    <row r="264" spans="1:29" ht="15.75" hidden="1" outlineLevel="1" thickBot="1" x14ac:dyDescent="0.3">
      <c r="A264" s="70" t="s">
        <v>109</v>
      </c>
      <c r="B264" s="97"/>
      <c r="C264" s="97"/>
      <c r="D264" s="71"/>
      <c r="E264" s="104"/>
      <c r="F264" s="39"/>
      <c r="H264" s="92" t="s">
        <v>109</v>
      </c>
      <c r="I264" s="93">
        <f>(B248+I248+B256+I256+B264)</f>
        <v>0</v>
      </c>
      <c r="J264" s="93">
        <f>(C248+J248+C256+J256+C264)</f>
        <v>0</v>
      </c>
      <c r="K264" s="71">
        <f>(D248+K248+D256+K256+D264)</f>
        <v>0</v>
      </c>
      <c r="L264" s="94">
        <f>(E248+L248+E256+L256+E264)</f>
        <v>0</v>
      </c>
      <c r="M264" s="49"/>
      <c r="P264" t="s">
        <v>176</v>
      </c>
      <c r="Q264" s="10" t="s">
        <v>172</v>
      </c>
      <c r="R264" s="2"/>
      <c r="S264" s="2"/>
      <c r="T264" s="2"/>
      <c r="U264" s="2"/>
      <c r="V264" s="2"/>
      <c r="W264" s="91" t="e">
        <f>IF(H240="Cadre",((SUM(I258:I264)+SUM(W240:W253)-W242-W243)/2),0)</f>
        <v>#N/A</v>
      </c>
    </row>
    <row r="265" spans="1:29" ht="15" customHeight="1" collapsed="1" x14ac:dyDescent="0.25">
      <c r="D265" s="302" t="s">
        <v>298</v>
      </c>
      <c r="E265" s="302"/>
      <c r="F265" s="302"/>
      <c r="G265" s="302"/>
      <c r="H265" s="302"/>
      <c r="I265" s="302"/>
      <c r="J265" s="302"/>
      <c r="K265" s="302"/>
      <c r="L265" s="42" t="s">
        <v>285</v>
      </c>
      <c r="N265" s="43"/>
      <c r="O265" s="43" t="s">
        <v>179</v>
      </c>
      <c r="P265" s="15" t="s">
        <v>157</v>
      </c>
      <c r="AA265" s="15" t="s">
        <v>157</v>
      </c>
    </row>
    <row r="266" spans="1:29" hidden="1" outlineLevel="1" x14ac:dyDescent="0.25">
      <c r="D266" s="302"/>
      <c r="E266" s="302"/>
      <c r="F266" s="302"/>
      <c r="G266" s="302"/>
      <c r="H266" s="302"/>
      <c r="I266" s="302"/>
      <c r="J266" s="302"/>
      <c r="K266" s="302"/>
      <c r="N266" s="43"/>
      <c r="O266" s="43" t="s">
        <v>180</v>
      </c>
      <c r="AC266" t="s">
        <v>201</v>
      </c>
    </row>
    <row r="267" spans="1:29" hidden="1" outlineLevel="1" x14ac:dyDescent="0.25">
      <c r="D267" s="302"/>
      <c r="E267" s="302"/>
      <c r="F267" s="302"/>
      <c r="G267" s="302"/>
      <c r="H267" s="302"/>
      <c r="I267" s="302"/>
      <c r="J267" s="302"/>
      <c r="K267" s="302"/>
      <c r="N267" s="44"/>
      <c r="O267" s="44" t="s">
        <v>181</v>
      </c>
      <c r="AA267" s="15" t="s">
        <v>200</v>
      </c>
      <c r="AC267" s="2" t="str">
        <f>I269</f>
        <v>Juin</v>
      </c>
    </row>
    <row r="268" spans="1:29" hidden="1" outlineLevel="1" x14ac:dyDescent="0.25">
      <c r="A268" s="45" t="s">
        <v>3</v>
      </c>
      <c r="B268" s="46">
        <f>'Synthèse Horaires'!$B$4</f>
        <v>2026</v>
      </c>
      <c r="C268" s="47"/>
      <c r="D268" s="48" t="s">
        <v>1</v>
      </c>
      <c r="E268" s="46">
        <f>'Synthèse Horaires'!$D$4</f>
        <v>0</v>
      </c>
      <c r="F268" s="49"/>
      <c r="G268" s="49"/>
      <c r="H268" s="48" t="s">
        <v>2</v>
      </c>
      <c r="I268" s="47">
        <f>'Synthèse Horaires'!$I$4</f>
        <v>0</v>
      </c>
      <c r="J268" s="50"/>
      <c r="K268" s="50"/>
      <c r="N268" s="44"/>
      <c r="O268" s="44" t="s">
        <v>202</v>
      </c>
      <c r="V268" s="10" t="s">
        <v>174</v>
      </c>
      <c r="W268" s="51" t="e">
        <f>IF(K272="non",SUM(K291:K297)*(35/6),SUM(K291:K297)*(K272/6))</f>
        <v>#N/A</v>
      </c>
      <c r="AB268" t="s">
        <v>6</v>
      </c>
      <c r="AC268" s="14">
        <f>B272</f>
        <v>0</v>
      </c>
    </row>
    <row r="269" spans="1:29" hidden="1" outlineLevel="1" x14ac:dyDescent="0.25">
      <c r="A269" s="45" t="s">
        <v>10</v>
      </c>
      <c r="B269" s="49"/>
      <c r="C269" s="49"/>
      <c r="D269" s="50" t="str">
        <f>'Synthèse Horaires'!$C$6</f>
        <v>01 juin 2026 au 31 mai 2027.</v>
      </c>
      <c r="E269" s="2"/>
      <c r="H269" s="48" t="s">
        <v>205</v>
      </c>
      <c r="I269" s="47" t="str">
        <f>'Synthèse Horaires'!$I$5</f>
        <v>Juin</v>
      </c>
      <c r="N269" s="44"/>
      <c r="O269" s="44" t="s">
        <v>203</v>
      </c>
      <c r="V269" s="10" t="s">
        <v>173</v>
      </c>
      <c r="W269">
        <f>W275+W276</f>
        <v>0</v>
      </c>
      <c r="AB269" t="s">
        <v>57</v>
      </c>
      <c r="AC269" s="14" t="e">
        <f>B273</f>
        <v>#N/A</v>
      </c>
    </row>
    <row r="270" spans="1:29" hidden="1" outlineLevel="1" x14ac:dyDescent="0.25">
      <c r="AB270" t="s">
        <v>211</v>
      </c>
      <c r="AC270" s="14" t="e">
        <f>H273</f>
        <v>#N/A</v>
      </c>
    </row>
    <row r="271" spans="1:29" hidden="1" outlineLevel="1" x14ac:dyDescent="0.25">
      <c r="A271" s="4" t="s">
        <v>58</v>
      </c>
      <c r="B271" s="4"/>
      <c r="C271" s="4"/>
      <c r="D271" s="4"/>
      <c r="E271" s="4"/>
      <c r="F271" s="4"/>
      <c r="G271" s="4"/>
      <c r="H271" s="4"/>
      <c r="P271" s="53" t="s">
        <v>6</v>
      </c>
      <c r="Q271" s="2">
        <f>B272</f>
        <v>0</v>
      </c>
      <c r="T271" s="10" t="s">
        <v>76</v>
      </c>
      <c r="U271" s="2" t="e">
        <f>VLOOKUP(B272,'Base Matricule Siège'!$B$12:$H$1000,4,FALSE)</f>
        <v>#N/A</v>
      </c>
      <c r="AA271" t="s">
        <v>215</v>
      </c>
      <c r="AB271" t="s">
        <v>207</v>
      </c>
      <c r="AC271" s="14" t="e">
        <f>IF(AC270="Cadre",0,W296)</f>
        <v>#N/A</v>
      </c>
    </row>
    <row r="272" spans="1:29" hidden="1" outlineLevel="1" x14ac:dyDescent="0.25">
      <c r="A272" s="49" t="s">
        <v>18</v>
      </c>
      <c r="B272" s="113">
        <v>0</v>
      </c>
      <c r="E272" s="49"/>
      <c r="G272" s="57" t="s">
        <v>317</v>
      </c>
      <c r="H272" s="58" t="e">
        <f>VLOOKUP(B272,'Base Matricule Siège'!$B$13:$H$1000,7,FALSE)</f>
        <v>#N/A</v>
      </c>
      <c r="J272" s="10" t="s">
        <v>161</v>
      </c>
      <c r="K272" s="58" t="e">
        <f>IF((VLOOKUP('MASQUE COLLABORATEUR'!B272,'Base Matricule Siège'!$B$13:$E$1000,4,FALSE)&lt;'Base Matricule Siège'!$G$5),(VLOOKUP('MASQUE COLLABORATEUR'!B272,'Base Matricule Siège'!$B$13:$E$1000,4,FALSE)),"non")</f>
        <v>#N/A</v>
      </c>
      <c r="L272" s="114" t="s">
        <v>340</v>
      </c>
      <c r="M272" s="115" t="e">
        <f>IF(K272="non","0",VLOOKUP(B272,'Base Matricule Siège'!$B$13:$S$1000,18,FALSE))</f>
        <v>#N/A</v>
      </c>
      <c r="R272" t="s">
        <v>151</v>
      </c>
      <c r="S272" t="s">
        <v>152</v>
      </c>
      <c r="T272" t="s">
        <v>153</v>
      </c>
      <c r="U272" t="s">
        <v>154</v>
      </c>
      <c r="V272" t="s">
        <v>155</v>
      </c>
      <c r="W272" s="59" t="s">
        <v>156</v>
      </c>
      <c r="AB272" t="s">
        <v>11</v>
      </c>
      <c r="AC272" s="14" t="e">
        <f>W297</f>
        <v>#N/A</v>
      </c>
    </row>
    <row r="273" spans="1:29" ht="15.75" hidden="1" outlineLevel="1" thickBot="1" x14ac:dyDescent="0.3">
      <c r="A273" s="49" t="s">
        <v>59</v>
      </c>
      <c r="B273" s="2" t="e">
        <f>VLOOKUP(B272,'Base Matricule Siège'!$B$13:$C$1000,2,FALSE)</f>
        <v>#N/A</v>
      </c>
      <c r="C273" s="2"/>
      <c r="D273" s="2"/>
      <c r="G273" s="57" t="s">
        <v>158</v>
      </c>
      <c r="H273" s="58" t="e">
        <f>VLOOKUP(B272,'Base Matricule Siège'!$B$13:$G$1000,6,FALSE)</f>
        <v>#N/A</v>
      </c>
      <c r="P273" s="10" t="s">
        <v>142</v>
      </c>
      <c r="Q273" s="10" t="s">
        <v>149</v>
      </c>
      <c r="R273">
        <f>IF(F275=Q273,E275,0)+IF(F276=Q273,E276,0)+IF(F277=Q273,E277,0)+IF(Q273=F278,E278,0)+IF(F279=Q273,E279,0)+IF(F280=Q273,E280,0)</f>
        <v>0</v>
      </c>
      <c r="S273">
        <f>IF(M275=Q273,L275,0)+IF(M276=Q273,L276,0)+IF(M277=Q273,L277,0)+IF(Q273=M278,L278,0)+IF(M279=Q273,L279,0)+IF(M280=Q273,L280,0)</f>
        <v>0</v>
      </c>
      <c r="T273">
        <f>IF(F283=Q273,E283,0)+IF(F284=Q273,E284,0)+IF(F285=Q273,E285,0)+IF(Q273=F286,E286,0)+IF(F287=Q273,E287,0)+IF(F288=Q273,E288,0)</f>
        <v>0</v>
      </c>
      <c r="U273">
        <f>IF(M283=Q273,L283,0)+IF(M284=Q273,L284,0)+IF(M285=Q273,L285,0)+IF(Q273=M286,L286,0)+IF(M287=Q273,L287,0)+IF(M288=Q273,L288,0)</f>
        <v>0</v>
      </c>
      <c r="V273">
        <f>IF(F291=Q273,E291,0)+IF(F292=Q273,E292,0)+IF(F293=Q273,E293,0)+IF(Q273=F294,E294,0)+IF(F295=Q273,E295,0)+IF(F296=Q273,E296,0)</f>
        <v>0</v>
      </c>
      <c r="W273" s="63">
        <f>SUM(R273:V273)</f>
        <v>0</v>
      </c>
      <c r="AB273" t="s">
        <v>208</v>
      </c>
      <c r="AC273" s="14">
        <f>SUM(K291:K297)*2</f>
        <v>0</v>
      </c>
    </row>
    <row r="274" spans="1:29" ht="15.75" hidden="1" outlineLevel="1" thickBot="1" x14ac:dyDescent="0.3">
      <c r="A274" s="64" t="str">
        <f>A241</f>
        <v>Semaine 23</v>
      </c>
      <c r="B274" s="65" t="e">
        <f>IF(H273="Cadre","Demi J. Réalisées","H. Réalisées")</f>
        <v>#N/A</v>
      </c>
      <c r="C274" s="65" t="s">
        <v>141</v>
      </c>
      <c r="D274" s="66" t="e">
        <f>IF(H273="Cadre","CP en Demi J.","CP en jours")</f>
        <v>#N/A</v>
      </c>
      <c r="E274" s="66" t="e">
        <f>IF(H273="Cadre","Abs. En Demi J.","Absence en H.")</f>
        <v>#N/A</v>
      </c>
      <c r="F274" s="67" t="s">
        <v>110</v>
      </c>
      <c r="H274" s="64" t="str">
        <f>H241</f>
        <v>Semaine 24</v>
      </c>
      <c r="I274" s="65" t="e">
        <f>B274</f>
        <v>#N/A</v>
      </c>
      <c r="J274" s="65" t="str">
        <f>C274</f>
        <v>Férié</v>
      </c>
      <c r="K274" s="66" t="e">
        <f>D274</f>
        <v>#N/A</v>
      </c>
      <c r="L274" s="66" t="e">
        <f>E274</f>
        <v>#N/A</v>
      </c>
      <c r="M274" s="67" t="str">
        <f>F274</f>
        <v>Type absence</v>
      </c>
      <c r="Q274" s="10" t="s">
        <v>143</v>
      </c>
      <c r="R274">
        <f>IF(F275=Q274,E275,0)+IF(F276=Q274,E276,0)+IF(F277=Q274,E277,0)+IF(Q274=F278,E278,0)+IF(F279=Q274,E279,0)+IF(F280=Q274,E280,0)</f>
        <v>0</v>
      </c>
      <c r="S274">
        <f>IF(M276=Q274,L276,0)+IF(M277=Q274,L277,0)+IF(M278=Q274,L278,0)+IF(Q274=M279,L279,0)+IF(M280=Q274,L280,0)+IF(M275=Q274,L275,0)</f>
        <v>0</v>
      </c>
      <c r="T274">
        <f>IF(F283=Q274,E283,0)+IF(F284=Q274,E284,0)+IF(F285=Q274,E285,0)+IF(Q274=F286,E286,0)+IF(F287=Q274,E287,0)+IF(F288=Q274,E288,0)</f>
        <v>0</v>
      </c>
      <c r="U274">
        <f>IF(M283=Q274,L283,0)+IF(M284=Q274,L284,0)+IF(M285=Q274,L285,0)+IF(Q274=M286,L286,0)+IF(M287=Q274,L287,0)+IF(M288=Q274,L288,0)</f>
        <v>0</v>
      </c>
      <c r="V274">
        <f>IF(F291=Q274,E291,0)+IF(F292=Q274,E292,0)+IF(F293=Q274,E293,0)+IF(Q274=F294,E294,0)+IF(F295=Q274,E295,0)+IF(F296=Q274,E296,0)</f>
        <v>0</v>
      </c>
      <c r="W274" s="63">
        <f t="shared" ref="W274:W286" si="46">SUM(R274:V274)</f>
        <v>0</v>
      </c>
      <c r="AB274" t="s">
        <v>8</v>
      </c>
      <c r="AC274" s="14"/>
    </row>
    <row r="275" spans="1:29" hidden="1" outlineLevel="1" x14ac:dyDescent="0.25">
      <c r="A275" s="68" t="s">
        <v>103</v>
      </c>
      <c r="B275" s="98"/>
      <c r="C275" s="98"/>
      <c r="D275" s="99"/>
      <c r="E275" s="100"/>
      <c r="F275" s="101"/>
      <c r="H275" s="69" t="s">
        <v>103</v>
      </c>
      <c r="I275" s="95"/>
      <c r="J275" s="95"/>
      <c r="K275" s="106"/>
      <c r="L275" s="105"/>
      <c r="M275" s="101"/>
      <c r="Q275" s="10" t="s">
        <v>144</v>
      </c>
      <c r="R275" s="5">
        <f>IF(F277=Q275,E277,0)+IF(F278=Q275,E278,0)+IF(F279=Q275,E279,0)+IF(Q275=F280,E280,0)+IF(F275=Q275,E275,0)+IF(F276=Q275,E276,0)</f>
        <v>0</v>
      </c>
      <c r="S275" s="5">
        <f>IF(M277=Q275,L277,0)+IF(M278=Q275,L278,0)+IF(M279=Q275,L279,0)+IF(Q275=M280,L280,0)+IF(M275=Q275,L275,0)+IF(M276=Q275,L276,0)</f>
        <v>0</v>
      </c>
      <c r="T275" s="5">
        <f>IF(F283=Q275,E283,0)+IF(F284=Q275,E284,0)+IF(F285=Q275,E285,0)+IF(Q275=F286,E286,0)+IF(F287=Q275,E287,0)+IF(F288=Q275,E288,0)</f>
        <v>0</v>
      </c>
      <c r="U275" s="5">
        <f>IF(M283=Q275,L283,0)+IF(M284=Q275,L284,0)+IF(M285=Q275,L285,0)+IF(Q275=M286,L286,0)+IF(M287=Q275,L287,0)+IF(M288=Q275,L288,0)</f>
        <v>0</v>
      </c>
      <c r="V275" s="5">
        <f>IF(F291=Q275,E291,0)+IF(F292=Q275,E292,0)+IF(F293=Q275,E293,0)+IF(Q275=F294,E294,0)+IF(F295=Q275,E295,0)+IF(F296=Q275,E296,0)</f>
        <v>0</v>
      </c>
      <c r="W275" s="63">
        <f t="shared" si="46"/>
        <v>0</v>
      </c>
      <c r="AB275" t="s">
        <v>209</v>
      </c>
      <c r="AC275" s="14">
        <f>W275</f>
        <v>0</v>
      </c>
    </row>
    <row r="276" spans="1:29" hidden="1" outlineLevel="1" x14ac:dyDescent="0.25">
      <c r="A276" s="69" t="s">
        <v>104</v>
      </c>
      <c r="B276" s="96"/>
      <c r="C276" s="96"/>
      <c r="D276" s="102"/>
      <c r="E276" s="103"/>
      <c r="F276" s="38"/>
      <c r="H276" s="69" t="s">
        <v>104</v>
      </c>
      <c r="I276" s="96"/>
      <c r="J276" s="96"/>
      <c r="K276" s="102"/>
      <c r="L276" s="103"/>
      <c r="M276" s="38"/>
      <c r="Q276" s="10" t="s">
        <v>145</v>
      </c>
      <c r="R276">
        <f>IF(F278=Q276,E278,0)+IF(F279=Q276,E279,0)+IF(F280=Q276,E280,0)+IF(Q276=F275,E275,0)+IF(F276=Q276,E276,0)+IF(F277=Q276,E277,0)</f>
        <v>0</v>
      </c>
      <c r="S276">
        <f>IF(M278=Q276,L278,0)+IF(M279=Q276,L279,0)+IF(M280=Q276,L280,0)+IF(Q276=M275,L275,0)+IF(M276=Q276,L276,0)+IF(M277=Q276,L277,0)</f>
        <v>0</v>
      </c>
      <c r="T276">
        <f>IF(F283=Q276,$E283,0)+IF(F284=Q276,E284,0)+IF(F285=Q276,E285,0)+IF(Q276=F286,E286,0)+IF(F287=Q276,E287,0)+IF(F288=Q276,E288,0)</f>
        <v>0</v>
      </c>
      <c r="U276">
        <f>IF(M283=Q276,L283,0)+IF(M284=Q276,L284,0)+IF(M285=Q276,L285,0)+IF(Q276=M286,L286,0)+IF(M287=Q276,L287,0)+IF(M288=Q276,L288,0)</f>
        <v>0</v>
      </c>
      <c r="V276">
        <f>IF(F291=Q276,E291,0)+IF(F292=Q276,E292,0)+IF(F293=Q276,E293,0)+IF(Q276=F294,E294,0)+IF(F295=Q276,E295,0)+IF(F296=Q276,E296,0)</f>
        <v>0</v>
      </c>
      <c r="W276" s="63">
        <f t="shared" si="46"/>
        <v>0</v>
      </c>
      <c r="AB276" t="s">
        <v>210</v>
      </c>
      <c r="AC276" s="14">
        <f>SUM(W273:W286)-W275</f>
        <v>0</v>
      </c>
    </row>
    <row r="277" spans="1:29" hidden="1" outlineLevel="1" x14ac:dyDescent="0.25">
      <c r="A277" s="69" t="s">
        <v>105</v>
      </c>
      <c r="B277" s="96"/>
      <c r="C277" s="96"/>
      <c r="D277" s="102"/>
      <c r="E277" s="103"/>
      <c r="F277" s="38"/>
      <c r="H277" s="69" t="s">
        <v>105</v>
      </c>
      <c r="I277" s="96"/>
      <c r="J277" s="96"/>
      <c r="K277" s="102"/>
      <c r="L277" s="103"/>
      <c r="M277" s="38"/>
      <c r="Q277" s="10" t="s">
        <v>212</v>
      </c>
      <c r="R277">
        <f>IF(F279=Q277,E279,0)+IF(F280=Q277,E280,0)+IF(F275=Q277,E275,0)+IF(Q277=F276,E276,0)+IF(F277=Q277,E277,0)+IF(F278=Q277,E278,0)</f>
        <v>0</v>
      </c>
      <c r="S277">
        <f>IF(M278=Q277,L278,0)+IF(M279=Q277,L279,0)+IF(M280=Q277,L280,0)+IF(Q277=M275,L275,0)+IF(M276=Q277,L276,0)+IF(M277=Q277,L277,0)</f>
        <v>0</v>
      </c>
      <c r="T277">
        <f>IF(F283=Q277,E283,0)+IF(F284=Q277,E284,0)+IF(F285=Q277,E285,0)+IF(Q277=F286,E286,0)+IF(F287=Q277,E287,0)+IF(F288=Q277,E288,0)</f>
        <v>0</v>
      </c>
      <c r="U277">
        <f>IF(M283=Q277,L283,0)+IF(M284=Q277,L284,0)+IF(M285=Q277,L285,0)+IF(Q277=M286,L286,0)+IF(M287=Q277,L287,0)+IF(M288=Q277,L288,0)</f>
        <v>0</v>
      </c>
      <c r="V277">
        <f>IF(F291=Q277,E291,0)+IF(F292=Q277,E292,0)+IF(F293=Q277,E293,0)+IF(Q277=F294,E294,0)+IF(F295=Q277,E295,0)+IF(F296=Q277,E296,0)</f>
        <v>0</v>
      </c>
      <c r="W277" s="63">
        <f t="shared" si="46"/>
        <v>0</v>
      </c>
      <c r="AA277" t="s">
        <v>214</v>
      </c>
      <c r="AB277" t="s">
        <v>213</v>
      </c>
      <c r="AC277" s="5" t="e">
        <f>IF(AC270="Cadre",(W277/2),(W277/7))</f>
        <v>#N/A</v>
      </c>
    </row>
    <row r="278" spans="1:29" hidden="1" outlineLevel="1" x14ac:dyDescent="0.25">
      <c r="A278" s="69" t="s">
        <v>106</v>
      </c>
      <c r="B278" s="96"/>
      <c r="C278" s="96"/>
      <c r="D278" s="102"/>
      <c r="E278" s="103"/>
      <c r="F278" s="38"/>
      <c r="H278" s="69" t="s">
        <v>106</v>
      </c>
      <c r="I278" s="96"/>
      <c r="J278" s="96"/>
      <c r="K278" s="102"/>
      <c r="L278" s="103"/>
      <c r="M278" s="38"/>
      <c r="Q278" s="10" t="s">
        <v>146</v>
      </c>
      <c r="R278">
        <f>IF(F280=Q278,E280,0)+IF(F275=Q278,E275,0)+IF(F276=Q278,E276,0)+IF(Q278=F277,E277,0)+IF(F278=Q278,E278,0)+IF(F279=Q278,E279,0)</f>
        <v>0</v>
      </c>
      <c r="S278">
        <f>IF(M278=Q278,L278,0)+IF(M279=Q278,L279,0)+IF(M280=Q278,L280,0)+IF(Q278=M275,$L$11,0)+IF(M276=Q278,L276,0)+IF(M277=Q278,L277,0)</f>
        <v>0</v>
      </c>
      <c r="T278">
        <f>IF(F283=Q278,E283,0)+IF(F284=Q278,E284,0)+IF(F285=Q278,E285,0)+IF(Q278=F286,E286,0)+IF(F287=Q278,E287,0)+IF(F288=Q278,E288,0)</f>
        <v>0</v>
      </c>
      <c r="U278">
        <f>IF(M283=Q278,L283,0)+IF(M284=Q278,L284,0)+IF(M285=Q278,L285,0)+IF(Q278=M286,L286,0)+IF(M287=Q278,L287,0)+IF(M288=Q278,L288,0)</f>
        <v>0</v>
      </c>
      <c r="V278">
        <f>IF(F291=Q278,E291,0)+IF(F292=Q278,E292,0)+IF(F293=Q278,E293,0)+IF(Q278=F294,E294,0)+IF(F295=Q278,E295,0)+IF(F296=Q278,E296,0)</f>
        <v>0</v>
      </c>
      <c r="W278" s="63">
        <f t="shared" si="46"/>
        <v>0</v>
      </c>
      <c r="AA278" t="s">
        <v>216</v>
      </c>
      <c r="AB278" t="s">
        <v>217</v>
      </c>
      <c r="AC278" s="14" t="e">
        <f>W290+W291</f>
        <v>#N/A</v>
      </c>
    </row>
    <row r="279" spans="1:29" hidden="1" outlineLevel="1" x14ac:dyDescent="0.25">
      <c r="A279" s="69" t="s">
        <v>107</v>
      </c>
      <c r="B279" s="96"/>
      <c r="C279" s="96"/>
      <c r="D279" s="102"/>
      <c r="E279" s="103"/>
      <c r="F279" s="38"/>
      <c r="H279" s="69" t="s">
        <v>107</v>
      </c>
      <c r="I279" s="96"/>
      <c r="J279" s="96"/>
      <c r="K279" s="102"/>
      <c r="L279" s="103"/>
      <c r="M279" s="38"/>
      <c r="Q279" s="10" t="s">
        <v>499</v>
      </c>
      <c r="R279">
        <f>IF(F275=Q279,E275,0)+IF(F276=Q279,E276,0)+IF(F277=Q279,E277,0)+IF(Q279=F278,E278,0)+IF(F279=Q279,E279,0)+IF(F280=Q279,E280,0)</f>
        <v>0</v>
      </c>
      <c r="S279">
        <f>IF(M278=Q279,L278,0)+IF(M279=Q279,L279,0)+IF(M280=Q279,L280,0)+IF(Q279=M275,L275,0)+IF(M276=Q279,L276,0)+IF(M277=Q279,L277,0)</f>
        <v>0</v>
      </c>
      <c r="T279">
        <f>IF(F283=Q279,E283,0)+IF(F284=Q279,E284,0)+IF(F285=Q279,E285,0)+IF(Q279=F286,E286,0)+IF(F287=Q279,E287,0)+IF(F288=Q279,E288,0)</f>
        <v>0</v>
      </c>
      <c r="U279">
        <f>IF(M283=Q279,L283,0)+IF(M284=Q279,L284,0)+IF(M285=Q279,L285,0)+IF(Q279=M286,L286,0)+IF(M287=Q279,L287,0)+IF(M288=Q279,L288,0)</f>
        <v>0</v>
      </c>
      <c r="V279">
        <f>IF(F291=Q279,E291,0)+IF(F292=Q279,E292,0)+IF(F293=Q279,E293,0)+IF(Q279=F294,E294,0)+IF(F295=Q279,E295,0)+IF(F296=Q279,E296,0)</f>
        <v>0</v>
      </c>
      <c r="W279" s="63">
        <f t="shared" si="46"/>
        <v>0</v>
      </c>
      <c r="AA279" t="s">
        <v>218</v>
      </c>
      <c r="AB279" t="s">
        <v>219</v>
      </c>
      <c r="AC279" s="14" t="e">
        <f>W289</f>
        <v>#N/A</v>
      </c>
    </row>
    <row r="280" spans="1:29" hidden="1" outlineLevel="1" x14ac:dyDescent="0.25">
      <c r="A280" s="69" t="s">
        <v>108</v>
      </c>
      <c r="B280" s="96"/>
      <c r="C280" s="96"/>
      <c r="D280" s="102"/>
      <c r="E280" s="103"/>
      <c r="F280" s="38"/>
      <c r="H280" s="69" t="s">
        <v>108</v>
      </c>
      <c r="I280" s="96"/>
      <c r="J280" s="96"/>
      <c r="K280" s="102"/>
      <c r="L280" s="103"/>
      <c r="M280" s="38"/>
      <c r="Q280" s="10" t="s">
        <v>147</v>
      </c>
      <c r="R280">
        <f>IF(F276=Q280,E276,0)+IF(F277=Q280,E277,0)+IF(F278=Q280,E278,0)+IF(Q280=F279,E279,0)+IF(F280=Q280,E280,0)+IF(F275=Q280,E275,0)</f>
        <v>0</v>
      </c>
      <c r="S280">
        <f>IF(M278=Q280,L278,0)+IF(M279=Q280,L279,0)+IF(M280=Q280,L280,0)+IF(Q280=M275,L275,0)+IF(M276=Q280,L276,0)+IF(M277=Q280,L277,0)</f>
        <v>0</v>
      </c>
      <c r="T280">
        <f>IF(F283=Q280,E283,0)+IF(F284=Q280,E284,0)+IF(F285=Q280,E285,0)+IF(Q280=F286,E286,0)+IF(F287=Q280,E287,0)+IF(F288=Q280,E288,0)</f>
        <v>0</v>
      </c>
      <c r="U280">
        <f>IF(M283=Q280,L283,0)+IF(M284=Q280,L284,0)+IF(M285=Q280,L285,0)+IF(Q280=M286,L286,0)+IF(M287=Q280,L287,0)+IF(M288=Q280,L288,0)</f>
        <v>0</v>
      </c>
      <c r="V280">
        <f>IF(F291=Q280,E291,0)+IF(F292=Q280,E292,0)+IF(F293=Q280,E293,0)+IF(Q280=F294,E294,0)+IF(F295=Q280,E295,0)+IF(F296=Q280,E296,0)</f>
        <v>0</v>
      </c>
      <c r="W280" s="63">
        <f t="shared" si="46"/>
        <v>0</v>
      </c>
      <c r="AA280" t="s">
        <v>166</v>
      </c>
      <c r="AB280" t="s">
        <v>220</v>
      </c>
      <c r="AC280" s="14" t="e">
        <f>W294</f>
        <v>#N/A</v>
      </c>
    </row>
    <row r="281" spans="1:29" ht="15.75" hidden="1" outlineLevel="1" thickBot="1" x14ac:dyDescent="0.3">
      <c r="A281" s="70" t="s">
        <v>109</v>
      </c>
      <c r="B281" s="97"/>
      <c r="C281" s="97"/>
      <c r="D281" s="71"/>
      <c r="E281" s="104"/>
      <c r="F281" s="38"/>
      <c r="H281" s="70" t="s">
        <v>109</v>
      </c>
      <c r="I281" s="97"/>
      <c r="J281" s="97"/>
      <c r="K281" s="71"/>
      <c r="L281" s="104"/>
      <c r="M281" s="38"/>
      <c r="Q281" s="10" t="s">
        <v>500</v>
      </c>
      <c r="R281">
        <f>IF(F277=Q281,E277,0)+IF(F278=Q281,E278,0)+IF(F279=Q281,E279,0)+IF(Q281=F280,E280,0)+IF(F275=Q281,E275,0)+IF(F276=Q281,E276,0)</f>
        <v>0</v>
      </c>
      <c r="S281">
        <f>IF(M278=Q281,L278,0)+IF(M279=Q281,L279,0)+IF(M280=Q281,L280,0)+IF(Q281=M275,L275,0)+IF(M276=Q281,L276,0)+IF(M277=Q281,L277,0)</f>
        <v>0</v>
      </c>
      <c r="T281">
        <f>IF(F283=Q281,E283,0)+IF(F284=Q281,E284,0)+IF(F285=Q281,E285,0)+IF(Q281=F286,E286,0)+IF(F287=Q281,E287,0)+IF(F288=Q281,E288,0)</f>
        <v>0</v>
      </c>
      <c r="U281">
        <f>IF(M283=Q281,L283,0)+IF(M284=Q281,L284,0)+IF(M285=Q281,L285,0)+IF(Q281=M286,L286,0)+IF(M287=Q281,L287,0)+IF(M288=Q281,L288,0)</f>
        <v>0</v>
      </c>
      <c r="V281">
        <f>IF(F291=Q281,E291,0)+IF(F292=Q281,E292,0)+IF(F293=Q281,E293,0)+IF(Q281=F294,E294,0)+IF(F295=Q281,E295,0)+IF(F296=Q281,E296,0)</f>
        <v>0</v>
      </c>
      <c r="W281" s="63">
        <f t="shared" si="46"/>
        <v>0</v>
      </c>
      <c r="AA281" t="s">
        <v>222</v>
      </c>
      <c r="AB281" t="s">
        <v>220</v>
      </c>
      <c r="AC281" s="14" t="e">
        <f>W295</f>
        <v>#N/A</v>
      </c>
    </row>
    <row r="282" spans="1:29" ht="15.75" hidden="1" outlineLevel="1" thickBot="1" x14ac:dyDescent="0.3">
      <c r="A282" s="64" t="str">
        <f>A249</f>
        <v>Ne pas saisir</v>
      </c>
      <c r="B282" s="65" t="e">
        <f>B274</f>
        <v>#N/A</v>
      </c>
      <c r="C282" s="65" t="str">
        <f>C274</f>
        <v>Férié</v>
      </c>
      <c r="D282" s="66" t="e">
        <f>D274</f>
        <v>#N/A</v>
      </c>
      <c r="E282" s="66"/>
      <c r="F282" s="67"/>
      <c r="H282" s="64" t="str">
        <f>H249</f>
        <v>Ne pas saisir</v>
      </c>
      <c r="I282" s="65" t="e">
        <f>B274</f>
        <v>#N/A</v>
      </c>
      <c r="J282" s="65" t="str">
        <f>C274</f>
        <v>Férié</v>
      </c>
      <c r="K282" s="66" t="e">
        <f>D274</f>
        <v>#N/A</v>
      </c>
      <c r="L282" s="66" t="e">
        <f>E274</f>
        <v>#N/A</v>
      </c>
      <c r="M282" s="67" t="str">
        <f>F274</f>
        <v>Type absence</v>
      </c>
      <c r="Q282" s="10" t="s">
        <v>148</v>
      </c>
      <c r="R282">
        <f>IF(F278=Q282,E278,0)+IF(F279=Q282,E279,0)+IF(F280=Q282,E280,0)+IF(Q282=F275,E275,0)+IF(F276=Q282,E276,0)+IF(F277=Q282,E277,0)</f>
        <v>0</v>
      </c>
      <c r="S282">
        <f>IF(M278=Q282,L278,0)+IF(M279=Q282,L279,0)+IF(M280=Q282,L280,0)+IF(Q282=M275,L275,0)+IF(M276=Q282,L276,0)+IF(M277=Q282,L277,0)</f>
        <v>0</v>
      </c>
      <c r="T282">
        <f>IF(F283=Q282,E283,0)+IF(F284=Q282,E284,0)+IF(F285=Q282,E285,0)+IF(Q282=F286,E286,0)+IF(F287=Q282,E287,0)+IF(F288=Q282,E288,0)</f>
        <v>0</v>
      </c>
      <c r="U282">
        <f>IF(M283=Q282,L283,0)+IF(M284=Q282,L284,0)+IF(M285=Q282,L285,0)+IF(Q282=M286,L286,0)+IF(M287=Q282,L287,0)+IF(M288=Q282,L288,0)</f>
        <v>0</v>
      </c>
      <c r="V282">
        <f>IF(F291=Q282,E291,0)+IF(F292=Q282,E292,0)+IF(F293=Q282,E293,0)+IF(Q282=F294,E294,0)+IF(F295=Q282,E295,0)+IF(F296=Q282,E296,0)</f>
        <v>0</v>
      </c>
      <c r="W282" s="63">
        <f t="shared" si="46"/>
        <v>0</v>
      </c>
      <c r="AA282" t="s">
        <v>223</v>
      </c>
      <c r="AB282" t="s">
        <v>224</v>
      </c>
      <c r="AC282" s="14" t="e">
        <f>W293</f>
        <v>#N/A</v>
      </c>
    </row>
    <row r="283" spans="1:29" hidden="1" outlineLevel="1" x14ac:dyDescent="0.25">
      <c r="A283" s="69" t="s">
        <v>103</v>
      </c>
      <c r="B283" s="95"/>
      <c r="C283" s="95"/>
      <c r="D283" s="106"/>
      <c r="E283" s="105"/>
      <c r="F283" s="101"/>
      <c r="H283" s="69" t="s">
        <v>103</v>
      </c>
      <c r="I283" s="95"/>
      <c r="J283" s="95"/>
      <c r="K283" s="106"/>
      <c r="L283" s="105"/>
      <c r="M283" s="101"/>
      <c r="Q283" s="10" t="s">
        <v>150</v>
      </c>
      <c r="R283">
        <f>IF(F279=Q283,E279,0)+IF(F280=Q283,E280,0)+IF(F275=Q283,E275,0)+IF(Q283=F276,E276,0)+IF(F277=Q283,E277,0)+IF(F278=Q283,E278,0)</f>
        <v>0</v>
      </c>
      <c r="S283">
        <f>IF(M278=Q283,L278,0)+IF(M279=Q283,L279,0)+IF(M280=Q283,L280,0)+IF(Q283=M275,L275,0)+IF(M276=Q283,L276,0)+IF(M277=Q283,L277,0)</f>
        <v>0</v>
      </c>
      <c r="T283">
        <f>IF(F283=Q283,E283,0)+IF(F284=Q283,E284,0)+IF(F285=Q283,E285,0)+IF(Q283=F286,E286,0)+IF(F287=Q283,E287,0)+IF(F288=Q283,E288,0)</f>
        <v>0</v>
      </c>
      <c r="U283">
        <f>IF(M283=Q283,L283,0)+IF(M284=Q283,L284,0)+IF(M285=Q283,L285,0)+IF(Q283=M286,L286,0)+IF(M287=Q283,L287,0)+IF(M288=Q283,L288,0)</f>
        <v>0</v>
      </c>
      <c r="V283">
        <f>IF(F291=Q283,E291,0)+IF(F292=Q283,E292,0)+IF(F293=Q283,E293,0)+IF(Q283=F294,E294,0)+IF(F295=Q283,E295,0)+IF(F296=Q283,E296,0)</f>
        <v>0</v>
      </c>
      <c r="W283" s="63">
        <f t="shared" si="46"/>
        <v>0</v>
      </c>
      <c r="AB283" t="s">
        <v>267</v>
      </c>
      <c r="AC283">
        <f>(SUM(B275:B281))</f>
        <v>0</v>
      </c>
    </row>
    <row r="284" spans="1:29" hidden="1" outlineLevel="1" x14ac:dyDescent="0.25">
      <c r="A284" s="69" t="s">
        <v>104</v>
      </c>
      <c r="B284" s="96"/>
      <c r="C284" s="96"/>
      <c r="D284" s="102"/>
      <c r="E284" s="103"/>
      <c r="F284" s="38"/>
      <c r="H284" s="69" t="s">
        <v>104</v>
      </c>
      <c r="I284" s="96"/>
      <c r="J284" s="96"/>
      <c r="K284" s="102"/>
      <c r="L284" s="103"/>
      <c r="M284" s="38"/>
      <c r="Q284" s="10" t="s">
        <v>502</v>
      </c>
      <c r="R284">
        <f>IF(F280=Q284,E280,0)+IF(F275=Q284,E275,0)+IF(F276=Q284,E276,0)+IF(Q284=F277,E277,0)+IF(F278=Q284,E278,0)+IF(F279=Q284,E279,0)</f>
        <v>0</v>
      </c>
      <c r="S284">
        <f>IF(M278=Q284,L278,0)+IF(M279=Q284,L279,0)+IF(M280=Q284,L280,0)+IF(Q284=M275,L275,0)+IF(M276=Q284,L276,0)+IF(M277=Q284,L277,0)</f>
        <v>0</v>
      </c>
      <c r="T284">
        <f>IF(F283=Q284,E283,0)+IF(F284=Q284,E284,0)+IF(F285=Q284,E285,0)+IF(Q284=F286,E286,0)+IF(F287=Q284,E287,0)+IF(F288=Q284,E288,0)</f>
        <v>0</v>
      </c>
      <c r="U284">
        <f>IF(M283=Q284,L283,0)+IF(M284=Q284,L284,0)+IF(M285=Q284,L285,0)+IF(Q284=M286,L286,0)+IF(M287=Q284,L287,0)+IF(M288=Q284,L288,0)</f>
        <v>0</v>
      </c>
      <c r="V284">
        <f>IF(F291=Q284,E291,0)+IF(F292=Q284,E292,0)+IF(F293=Q284,E293,0)+IF(Q284=F294,E294,0)+IF(F295=Q284,E295,0)+IF(F296=Q284,E296,0)</f>
        <v>0</v>
      </c>
      <c r="W284" s="63">
        <f t="shared" si="46"/>
        <v>0</v>
      </c>
      <c r="AB284" t="s">
        <v>268</v>
      </c>
      <c r="AC284">
        <f>(SUM(I275:I281))</f>
        <v>0</v>
      </c>
    </row>
    <row r="285" spans="1:29" hidden="1" outlineLevel="1" x14ac:dyDescent="0.25">
      <c r="A285" s="69" t="s">
        <v>105</v>
      </c>
      <c r="B285" s="96"/>
      <c r="C285" s="96"/>
      <c r="D285" s="102"/>
      <c r="E285" s="103"/>
      <c r="F285" s="38"/>
      <c r="H285" s="69" t="s">
        <v>105</v>
      </c>
      <c r="I285" s="96"/>
      <c r="J285" s="96"/>
      <c r="K285" s="102"/>
      <c r="L285" s="103"/>
      <c r="M285" s="38"/>
      <c r="Q285" s="10" t="s">
        <v>498</v>
      </c>
      <c r="R285">
        <f>IF(F275=Q285,E275,0)+IF(F276=Q285,E276,0)+IF(F277=Q285,E277,0)+IF(Q285=F278,E278,0)+IF(F279=Q285,E279,0)+IF(F280=Q285,E280,0)</f>
        <v>0</v>
      </c>
      <c r="S285">
        <f>IF(M278=Q285,L278,0)+IF(M279=Q285,L279,0)+IF(M280=Q285,L280,0)+IF(Q285=M275,L275,0)+IF(M276=Q285,L276,0)+IF(M277=Q285,L277,0)</f>
        <v>0</v>
      </c>
      <c r="T285">
        <f>IF(F283=Q285,E283,0)+IF(F284=Q285,E284,0)+IF(F285=Q285,E285,0)+IF(Q285=F286,E286,0)+IF(F287=Q285,E287,0)+IF(F288=Q285,E288,0)</f>
        <v>0</v>
      </c>
      <c r="U285">
        <f>IF(M283=Q285,L283,0)+IF(M284=Q285,L284,0)+IF(M285=Q285,L285,0)+IF(Q285=M286,L286,0)+IF(M287=Q285,L287,0)+IF(M288=Q285,L288,0)</f>
        <v>0</v>
      </c>
      <c r="V285">
        <f>IF(F291=Q285,E291,0)+IF(F292=Q285,E292,0)+IF(F293=Q285,E293,0)+IF(Q285=F294,E294,0)+IF(F295=Q285,E295,0)+IF(F296=Q285,E296,0)</f>
        <v>0</v>
      </c>
      <c r="W285" s="63">
        <f t="shared" si="46"/>
        <v>0</v>
      </c>
      <c r="AB285" t="s">
        <v>269</v>
      </c>
      <c r="AC285">
        <f>(SUM(B283:B289))</f>
        <v>0</v>
      </c>
    </row>
    <row r="286" spans="1:29" hidden="1" outlineLevel="1" x14ac:dyDescent="0.25">
      <c r="A286" s="69" t="s">
        <v>106</v>
      </c>
      <c r="B286" s="96"/>
      <c r="C286" s="96"/>
      <c r="D286" s="102"/>
      <c r="E286" s="103"/>
      <c r="F286" s="38"/>
      <c r="H286" s="69" t="s">
        <v>106</v>
      </c>
      <c r="I286" s="96"/>
      <c r="J286" s="96"/>
      <c r="K286" s="102"/>
      <c r="L286" s="103"/>
      <c r="M286" s="38"/>
      <c r="P286" s="72"/>
      <c r="Q286" s="73" t="s">
        <v>501</v>
      </c>
      <c r="R286" s="72">
        <f>IF(F276=Q286,E276,0)+IF(F277=Q286,E277,0)+IF(F278=Q286,E278,0)+IF(Q286=F279,E279,0)+IF(F280=Q286,E280,0)+IF(F275=Q286,E275,0)</f>
        <v>0</v>
      </c>
      <c r="S286" s="72">
        <f>IF(M278=Q286,L278,0)+IF(M279=Q286,L279,0)+IF(M280=Q286,L280,0)+IF(Q286=M275,L275,0)+IF(M276=Q286,L276,0)+IF(M277=Q286,L277,0)</f>
        <v>0</v>
      </c>
      <c r="T286" s="72">
        <f>IF(F283=Q286,E283,0)+IF(F284=Q286,E284,0)+IF(F285=Q286,E285,0)+IF(Q286=F286,E286,0)+IF(F287=Q286,E287,0)+IF(F288=Q286,E288,0)</f>
        <v>0</v>
      </c>
      <c r="U286" s="72">
        <f>IF(M283=Q286,L283,0)+IF(M284=Q286,L284,0)+IF(M285=Q286,L285,0)+IF(Q286=M286,L286,0)+IF(M287=Q286,L287,0)+IF(M288=Q286,L288,0)</f>
        <v>0</v>
      </c>
      <c r="V286" s="72">
        <f>IF(F291=Q286,E291,0)+IF(F292=Q286,E292,0)+IF(F293=Q286,E293,0)+IF(Q286=F294,E294,0)+IF(F295=Q286,E295,0)+IF(F296=Q286,E296,0)</f>
        <v>0</v>
      </c>
      <c r="W286" s="74">
        <f t="shared" si="46"/>
        <v>0</v>
      </c>
      <c r="AB286" t="s">
        <v>270</v>
      </c>
      <c r="AC286">
        <f>(SUM(I283:I289))</f>
        <v>0</v>
      </c>
    </row>
    <row r="287" spans="1:29" hidden="1" outlineLevel="1" x14ac:dyDescent="0.25">
      <c r="A287" s="69" t="s">
        <v>107</v>
      </c>
      <c r="B287" s="96"/>
      <c r="C287" s="96"/>
      <c r="D287" s="102"/>
      <c r="E287" s="103"/>
      <c r="F287" s="38"/>
      <c r="H287" s="69" t="s">
        <v>107</v>
      </c>
      <c r="I287" s="96"/>
      <c r="J287" s="96"/>
      <c r="K287" s="102"/>
      <c r="L287" s="103"/>
      <c r="M287" s="38"/>
      <c r="Q287" s="75" t="s">
        <v>169</v>
      </c>
      <c r="R287" s="2" t="e">
        <f>IF(M272="Règlement HC",K272*10%,0)</f>
        <v>#N/A</v>
      </c>
      <c r="S287" s="2" t="e">
        <f>IF(M272="Règlement HC",K272*10%,0)</f>
        <v>#N/A</v>
      </c>
      <c r="T287" s="2" t="e">
        <f>IF(M272="Règlement HC",K272*10%,0)</f>
        <v>#N/A</v>
      </c>
      <c r="U287" s="2" t="e">
        <f>IF(M272="Règlement HC",K272*10%,0)</f>
        <v>#N/A</v>
      </c>
      <c r="V287" s="2" t="e">
        <f>IF(M272="Règlement HC",K272*10%,0)</f>
        <v>#N/A</v>
      </c>
      <c r="W287" s="76"/>
      <c r="AB287" t="s">
        <v>271</v>
      </c>
      <c r="AC287">
        <f>(SUM(B291:B297))</f>
        <v>0</v>
      </c>
    </row>
    <row r="288" spans="1:29" hidden="1" outlineLevel="1" x14ac:dyDescent="0.25">
      <c r="A288" s="69" t="s">
        <v>108</v>
      </c>
      <c r="B288" s="96"/>
      <c r="C288" s="96"/>
      <c r="D288" s="102"/>
      <c r="E288" s="103"/>
      <c r="F288" s="38"/>
      <c r="H288" s="69" t="s">
        <v>108</v>
      </c>
      <c r="I288" s="96"/>
      <c r="J288" s="96"/>
      <c r="K288" s="102"/>
      <c r="L288" s="103"/>
      <c r="M288" s="38"/>
      <c r="Q288" s="75" t="s">
        <v>175</v>
      </c>
      <c r="R288" s="2" t="e">
        <f>IF(M272="Règlement HC",SUM(B275:B281)-K272,0)</f>
        <v>#N/A</v>
      </c>
      <c r="S288" s="2" t="e">
        <f>IF(M272="Règlement HC",SUM(I275:I281)-K272,0)</f>
        <v>#N/A</v>
      </c>
      <c r="T288" s="2" t="e">
        <f>IF(M272="Règlement HC",SUM(B283:B289)-K272,0)</f>
        <v>#N/A</v>
      </c>
      <c r="U288" s="2" t="e">
        <f>IF(M272="Règlement HC",SUM(I283:I289)-K272,0)</f>
        <v>#N/A</v>
      </c>
      <c r="V288" s="2" t="e">
        <f>IF(M272="Règlement HC",SUM(B291:B297)-K272,0)</f>
        <v>#N/A</v>
      </c>
      <c r="W288" s="63" t="e">
        <f>SUM((IF(R288&gt;0,R288,0)+(IF(S288&gt;0,S288,0)+(IF(T288&gt;0,T288,0)+(IF(U288&gt;0,U288,0)+(IF(V288&gt;0,V288,0)))))))</f>
        <v>#N/A</v>
      </c>
      <c r="AA288" t="s">
        <v>313</v>
      </c>
      <c r="AB288" t="s">
        <v>314</v>
      </c>
      <c r="AC288" t="e">
        <f>W292</f>
        <v>#N/A</v>
      </c>
    </row>
    <row r="289" spans="1:29" ht="15.75" hidden="1" outlineLevel="1" thickBot="1" x14ac:dyDescent="0.3">
      <c r="A289" s="70" t="s">
        <v>109</v>
      </c>
      <c r="B289" s="97"/>
      <c r="C289" s="97"/>
      <c r="D289" s="71"/>
      <c r="E289" s="104"/>
      <c r="F289" s="38"/>
      <c r="H289" s="70" t="s">
        <v>109</v>
      </c>
      <c r="I289" s="97"/>
      <c r="J289" s="97"/>
      <c r="K289" s="71"/>
      <c r="L289" s="104"/>
      <c r="M289" s="39"/>
      <c r="P289" t="s">
        <v>170</v>
      </c>
      <c r="Q289" s="10" t="s">
        <v>162</v>
      </c>
      <c r="R289" t="e">
        <f>IF(R288&gt;=R287,R287,R288)</f>
        <v>#N/A</v>
      </c>
      <c r="S289" t="e">
        <f>IF(S288&gt;=S287,S287,S288)</f>
        <v>#N/A</v>
      </c>
      <c r="T289" t="e">
        <f>IF(T288&gt;=T287,T287,T288)</f>
        <v>#N/A</v>
      </c>
      <c r="U289" t="e">
        <f>IF(U288&gt;=U287,U287,U288)</f>
        <v>#N/A</v>
      </c>
      <c r="V289" t="e">
        <f>IF(V288&gt;=V287,V287,V288)</f>
        <v>#N/A</v>
      </c>
      <c r="W289" s="63" t="e">
        <f>SUM((IF(R289&gt;0,R289,0)+(IF(S289&gt;0,S289,0)+(IF(T289&gt;0,T289,0)+(IF(U289&gt;0,U289,0)+(IF(V289&gt;0,V289,0)))))))</f>
        <v>#N/A</v>
      </c>
    </row>
    <row r="290" spans="1:29" ht="15.75" hidden="1" outlineLevel="1" thickBot="1" x14ac:dyDescent="0.3">
      <c r="A290" s="64" t="str">
        <f>A257</f>
        <v>Ne pas saisir</v>
      </c>
      <c r="B290" s="65" t="e">
        <f>B274</f>
        <v>#N/A</v>
      </c>
      <c r="C290" s="65" t="str">
        <f>C274</f>
        <v>Férié</v>
      </c>
      <c r="D290" s="66" t="e">
        <f>D274</f>
        <v>#N/A</v>
      </c>
      <c r="E290" s="66" t="e">
        <f>E274</f>
        <v>#N/A</v>
      </c>
      <c r="F290" s="67" t="str">
        <f>F274</f>
        <v>Type absence</v>
      </c>
      <c r="H290" s="77" t="s">
        <v>136</v>
      </c>
      <c r="I290" s="78" t="e">
        <f>B274</f>
        <v>#N/A</v>
      </c>
      <c r="J290" s="78" t="str">
        <f>C274</f>
        <v>Férié</v>
      </c>
      <c r="K290" s="79" t="e">
        <f>D274</f>
        <v>#N/A</v>
      </c>
      <c r="L290" s="80" t="e">
        <f>E274</f>
        <v>#N/A</v>
      </c>
      <c r="M290" s="49"/>
      <c r="P290" t="s">
        <v>170</v>
      </c>
      <c r="Q290" s="10" t="s">
        <v>163</v>
      </c>
      <c r="R290" t="e">
        <f>R288-R289</f>
        <v>#N/A</v>
      </c>
      <c r="S290" t="e">
        <f>S288-S289</f>
        <v>#N/A</v>
      </c>
      <c r="T290" t="e">
        <f>T288-T289</f>
        <v>#N/A</v>
      </c>
      <c r="U290" t="e">
        <f>U288-U289</f>
        <v>#N/A</v>
      </c>
      <c r="V290" t="e">
        <f>V288-V289</f>
        <v>#N/A</v>
      </c>
      <c r="W290" s="63" t="e">
        <f t="shared" ref="W290:W295" si="47">SUM(R290:V290)</f>
        <v>#N/A</v>
      </c>
    </row>
    <row r="291" spans="1:29" hidden="1" outlineLevel="1" x14ac:dyDescent="0.25">
      <c r="A291" s="69" t="s">
        <v>103</v>
      </c>
      <c r="B291" s="95"/>
      <c r="C291" s="95"/>
      <c r="D291" s="106"/>
      <c r="E291" s="105"/>
      <c r="F291" s="101"/>
      <c r="H291" s="81" t="s">
        <v>103</v>
      </c>
      <c r="I291" s="82">
        <f t="shared" ref="I291:I296" si="48">B275+I275+B283+I283+B291</f>
        <v>0</v>
      </c>
      <c r="J291" s="82">
        <f t="shared" ref="J291:J296" si="49">C275+J275+C283+J283+C291</f>
        <v>0</v>
      </c>
      <c r="K291" s="83">
        <f t="shared" ref="K291:K296" si="50">D275+K275+D283+K283+D291</f>
        <v>0</v>
      </c>
      <c r="L291" s="84">
        <f t="shared" ref="L291:L296" si="51">E275+L275+E283+L283+E291</f>
        <v>0</v>
      </c>
      <c r="M291" s="303" t="s">
        <v>177</v>
      </c>
      <c r="N291" s="304"/>
      <c r="O291" s="304"/>
      <c r="Q291" s="10" t="s">
        <v>164</v>
      </c>
      <c r="R291" t="e">
        <f>IF(AND(K272="non",(SUM(B275:B281)&gt;U271)),SUM(B275:B281)-U271,0)</f>
        <v>#N/A</v>
      </c>
      <c r="S291" t="e">
        <f>IF(AND(K272="non",(SUM(I275:I281)&gt;U271)),SUM(I275:I281)-U271,0)</f>
        <v>#N/A</v>
      </c>
      <c r="T291" t="e">
        <f>IF(AND(K272="non",(SUM(B283:B289)&gt;U271)),SUM(B283:B289)-U271,0)</f>
        <v>#N/A</v>
      </c>
      <c r="U291" t="e">
        <f>IF(AND(K272="non",(SUM(I283:I289)&gt;U271)),SUM(I283:I289)-U271,0)</f>
        <v>#N/A</v>
      </c>
      <c r="V291" t="e">
        <f>IF(AND(K272="non",(SUM(B291:B297)&gt;U271)),SUM(B291:B297)-U271,0)</f>
        <v>#N/A</v>
      </c>
      <c r="W291" s="63" t="e">
        <f t="shared" si="47"/>
        <v>#N/A</v>
      </c>
    </row>
    <row r="292" spans="1:29" hidden="1" outlineLevel="1" x14ac:dyDescent="0.25">
      <c r="A292" s="69" t="s">
        <v>104</v>
      </c>
      <c r="B292" s="96"/>
      <c r="C292" s="96"/>
      <c r="D292" s="102"/>
      <c r="E292" s="103"/>
      <c r="F292" s="38"/>
      <c r="H292" s="81" t="s">
        <v>104</v>
      </c>
      <c r="I292" s="88">
        <f t="shared" si="48"/>
        <v>0</v>
      </c>
      <c r="J292" s="88">
        <f t="shared" si="49"/>
        <v>0</v>
      </c>
      <c r="K292" s="89">
        <f t="shared" si="50"/>
        <v>0</v>
      </c>
      <c r="L292" s="90">
        <f t="shared" si="51"/>
        <v>0</v>
      </c>
      <c r="M292" s="49"/>
      <c r="P292" t="s">
        <v>167</v>
      </c>
      <c r="Q292" s="10" t="s">
        <v>165</v>
      </c>
      <c r="R292" t="e">
        <f>IF(H273="Cadre",0,SUM(C275:C281))</f>
        <v>#N/A</v>
      </c>
      <c r="S292" t="e">
        <f>IF(H273="Cadre",0,SUM(J275:J281))</f>
        <v>#N/A</v>
      </c>
      <c r="T292" t="e">
        <f>IF(H273="Cadre",0,SUM(C283:C289))</f>
        <v>#N/A</v>
      </c>
      <c r="U292" t="e">
        <f>IF(H273="Cadre",0,SUM(J283:J289))</f>
        <v>#N/A</v>
      </c>
      <c r="V292" t="e">
        <f>IF(H273="Cadre",0,SUM(C291:C297))</f>
        <v>#N/A</v>
      </c>
      <c r="W292" s="63" t="e">
        <f t="shared" si="47"/>
        <v>#N/A</v>
      </c>
    </row>
    <row r="293" spans="1:29" hidden="1" outlineLevel="1" x14ac:dyDescent="0.25">
      <c r="A293" s="69" t="s">
        <v>105</v>
      </c>
      <c r="B293" s="96"/>
      <c r="C293" s="96"/>
      <c r="D293" s="102"/>
      <c r="E293" s="103"/>
      <c r="F293" s="38"/>
      <c r="H293" s="81" t="s">
        <v>105</v>
      </c>
      <c r="I293" s="88">
        <f t="shared" si="48"/>
        <v>0</v>
      </c>
      <c r="J293" s="88">
        <f t="shared" si="49"/>
        <v>0</v>
      </c>
      <c r="K293" s="89">
        <f t="shared" si="50"/>
        <v>0</v>
      </c>
      <c r="L293" s="90">
        <f t="shared" si="51"/>
        <v>0</v>
      </c>
      <c r="M293" s="49"/>
      <c r="P293" t="s">
        <v>168</v>
      </c>
      <c r="Q293" s="10" t="s">
        <v>165</v>
      </c>
      <c r="R293" t="e">
        <f>IF(H273="Cadre",((SUM(C275:C281)/2)*5),0)</f>
        <v>#N/A</v>
      </c>
      <c r="S293" t="e">
        <f>IF(H273="Cadre",(SUM(J275:J281)/2*5),0)</f>
        <v>#N/A</v>
      </c>
      <c r="T293" t="e">
        <f>IF(H273="Cadre",(SUM(C283:C289)/2*5),0)</f>
        <v>#N/A</v>
      </c>
      <c r="U293" t="e">
        <f>IF(H273="Cadre",(SUM(J283:J289)/2*5),0)</f>
        <v>#N/A</v>
      </c>
      <c r="V293" t="e">
        <f>IF(H273="Cadre",(SUM(C291:C297)/2*5),0)</f>
        <v>#N/A</v>
      </c>
      <c r="W293" s="63" t="e">
        <f t="shared" si="47"/>
        <v>#N/A</v>
      </c>
    </row>
    <row r="294" spans="1:29" hidden="1" outlineLevel="1" x14ac:dyDescent="0.25">
      <c r="A294" s="69" t="s">
        <v>106</v>
      </c>
      <c r="B294" s="96"/>
      <c r="C294" s="96"/>
      <c r="D294" s="102"/>
      <c r="E294" s="103"/>
      <c r="F294" s="38"/>
      <c r="H294" s="81" t="s">
        <v>106</v>
      </c>
      <c r="I294" s="88">
        <f t="shared" si="48"/>
        <v>0</v>
      </c>
      <c r="J294" s="88">
        <f t="shared" si="49"/>
        <v>0</v>
      </c>
      <c r="K294" s="89">
        <f t="shared" si="50"/>
        <v>0</v>
      </c>
      <c r="L294" s="90">
        <f t="shared" si="51"/>
        <v>0</v>
      </c>
      <c r="M294" s="49"/>
      <c r="P294" t="s">
        <v>166</v>
      </c>
      <c r="Q294" s="10" t="s">
        <v>159</v>
      </c>
      <c r="R294" t="e">
        <f>IF(H273="Employé",B281,0)</f>
        <v>#N/A</v>
      </c>
      <c r="S294" t="e">
        <f>IF(H273="Employé",I281,0)</f>
        <v>#N/A</v>
      </c>
      <c r="T294" t="e">
        <f>IF(H273="Employé",B289,0)</f>
        <v>#N/A</v>
      </c>
      <c r="U294" t="e">
        <f>IF(H273="Employé",I289,0)</f>
        <v>#N/A</v>
      </c>
      <c r="V294" t="e">
        <f>IF(H273="Employé",B297,0)</f>
        <v>#N/A</v>
      </c>
      <c r="W294" s="63" t="e">
        <f t="shared" si="47"/>
        <v>#N/A</v>
      </c>
    </row>
    <row r="295" spans="1:29" hidden="1" outlineLevel="1" x14ac:dyDescent="0.25">
      <c r="A295" s="69" t="s">
        <v>107</v>
      </c>
      <c r="B295" s="96"/>
      <c r="C295" s="96"/>
      <c r="D295" s="102"/>
      <c r="E295" s="103"/>
      <c r="F295" s="38"/>
      <c r="H295" s="81" t="s">
        <v>107</v>
      </c>
      <c r="I295" s="88">
        <f t="shared" si="48"/>
        <v>0</v>
      </c>
      <c r="J295" s="88">
        <f t="shared" si="49"/>
        <v>0</v>
      </c>
      <c r="K295" s="89">
        <f t="shared" si="50"/>
        <v>0</v>
      </c>
      <c r="L295" s="90">
        <f t="shared" si="51"/>
        <v>0</v>
      </c>
      <c r="M295" s="303" t="s">
        <v>178</v>
      </c>
      <c r="N295" s="304"/>
      <c r="O295" s="304"/>
      <c r="P295" t="s">
        <v>297</v>
      </c>
      <c r="Q295" s="10" t="s">
        <v>159</v>
      </c>
      <c r="R295" t="e">
        <f>IF(H273="Cadre",IF(B281=2,5,0),0)</f>
        <v>#N/A</v>
      </c>
      <c r="S295" t="e">
        <f>IF(H273="Cadre",IF(I281=2,5,0),0)</f>
        <v>#N/A</v>
      </c>
      <c r="T295" t="e">
        <f>IF(H273="Cadre",IF(B289=2,5,0),0)</f>
        <v>#N/A</v>
      </c>
      <c r="U295" t="e">
        <f>IF(H273="Cadre",IF(I289=2,5,0),0)</f>
        <v>#N/A</v>
      </c>
      <c r="V295" t="e">
        <f>IF(H273="Cadre",IF(B297=2,5,0),0)</f>
        <v>#N/A</v>
      </c>
      <c r="W295" s="63" t="e">
        <f t="shared" si="47"/>
        <v>#N/A</v>
      </c>
    </row>
    <row r="296" spans="1:29" hidden="1" outlineLevel="1" x14ac:dyDescent="0.25">
      <c r="A296" s="69" t="s">
        <v>108</v>
      </c>
      <c r="B296" s="96"/>
      <c r="C296" s="96"/>
      <c r="D296" s="102"/>
      <c r="E296" s="103"/>
      <c r="F296" s="38"/>
      <c r="H296" s="81" t="s">
        <v>108</v>
      </c>
      <c r="I296" s="88">
        <f t="shared" si="48"/>
        <v>0</v>
      </c>
      <c r="J296" s="88">
        <f t="shared" si="49"/>
        <v>0</v>
      </c>
      <c r="K296" s="89">
        <f t="shared" si="50"/>
        <v>0</v>
      </c>
      <c r="L296" s="90">
        <f t="shared" si="51"/>
        <v>0</v>
      </c>
      <c r="M296" s="49"/>
      <c r="P296" t="s">
        <v>171</v>
      </c>
      <c r="Q296" s="10" t="s">
        <v>172</v>
      </c>
      <c r="R296" s="2"/>
      <c r="S296" s="2"/>
      <c r="T296" s="2"/>
      <c r="U296" s="2"/>
      <c r="V296" s="2"/>
      <c r="W296" s="91" t="e">
        <f>IF(AND(K272="non",H273="Employé"),SUM(I291:I297)+(SUM(W273:W286)-W269),(SUM(I291:I297)-W288)+(SUM(W273:W286)-W269))</f>
        <v>#N/A</v>
      </c>
    </row>
    <row r="297" spans="1:29" ht="15.75" hidden="1" outlineLevel="1" thickBot="1" x14ac:dyDescent="0.3">
      <c r="A297" s="70" t="s">
        <v>109</v>
      </c>
      <c r="B297" s="97"/>
      <c r="C297" s="97"/>
      <c r="D297" s="71"/>
      <c r="E297" s="104"/>
      <c r="F297" s="39"/>
      <c r="H297" s="92" t="s">
        <v>109</v>
      </c>
      <c r="I297" s="93">
        <f>(B281+I281+B289+I289+B297)</f>
        <v>0</v>
      </c>
      <c r="J297" s="93">
        <f>(C281+J281+C289+J289+C297)</f>
        <v>0</v>
      </c>
      <c r="K297" s="71">
        <f>(D281+K281+D289+K289+D297)</f>
        <v>0</v>
      </c>
      <c r="L297" s="94">
        <f>(E281+L281+E289+L289+E297)</f>
        <v>0</v>
      </c>
      <c r="M297" s="49"/>
      <c r="P297" t="s">
        <v>176</v>
      </c>
      <c r="Q297" s="10" t="s">
        <v>172</v>
      </c>
      <c r="R297" s="2"/>
      <c r="S297" s="2"/>
      <c r="T297" s="2"/>
      <c r="U297" s="2"/>
      <c r="V297" s="2"/>
      <c r="W297" s="91" t="e">
        <f>IF(H273="Cadre",((SUM(I291:I297)+SUM(W273:W286)-W275-W276)/2),0)</f>
        <v>#N/A</v>
      </c>
    </row>
    <row r="298" spans="1:29" ht="15" customHeight="1" collapsed="1" x14ac:dyDescent="0.25">
      <c r="D298" s="302" t="s">
        <v>298</v>
      </c>
      <c r="E298" s="302"/>
      <c r="F298" s="302"/>
      <c r="G298" s="302"/>
      <c r="H298" s="302"/>
      <c r="I298" s="302"/>
      <c r="J298" s="302"/>
      <c r="K298" s="302"/>
      <c r="L298" s="42" t="s">
        <v>286</v>
      </c>
      <c r="N298" s="43"/>
      <c r="O298" s="43" t="s">
        <v>179</v>
      </c>
      <c r="P298" s="15" t="s">
        <v>157</v>
      </c>
      <c r="AA298" s="15" t="s">
        <v>157</v>
      </c>
    </row>
    <row r="299" spans="1:29" hidden="1" outlineLevel="1" x14ac:dyDescent="0.25">
      <c r="D299" s="302"/>
      <c r="E299" s="302"/>
      <c r="F299" s="302"/>
      <c r="G299" s="302"/>
      <c r="H299" s="302"/>
      <c r="I299" s="302"/>
      <c r="J299" s="302"/>
      <c r="K299" s="302"/>
      <c r="N299" s="43"/>
      <c r="O299" s="43" t="s">
        <v>180</v>
      </c>
      <c r="AC299" t="s">
        <v>201</v>
      </c>
    </row>
    <row r="300" spans="1:29" hidden="1" outlineLevel="1" x14ac:dyDescent="0.25">
      <c r="D300" s="302"/>
      <c r="E300" s="302"/>
      <c r="F300" s="302"/>
      <c r="G300" s="302"/>
      <c r="H300" s="302"/>
      <c r="I300" s="302"/>
      <c r="J300" s="302"/>
      <c r="K300" s="302"/>
      <c r="N300" s="44"/>
      <c r="O300" s="44" t="s">
        <v>181</v>
      </c>
      <c r="AA300" s="15" t="s">
        <v>200</v>
      </c>
      <c r="AC300" s="2" t="str">
        <f>I302</f>
        <v>Juin</v>
      </c>
    </row>
    <row r="301" spans="1:29" hidden="1" outlineLevel="1" x14ac:dyDescent="0.25">
      <c r="A301" s="45" t="s">
        <v>3</v>
      </c>
      <c r="B301" s="46">
        <f>'Synthèse Horaires'!$B$4</f>
        <v>2026</v>
      </c>
      <c r="C301" s="47"/>
      <c r="D301" s="48" t="s">
        <v>1</v>
      </c>
      <c r="E301" s="46">
        <f>'Synthèse Horaires'!$D$4</f>
        <v>0</v>
      </c>
      <c r="F301" s="49"/>
      <c r="G301" s="49"/>
      <c r="H301" s="48" t="s">
        <v>2</v>
      </c>
      <c r="I301" s="47">
        <f>'Synthèse Horaires'!$I$4</f>
        <v>0</v>
      </c>
      <c r="J301" s="50"/>
      <c r="K301" s="50"/>
      <c r="N301" s="44"/>
      <c r="O301" s="44" t="s">
        <v>202</v>
      </c>
      <c r="V301" s="10" t="s">
        <v>174</v>
      </c>
      <c r="W301" s="51" t="e">
        <f>IF(K305="non",SUM(K324:K330)*(35/6),SUM(K324:K330)*(K305/6))</f>
        <v>#N/A</v>
      </c>
      <c r="AB301" t="s">
        <v>6</v>
      </c>
      <c r="AC301" s="14">
        <f>B305</f>
        <v>0</v>
      </c>
    </row>
    <row r="302" spans="1:29" hidden="1" outlineLevel="1" x14ac:dyDescent="0.25">
      <c r="A302" s="45" t="s">
        <v>10</v>
      </c>
      <c r="B302" s="49"/>
      <c r="C302" s="49"/>
      <c r="D302" s="50" t="str">
        <f>'Synthèse Horaires'!$C$6</f>
        <v>01 juin 2026 au 31 mai 2027.</v>
      </c>
      <c r="E302" s="2"/>
      <c r="H302" s="48" t="s">
        <v>205</v>
      </c>
      <c r="I302" s="47" t="str">
        <f>'Synthèse Horaires'!$I$5</f>
        <v>Juin</v>
      </c>
      <c r="N302" s="44"/>
      <c r="O302" s="44" t="s">
        <v>203</v>
      </c>
      <c r="V302" s="10" t="s">
        <v>173</v>
      </c>
      <c r="W302">
        <f>W308+W309</f>
        <v>0</v>
      </c>
      <c r="AB302" t="s">
        <v>57</v>
      </c>
      <c r="AC302" s="14" t="e">
        <f>B306</f>
        <v>#N/A</v>
      </c>
    </row>
    <row r="303" spans="1:29" hidden="1" outlineLevel="1" x14ac:dyDescent="0.25">
      <c r="AB303" t="s">
        <v>211</v>
      </c>
      <c r="AC303" s="14" t="e">
        <f>H306</f>
        <v>#N/A</v>
      </c>
    </row>
    <row r="304" spans="1:29" hidden="1" outlineLevel="1" x14ac:dyDescent="0.25">
      <c r="A304" s="4" t="s">
        <v>58</v>
      </c>
      <c r="B304" s="4"/>
      <c r="C304" s="4"/>
      <c r="D304" s="4"/>
      <c r="E304" s="4"/>
      <c r="F304" s="4"/>
      <c r="G304" s="4"/>
      <c r="H304" s="4"/>
      <c r="P304" s="53" t="s">
        <v>6</v>
      </c>
      <c r="Q304" s="2">
        <f>B305</f>
        <v>0</v>
      </c>
      <c r="T304" s="10" t="s">
        <v>76</v>
      </c>
      <c r="U304" s="2" t="e">
        <f>VLOOKUP(B305,'Base Matricule Siège'!$B$12:$H$1000,4,FALSE)</f>
        <v>#N/A</v>
      </c>
      <c r="AA304" t="s">
        <v>215</v>
      </c>
      <c r="AB304" t="s">
        <v>207</v>
      </c>
      <c r="AC304" s="14" t="e">
        <f>IF(AC303="Cadre",0,W329)</f>
        <v>#N/A</v>
      </c>
    </row>
    <row r="305" spans="1:29" hidden="1" outlineLevel="1" x14ac:dyDescent="0.25">
      <c r="A305" s="49" t="s">
        <v>18</v>
      </c>
      <c r="B305" s="113">
        <v>0</v>
      </c>
      <c r="E305" s="49"/>
      <c r="G305" s="57" t="s">
        <v>317</v>
      </c>
      <c r="H305" s="58" t="e">
        <f>VLOOKUP(B305,'Base Matricule Siège'!$B$13:$H$1000,7,FALSE)</f>
        <v>#N/A</v>
      </c>
      <c r="J305" s="10" t="s">
        <v>161</v>
      </c>
      <c r="K305" s="58" t="e">
        <f>IF((VLOOKUP('MASQUE COLLABORATEUR'!B305,'Base Matricule Siège'!$B$13:$E$1000,4,FALSE)&lt;'Base Matricule Siège'!$G$5),(VLOOKUP('MASQUE COLLABORATEUR'!B305,'Base Matricule Siège'!$B$13:$E$1000,4,FALSE)),"non")</f>
        <v>#N/A</v>
      </c>
      <c r="L305" s="114" t="s">
        <v>340</v>
      </c>
      <c r="M305" s="115" t="e">
        <f>IF(K305="non","0",VLOOKUP(B305,'Base Matricule Siège'!$B$13:$S$1000,18,FALSE))</f>
        <v>#N/A</v>
      </c>
      <c r="R305" t="s">
        <v>151</v>
      </c>
      <c r="S305" t="s">
        <v>152</v>
      </c>
      <c r="T305" t="s">
        <v>153</v>
      </c>
      <c r="U305" t="s">
        <v>154</v>
      </c>
      <c r="V305" t="s">
        <v>155</v>
      </c>
      <c r="W305" s="59" t="s">
        <v>156</v>
      </c>
      <c r="AB305" t="s">
        <v>11</v>
      </c>
      <c r="AC305" s="14" t="e">
        <f>W330</f>
        <v>#N/A</v>
      </c>
    </row>
    <row r="306" spans="1:29" ht="15.75" hidden="1" outlineLevel="1" thickBot="1" x14ac:dyDescent="0.3">
      <c r="A306" s="49" t="s">
        <v>59</v>
      </c>
      <c r="B306" s="2" t="e">
        <f>VLOOKUP(B305,'Base Matricule Siège'!$B$13:$C$1000,2,FALSE)</f>
        <v>#N/A</v>
      </c>
      <c r="C306" s="2"/>
      <c r="D306" s="2"/>
      <c r="G306" s="57" t="s">
        <v>158</v>
      </c>
      <c r="H306" s="58" t="e">
        <f>VLOOKUP(B305,'Base Matricule Siège'!$B$13:$G$1000,6,FALSE)</f>
        <v>#N/A</v>
      </c>
      <c r="P306" s="10" t="s">
        <v>142</v>
      </c>
      <c r="Q306" s="10" t="s">
        <v>149</v>
      </c>
      <c r="R306">
        <f>IF(F308=Q306,E308,0)+IF(F309=Q306,E309,0)+IF(F310=Q306,E310,0)+IF(Q306=F311,E311,0)+IF(F312=Q306,E312,0)+IF(F313=Q306,E313,0)</f>
        <v>0</v>
      </c>
      <c r="S306">
        <f>IF(M308=Q306,L308,0)+IF(M309=Q306,L309,0)+IF(M310=Q306,L310,0)+IF(Q306=M311,L311,0)+IF(M312=Q306,L312,0)+IF(M313=Q306,L313,0)</f>
        <v>0</v>
      </c>
      <c r="T306">
        <f>IF(F316=Q306,E316,0)+IF(F317=Q306,E317,0)+IF(F318=Q306,E318,0)+IF(Q306=F319,E319,0)+IF(F320=Q306,E320,0)+IF(F321=Q306,E321,0)</f>
        <v>0</v>
      </c>
      <c r="U306">
        <f>IF(M316=Q306,L316,0)+IF(M317=Q306,L317,0)+IF(M318=Q306,L318,0)+IF(Q306=M319,L319,0)+IF(M320=Q306,L320,0)+IF(M321=Q306,L321,0)</f>
        <v>0</v>
      </c>
      <c r="V306">
        <f>IF(F324=Q306,E324,0)+IF(F325=Q306,E325,0)+IF(F326=Q306,E326,0)+IF(Q306=F327,E327,0)+IF(F328=Q306,E328,0)+IF(F329=Q306,E329,0)</f>
        <v>0</v>
      </c>
      <c r="W306" s="63">
        <f>SUM(R306:V306)</f>
        <v>0</v>
      </c>
      <c r="AB306" t="s">
        <v>208</v>
      </c>
      <c r="AC306" s="14">
        <f>SUM(K324:K330)*2</f>
        <v>0</v>
      </c>
    </row>
    <row r="307" spans="1:29" ht="15.75" hidden="1" outlineLevel="1" thickBot="1" x14ac:dyDescent="0.3">
      <c r="A307" s="64" t="str">
        <f>A274</f>
        <v>Semaine 23</v>
      </c>
      <c r="B307" s="65" t="e">
        <f>IF(H306="Cadre","Demi J. Réalisées","H. Réalisées")</f>
        <v>#N/A</v>
      </c>
      <c r="C307" s="65" t="s">
        <v>141</v>
      </c>
      <c r="D307" s="66" t="e">
        <f>IF(H306="Cadre","CP en Demi J.","CP en jours")</f>
        <v>#N/A</v>
      </c>
      <c r="E307" s="66" t="e">
        <f>IF(H306="Cadre","Abs. En Demi J.","Absence en H.")</f>
        <v>#N/A</v>
      </c>
      <c r="F307" s="67" t="s">
        <v>110</v>
      </c>
      <c r="H307" s="64" t="str">
        <f>H274</f>
        <v>Semaine 24</v>
      </c>
      <c r="I307" s="65" t="e">
        <f>B307</f>
        <v>#N/A</v>
      </c>
      <c r="J307" s="65" t="str">
        <f>C307</f>
        <v>Férié</v>
      </c>
      <c r="K307" s="66" t="e">
        <f>D307</f>
        <v>#N/A</v>
      </c>
      <c r="L307" s="66" t="e">
        <f>E307</f>
        <v>#N/A</v>
      </c>
      <c r="M307" s="67" t="str">
        <f>F307</f>
        <v>Type absence</v>
      </c>
      <c r="Q307" s="10" t="s">
        <v>143</v>
      </c>
      <c r="R307">
        <f>IF(F308=Q307,E308,0)+IF(F309=Q307,E309,0)+IF(F310=Q307,E310,0)+IF(Q307=F311,E311,0)+IF(F313=Q307,E312,0)+IF(F312=Q307,E313,0)</f>
        <v>0</v>
      </c>
      <c r="S307">
        <f>IF(M309=Q307,L309,0)+IF(M310=Q307,L310,0)+IF(M311=Q307,L311,0)+IF(Q307=M312,L312,0)+IF(M313=Q307,L313,0)+IF(M308=Q307,L308,0)</f>
        <v>0</v>
      </c>
      <c r="T307">
        <f>IF(F316=Q307,E316,0)+IF(F317=Q307,E317,0)+IF(F318=Q307,E318,0)+IF(Q307=F319,E319,0)+IF(F320=Q307,E320,0)+IF(F321=Q307,E321,0)</f>
        <v>0</v>
      </c>
      <c r="U307">
        <f>IF(M316=Q307,L316,0)+IF(M317=Q307,L317,0)+IF(M318=Q307,L318,0)+IF(Q307=M319,L319,0)+IF(M320=Q307,L320,0)+IF(M321=Q307,L321,0)</f>
        <v>0</v>
      </c>
      <c r="V307">
        <f>IF(F324=Q307,E324,0)+IF(F325=Q307,E325,0)+IF(F326=Q307,E326,0)+IF(Q307=F327,E327,0)+IF(F328=Q307,E328,0)+IF(F329=Q307,E329,0)</f>
        <v>0</v>
      </c>
      <c r="W307" s="63">
        <f t="shared" ref="W307:W319" si="52">SUM(R307:V307)</f>
        <v>0</v>
      </c>
      <c r="AB307" t="s">
        <v>8</v>
      </c>
      <c r="AC307" s="14"/>
    </row>
    <row r="308" spans="1:29" hidden="1" outlineLevel="1" x14ac:dyDescent="0.25">
      <c r="A308" s="68" t="s">
        <v>103</v>
      </c>
      <c r="B308" s="98"/>
      <c r="C308" s="98"/>
      <c r="D308" s="99"/>
      <c r="E308" s="100"/>
      <c r="F308" s="101"/>
      <c r="H308" s="69" t="s">
        <v>103</v>
      </c>
      <c r="I308" s="95"/>
      <c r="J308" s="95"/>
      <c r="K308" s="106"/>
      <c r="L308" s="105"/>
      <c r="M308" s="101"/>
      <c r="Q308" s="10" t="s">
        <v>144</v>
      </c>
      <c r="R308">
        <f>IF(F310=Q308,E310,0)+IF(F311=Q308,E311,0)+IF(F312=Q308,E312,0)+IF(Q308=F313,E313,0)+IF(F308=Q308,E308,0)+IF(F309=Q308,E309,0)</f>
        <v>0</v>
      </c>
      <c r="S308">
        <f>IF(M310=Q308,L310,0)+IF(M311=Q308,L311,0)+IF(M312=Q308,L312,0)+IF(Q308=M313,L313,0)+IF(M308=Q308,L308,0)+IF(M309=Q308,L309,0)</f>
        <v>0</v>
      </c>
      <c r="T308">
        <f>IF(F316=Q308,E316,0)+IF(F317=Q308,E317,0)+IF(F318=Q308,E318,0)+IF(Q308=F319,E319,0)+IF(F320=Q308,E320,0)+IF(F321=Q308,E321,0)</f>
        <v>0</v>
      </c>
      <c r="U308">
        <f>IF(M316=Q308,L316,0)+IF(M317=Q308,L317,0)+IF(M318=Q308,L318,0)+IF(Q308=M319,L319,0)+IF(M320=Q308,L320,0)+IF(M321=Q308,L321,0)</f>
        <v>0</v>
      </c>
      <c r="V308">
        <f>IF(F324=Q308,E324,0)+IF(F325=Q308,E325,0)+IF(F326=Q308,E326,0)+IF(Q308=F327,E327,0)+IF(F328=Q308,E328,0)+IF(F329=Q308,E329,0)</f>
        <v>0</v>
      </c>
      <c r="W308" s="63">
        <f t="shared" si="52"/>
        <v>0</v>
      </c>
      <c r="AB308" t="s">
        <v>209</v>
      </c>
      <c r="AC308" s="14">
        <f>W308</f>
        <v>0</v>
      </c>
    </row>
    <row r="309" spans="1:29" hidden="1" outlineLevel="1" x14ac:dyDescent="0.25">
      <c r="A309" s="69" t="s">
        <v>104</v>
      </c>
      <c r="B309" s="96"/>
      <c r="C309" s="96"/>
      <c r="D309" s="102"/>
      <c r="E309" s="103"/>
      <c r="F309" s="38"/>
      <c r="H309" s="69" t="s">
        <v>104</v>
      </c>
      <c r="I309" s="96"/>
      <c r="J309" s="96"/>
      <c r="K309" s="102"/>
      <c r="L309" s="103"/>
      <c r="M309" s="38"/>
      <c r="Q309" s="10" t="s">
        <v>145</v>
      </c>
      <c r="R309">
        <f>IF(F311=Q309,E311,0)+IF(F312=Q309,E312,0)+IF(F313=Q309,E313,0)+IF(Q309=F308,E308,0)+IF(F309=Q309,E309,0)+IF(F310=Q309,E310,0)</f>
        <v>0</v>
      </c>
      <c r="S309">
        <f>IF(M311=Q309,L311,0)+IF(M312=Q309,L312,0)+IF(M313=Q309,L313,0)+IF(Q309=M308,L308,0)+IF(M309=Q309,L309,0)+IF(M310=Q309,L310,0)</f>
        <v>0</v>
      </c>
      <c r="T309">
        <f>IF(F316=Q309,$E316,0)+IF(F317=Q309,E317,0)+IF(F318=Q309,E318,0)+IF(Q309=F319,E319,0)+IF(F320=Q309,E320,0)+IF(F321=Q309,E321,0)</f>
        <v>0</v>
      </c>
      <c r="U309">
        <f>IF(M316=Q309,L316,0)+IF(M317=Q309,L317,0)+IF(M318=Q309,L318,0)+IF(Q309=M319,L319,0)+IF(M320=Q309,L320,0)+IF(M321=Q309,L321,0)</f>
        <v>0</v>
      </c>
      <c r="V309">
        <f>IF(F324=Q309,E324,0)+IF(F325=Q309,E325,0)+IF(F326=Q309,E326,0)+IF(Q309=F327,E327,0)+IF(F328=Q309,E328,0)+IF(F329=Q309,E329,0)</f>
        <v>0</v>
      </c>
      <c r="W309" s="63">
        <f t="shared" si="52"/>
        <v>0</v>
      </c>
      <c r="AB309" t="s">
        <v>210</v>
      </c>
      <c r="AC309" s="14">
        <f>SUM(W306:W319)-W308</f>
        <v>0</v>
      </c>
    </row>
    <row r="310" spans="1:29" hidden="1" outlineLevel="1" x14ac:dyDescent="0.25">
      <c r="A310" s="69" t="s">
        <v>105</v>
      </c>
      <c r="B310" s="96"/>
      <c r="C310" s="96"/>
      <c r="D310" s="102"/>
      <c r="E310" s="103"/>
      <c r="F310" s="38"/>
      <c r="H310" s="69" t="s">
        <v>105</v>
      </c>
      <c r="I310" s="96"/>
      <c r="J310" s="96"/>
      <c r="K310" s="102"/>
      <c r="L310" s="103"/>
      <c r="M310" s="38"/>
      <c r="Q310" s="10" t="s">
        <v>212</v>
      </c>
      <c r="R310">
        <f>IF(F312=Q310,E312,0)+IF(F313=Q310,E313,0)+IF(F308=Q310,E308,0)+IF(Q310=F309,E309,0)+IF(F310=Q310,E310,0)+IF(F311=Q310,E311,0)</f>
        <v>0</v>
      </c>
      <c r="S310">
        <f>IF(M311=Q310,L311,0)+IF(M312=Q310,L312,0)+IF(M313=Q310,L313,0)+IF(Q310=M308,L308,0)+IF(M309=Q310,L309,0)+IF(M310=Q310,L310,0)</f>
        <v>0</v>
      </c>
      <c r="T310">
        <f>IF(F316=Q310,E316,0)+IF(F317=Q310,E317,0)+IF(F318=Q310,E318,0)+IF(Q310=F319,E319,0)+IF(F320=Q310,E320,0)+IF(F321=Q310,E321,0)</f>
        <v>0</v>
      </c>
      <c r="U310">
        <f>IF(M316=Q310,L316,0)+IF(M317=Q310,L317,0)+IF(M318=Q310,L318,0)+IF(Q310=M319,L319,0)+IF(M320=Q310,L320,0)+IF(M321=Q310,L321,0)</f>
        <v>0</v>
      </c>
      <c r="V310">
        <f>IF(F324=Q310,E324,0)+IF(F325=Q310,E325,0)+IF(F326=Q310,E326,0)+IF(Q310=F327,E327,0)+IF(F328=Q310,E328,0)+IF(F329=Q310,E329,0)</f>
        <v>0</v>
      </c>
      <c r="W310" s="63">
        <f t="shared" si="52"/>
        <v>0</v>
      </c>
      <c r="AA310" t="s">
        <v>214</v>
      </c>
      <c r="AB310" t="s">
        <v>213</v>
      </c>
      <c r="AC310" s="14" t="e">
        <f>IF(AC303="Cadre",(W310/2),(W310/7))</f>
        <v>#N/A</v>
      </c>
    </row>
    <row r="311" spans="1:29" hidden="1" outlineLevel="1" x14ac:dyDescent="0.25">
      <c r="A311" s="69" t="s">
        <v>106</v>
      </c>
      <c r="B311" s="96"/>
      <c r="C311" s="96"/>
      <c r="D311" s="102"/>
      <c r="E311" s="103"/>
      <c r="F311" s="38"/>
      <c r="H311" s="69" t="s">
        <v>106</v>
      </c>
      <c r="I311" s="96"/>
      <c r="J311" s="96"/>
      <c r="K311" s="102"/>
      <c r="L311" s="103"/>
      <c r="M311" s="38"/>
      <c r="Q311" s="10" t="s">
        <v>146</v>
      </c>
      <c r="R311">
        <f>IF(F313=Q311,E313,0)+IF(F308=Q311,E308,0)+IF(F309=Q311,E309,0)+IF(Q311=F310,E310,0)+IF(F311=Q311,E311,0)+IF(F312=Q311,E312,0)</f>
        <v>0</v>
      </c>
      <c r="S311">
        <f>IF(M311=Q311,L311,0)+IF(M312=Q311,L312,0)+IF(M313=Q311,L313,0)+IF(Q311=M308,$L$11,0)+IF(M309=Q311,L309,0)+IF(M310=Q311,L310,0)</f>
        <v>0</v>
      </c>
      <c r="T311">
        <f>IF(F316=Q311,E316,0)+IF(F317=Q311,E317,0)+IF(F318=Q311,E318,0)+IF(Q311=F319,E319,0)+IF(F320=Q311,E320,0)+IF(F321=Q311,E321,0)</f>
        <v>0</v>
      </c>
      <c r="U311">
        <f>IF(M316=Q311,L316,0)+IF(M317=Q311,L317,0)+IF(M318=Q311,L318,0)+IF(Q311=M319,L319,0)+IF(M320=Q311,L320,0)+IF(M321=Q311,L321,0)</f>
        <v>0</v>
      </c>
      <c r="V311">
        <f>IF(F324=Q311,E324,0)+IF(F325=Q311,E325,0)+IF(F326=Q311,E326,0)+IF(Q311=F327,E327,0)+IF(F328=Q311,E328,0)+IF(F329=Q311,E329,0)</f>
        <v>0</v>
      </c>
      <c r="W311" s="63">
        <f t="shared" si="52"/>
        <v>0</v>
      </c>
      <c r="AA311" t="s">
        <v>216</v>
      </c>
      <c r="AB311" t="s">
        <v>217</v>
      </c>
      <c r="AC311" s="14" t="e">
        <f>W323+W324</f>
        <v>#N/A</v>
      </c>
    </row>
    <row r="312" spans="1:29" hidden="1" outlineLevel="1" x14ac:dyDescent="0.25">
      <c r="A312" s="69" t="s">
        <v>107</v>
      </c>
      <c r="B312" s="96"/>
      <c r="C312" s="96"/>
      <c r="D312" s="102"/>
      <c r="E312" s="103"/>
      <c r="F312" s="38"/>
      <c r="H312" s="69" t="s">
        <v>107</v>
      </c>
      <c r="I312" s="96"/>
      <c r="J312" s="96"/>
      <c r="K312" s="102"/>
      <c r="L312" s="103"/>
      <c r="M312" s="38"/>
      <c r="Q312" s="10" t="s">
        <v>499</v>
      </c>
      <c r="R312">
        <f>IF(F308=Q312,E308,0)+IF(F309=Q312,E309,0)+IF(F310=Q312,E310,0)+IF(Q312=F311,E311,0)+IF(F312=Q312,E312,0)+IF(F313=Q312,E313,0)</f>
        <v>0</v>
      </c>
      <c r="S312">
        <f>IF(M311=Q312,L311,0)+IF(M312=Q312,L312,0)+IF(M313=Q312,L313,0)+IF(Q312=M308,L308,0)+IF(M309=Q312,L309,0)+IF(M310=Q312,L310,0)</f>
        <v>0</v>
      </c>
      <c r="T312">
        <f>IF(F316=Q312,E316,0)+IF(F317=Q312,E317,0)+IF(F318=Q312,E318,0)+IF(Q312=F319,E319,0)+IF(F320=Q312,E320,0)+IF(F321=Q312,E321,0)</f>
        <v>0</v>
      </c>
      <c r="U312">
        <f>IF(M316=Q312,L316,0)+IF(M317=Q312,L317,0)+IF(M318=Q312,L318,0)+IF(Q312=M319,L319,0)+IF(M320=Q312,L320,0)+IF(M321=Q312,L321,0)</f>
        <v>0</v>
      </c>
      <c r="V312">
        <f>IF(F324=Q312,E324,0)+IF(F325=Q312,E325,0)+IF(F326=Q312,E326,0)+IF(Q312=F327,E327,0)+IF(F328=Q312,E328,0)+IF(F329=Q312,E329,0)</f>
        <v>0</v>
      </c>
      <c r="W312" s="63">
        <f t="shared" si="52"/>
        <v>0</v>
      </c>
      <c r="AA312" t="s">
        <v>218</v>
      </c>
      <c r="AB312" t="s">
        <v>219</v>
      </c>
      <c r="AC312" s="14" t="e">
        <f>W322</f>
        <v>#N/A</v>
      </c>
    </row>
    <row r="313" spans="1:29" hidden="1" outlineLevel="1" x14ac:dyDescent="0.25">
      <c r="A313" s="69" t="s">
        <v>108</v>
      </c>
      <c r="B313" s="96"/>
      <c r="C313" s="96"/>
      <c r="D313" s="102"/>
      <c r="E313" s="103"/>
      <c r="F313" s="38"/>
      <c r="H313" s="69" t="s">
        <v>108</v>
      </c>
      <c r="I313" s="96"/>
      <c r="J313" s="96"/>
      <c r="K313" s="102"/>
      <c r="L313" s="103"/>
      <c r="M313" s="38"/>
      <c r="Q313" s="10" t="s">
        <v>147</v>
      </c>
      <c r="R313">
        <f>IF(F309=Q313,E309,0)+IF(F310=Q313,E310,0)+IF(F311=Q313,E311,0)+IF(Q313=F312,E312,0)+IF(F313=Q313,E313,0)+IF(F308=Q313,E308,0)</f>
        <v>0</v>
      </c>
      <c r="S313">
        <f>IF(M311=Q313,L311,0)+IF(M312=Q313,L312,0)+IF(M313=Q313,L313,0)+IF(Q313=M308,L308,0)+IF(M309=Q313,L309,0)+IF(M310=Q313,L310,0)</f>
        <v>0</v>
      </c>
      <c r="T313">
        <f>IF(F316=Q313,E316,0)+IF(F317=Q313,E317,0)+IF(F318=Q313,E318,0)+IF(Q313=F319,E319,0)+IF(F320=Q313,E320,0)+IF(F321=Q313,E321,0)</f>
        <v>0</v>
      </c>
      <c r="U313">
        <f>IF(M316=Q313,L316,0)+IF(M317=Q313,L317,0)+IF(M318=Q313,L318,0)+IF(Q313=M319,L319,0)+IF(M320=Q313,L320,0)+IF(M321=Q313,L321,0)</f>
        <v>0</v>
      </c>
      <c r="V313">
        <f>IF(F324=Q313,E324,0)+IF(F325=Q313,E325,0)+IF(F326=Q313,E326,0)+IF(Q313=F327,E327,0)+IF(F328=Q313,E328,0)+IF(F329=Q313,E329,0)</f>
        <v>0</v>
      </c>
      <c r="W313" s="63">
        <f t="shared" si="52"/>
        <v>0</v>
      </c>
      <c r="AA313" t="s">
        <v>166</v>
      </c>
      <c r="AB313" t="s">
        <v>220</v>
      </c>
      <c r="AC313" s="14" t="e">
        <f>W327</f>
        <v>#N/A</v>
      </c>
    </row>
    <row r="314" spans="1:29" ht="15.75" hidden="1" outlineLevel="1" thickBot="1" x14ac:dyDescent="0.3">
      <c r="A314" s="70" t="s">
        <v>109</v>
      </c>
      <c r="B314" s="97"/>
      <c r="C314" s="97"/>
      <c r="D314" s="71"/>
      <c r="E314" s="104"/>
      <c r="F314" s="38"/>
      <c r="H314" s="70" t="s">
        <v>109</v>
      </c>
      <c r="I314" s="97"/>
      <c r="J314" s="97"/>
      <c r="K314" s="71"/>
      <c r="L314" s="104"/>
      <c r="M314" s="38"/>
      <c r="Q314" s="10" t="s">
        <v>500</v>
      </c>
      <c r="R314">
        <f>IF(F310=Q314,E310,0)+IF(F311=Q314,E311,0)+IF(F312=Q314,E312,0)+IF(Q314=F313,E313,0)+IF(F308=Q314,E308,0)+IF(F309=Q314,E309,0)</f>
        <v>0</v>
      </c>
      <c r="S314">
        <f>IF(M311=Q314,L311,0)+IF(M312=Q314,L312,0)+IF(M313=Q314,L313,0)+IF(Q314=M308,L308,0)+IF(M309=Q314,L309,0)+IF(M310=Q314,L310,0)</f>
        <v>0</v>
      </c>
      <c r="T314">
        <f>IF(F316=Q314,E316,0)+IF(F317=Q314,E317,0)+IF(F318=Q314,E318,0)+IF(Q314=F319,E319,0)+IF(F320=Q314,E320,0)+IF(F321=Q314,E321,0)</f>
        <v>0</v>
      </c>
      <c r="U314">
        <f>IF(M316=Q314,L316,0)+IF(M317=Q314,L317,0)+IF(M318=Q314,L318,0)+IF(Q314=M319,L319,0)+IF(M320=Q314,L320,0)+IF(M321=Q314,L321,0)</f>
        <v>0</v>
      </c>
      <c r="V314">
        <f>IF(F324=Q314,E324,0)+IF(F325=Q314,E325,0)+IF(F326=Q314,E326,0)+IF(Q314=F327,E327,0)+IF(F328=Q314,E328,0)+IF(F329=Q314,E329,0)</f>
        <v>0</v>
      </c>
      <c r="W314" s="63">
        <f t="shared" si="52"/>
        <v>0</v>
      </c>
      <c r="AA314" t="s">
        <v>222</v>
      </c>
      <c r="AB314" t="s">
        <v>220</v>
      </c>
      <c r="AC314" s="14" t="e">
        <f>W328</f>
        <v>#N/A</v>
      </c>
    </row>
    <row r="315" spans="1:29" ht="15.75" hidden="1" outlineLevel="1" thickBot="1" x14ac:dyDescent="0.3">
      <c r="A315" s="64" t="str">
        <f>A282</f>
        <v>Ne pas saisir</v>
      </c>
      <c r="B315" s="65" t="e">
        <f>B307</f>
        <v>#N/A</v>
      </c>
      <c r="C315" s="65" t="str">
        <f>C307</f>
        <v>Férié</v>
      </c>
      <c r="D315" s="66" t="e">
        <f>D307</f>
        <v>#N/A</v>
      </c>
      <c r="E315" s="66" t="e">
        <f>E307</f>
        <v>#N/A</v>
      </c>
      <c r="F315" s="67" t="str">
        <f>F307</f>
        <v>Type absence</v>
      </c>
      <c r="H315" s="64" t="str">
        <f>H282</f>
        <v>Ne pas saisir</v>
      </c>
      <c r="I315" s="65" t="e">
        <f>B307</f>
        <v>#N/A</v>
      </c>
      <c r="J315" s="65" t="str">
        <f>C307</f>
        <v>Férié</v>
      </c>
      <c r="K315" s="66" t="e">
        <f>D307</f>
        <v>#N/A</v>
      </c>
      <c r="L315" s="66" t="e">
        <f>E307</f>
        <v>#N/A</v>
      </c>
      <c r="M315" s="67" t="str">
        <f>F307</f>
        <v>Type absence</v>
      </c>
      <c r="Q315" s="10" t="s">
        <v>148</v>
      </c>
      <c r="R315">
        <f>IF(F311=Q315,E311,0)+IF(F312=Q315,E312,0)+IF(F313=Q315,E313,0)+IF(Q315=F308,E308,0)+IF(F309=Q315,E309,0)+IF(F310=Q315,E310,0)</f>
        <v>0</v>
      </c>
      <c r="S315">
        <f>IF(M311=Q315,L311,0)+IF(M312=Q315,L312,0)+IF(M313=Q315,L313,0)+IF(Q315=M308,L308,0)+IF(M309=Q315,L309,0)+IF(M310=Q315,L310,0)</f>
        <v>0</v>
      </c>
      <c r="T315">
        <f>IF(F316=Q315,E316,0)+IF(F317=Q315,E317,0)+IF(F318=Q315,E318,0)+IF(Q315=F319,E319,0)+IF(F320=Q315,E320,0)+IF(F321=Q315,E321,0)</f>
        <v>0</v>
      </c>
      <c r="U315">
        <f>IF(M316=Q315,L316,0)+IF(M317=Q315,L317,0)+IF(M318=Q315,L318,0)+IF(Q315=M319,L319,0)+IF(M320=Q315,L320,0)+IF(M321=Q315,L321,0)</f>
        <v>0</v>
      </c>
      <c r="V315">
        <f>IF(F324=Q315,E324,0)+IF(F325=Q315,E325,0)+IF(F326=Q315,E326,0)+IF(Q315=F327,E327,0)+IF(F328=Q315,E328,0)+IF(F329=Q315,E329,0)</f>
        <v>0</v>
      </c>
      <c r="W315" s="63">
        <f t="shared" si="52"/>
        <v>0</v>
      </c>
      <c r="AA315" t="s">
        <v>223</v>
      </c>
      <c r="AB315" t="s">
        <v>224</v>
      </c>
      <c r="AC315" s="14" t="e">
        <f>W326</f>
        <v>#N/A</v>
      </c>
    </row>
    <row r="316" spans="1:29" hidden="1" outlineLevel="1" x14ac:dyDescent="0.25">
      <c r="A316" s="69" t="s">
        <v>103</v>
      </c>
      <c r="B316" s="95"/>
      <c r="C316" s="95"/>
      <c r="D316" s="106"/>
      <c r="E316" s="105"/>
      <c r="F316" s="101"/>
      <c r="H316" s="69" t="s">
        <v>103</v>
      </c>
      <c r="I316" s="95"/>
      <c r="J316" s="95"/>
      <c r="K316" s="106"/>
      <c r="L316" s="105"/>
      <c r="M316" s="101"/>
      <c r="Q316" s="10" t="s">
        <v>150</v>
      </c>
      <c r="R316">
        <f>IF(F312=Q316,E312,0)+IF(F313=Q316,E313,0)+IF(F308=Q316,E308,0)+IF(Q316=F309,E309,0)+IF(F310=Q316,E310,0)+IF(F311=Q316,E311,0)</f>
        <v>0</v>
      </c>
      <c r="S316">
        <f>IF(M311=Q316,L311,0)+IF(M312=Q316,L312,0)+IF(M313=Q316,L313,0)+IF(Q316=M308,L308,0)+IF(M309=Q316,L309,0)+IF(M310=Q316,L310,0)</f>
        <v>0</v>
      </c>
      <c r="T316">
        <f>IF(F316=Q316,E316,0)+IF(F317=Q316,E317,0)+IF(F318=Q316,E318,0)+IF(Q316=F319,E319,0)+IF(F320=Q316,E320,0)+IF(F321=Q316,E321,0)</f>
        <v>0</v>
      </c>
      <c r="U316">
        <f>IF(M316=Q316,L316,0)+IF(M317=Q316,L317,0)+IF(M318=Q316,L318,0)+IF(Q316=M319,L319,0)+IF(M320=Q316,L320,0)+IF(M321=Q316,L321,0)</f>
        <v>0</v>
      </c>
      <c r="V316">
        <f>IF(F324=Q316,E324,0)+IF(F325=Q316,E325,0)+IF(F326=Q316,E326,0)+IF(Q316=F327,E327,0)+IF(F328=Q316,E328,0)+IF(F329=Q316,E329,0)</f>
        <v>0</v>
      </c>
      <c r="W316" s="63">
        <f t="shared" si="52"/>
        <v>0</v>
      </c>
      <c r="AB316" t="s">
        <v>267</v>
      </c>
      <c r="AC316">
        <f>(SUM(B308:B314))</f>
        <v>0</v>
      </c>
    </row>
    <row r="317" spans="1:29" hidden="1" outlineLevel="1" x14ac:dyDescent="0.25">
      <c r="A317" s="69" t="s">
        <v>104</v>
      </c>
      <c r="B317" s="96"/>
      <c r="C317" s="96"/>
      <c r="D317" s="102"/>
      <c r="E317" s="103"/>
      <c r="F317" s="38"/>
      <c r="H317" s="69" t="s">
        <v>104</v>
      </c>
      <c r="I317" s="96"/>
      <c r="J317" s="96"/>
      <c r="K317" s="102"/>
      <c r="L317" s="103"/>
      <c r="M317" s="38"/>
      <c r="Q317" s="10" t="s">
        <v>502</v>
      </c>
      <c r="R317">
        <f>IF(F313=Q317,E313,0)+IF(F308=Q317,E308,0)+IF(F309=Q317,E309,0)+IF(Q317=F310,E310,0)+IF(F311=Q317,E311,0)+IF(F312=Q317,E312,0)</f>
        <v>0</v>
      </c>
      <c r="S317">
        <f>IF(M311=Q317,L311,0)+IF(M312=Q317,L312,0)+IF(M313=Q317,L313,0)+IF(Q317=M308,L308,0)+IF(M309=Q317,L309,0)+IF(M310=Q317,L310,0)</f>
        <v>0</v>
      </c>
      <c r="T317">
        <f>IF(F316=Q317,E316,0)+IF(F317=Q317,E317,0)+IF(F318=Q317,E318,0)+IF(Q317=F319,E319,0)+IF(F320=Q317,E320,0)+IF(F321=Q317,E321,0)</f>
        <v>0</v>
      </c>
      <c r="U317">
        <f>IF(M316=Q317,L316,0)+IF(M317=Q317,L317,0)+IF(M318=Q317,L318,0)+IF(Q317=M319,L319,0)+IF(M320=Q317,L320,0)+IF(M321=Q317,L321,0)</f>
        <v>0</v>
      </c>
      <c r="V317">
        <f>IF(F324=Q317,E324,0)+IF(F325=Q317,E325,0)+IF(F326=Q317,E326,0)+IF(Q317=F327,E327,0)+IF(F328=Q317,E328,0)+IF(F329=Q317,E329,0)</f>
        <v>0</v>
      </c>
      <c r="W317" s="63">
        <f t="shared" si="52"/>
        <v>0</v>
      </c>
      <c r="AB317" t="s">
        <v>268</v>
      </c>
      <c r="AC317">
        <f>(SUM(I308:I314))</f>
        <v>0</v>
      </c>
    </row>
    <row r="318" spans="1:29" hidden="1" outlineLevel="1" x14ac:dyDescent="0.25">
      <c r="A318" s="69" t="s">
        <v>105</v>
      </c>
      <c r="B318" s="96"/>
      <c r="C318" s="96"/>
      <c r="D318" s="102"/>
      <c r="E318" s="103"/>
      <c r="F318" s="38"/>
      <c r="H318" s="69" t="s">
        <v>105</v>
      </c>
      <c r="I318" s="96"/>
      <c r="J318" s="96"/>
      <c r="K318" s="102"/>
      <c r="L318" s="103"/>
      <c r="M318" s="38"/>
      <c r="Q318" s="10" t="s">
        <v>498</v>
      </c>
      <c r="R318">
        <f>IF(F308=Q318,E308,0)+IF(F309=Q318,E309,0)+IF(F310=Q318,E310,0)+IF(Q318=F311,E311,0)+IF(F312=Q318,E312,0)+IF(F313=Q318,E313,0)</f>
        <v>0</v>
      </c>
      <c r="S318">
        <f>IF(M311=Q318,L311,0)+IF(M312=Q318,L312,0)+IF(M313=Q318,L313,0)+IF(Q318=M308,L308,0)+IF(M309=Q318,L309,0)+IF(M310=Q318,L310,0)</f>
        <v>0</v>
      </c>
      <c r="T318">
        <f>IF(F316=Q318,E316,0)+IF(F317=Q318,E317,0)+IF(F318=Q318,E318,0)+IF(Q318=F319,E319,0)+IF(F320=Q318,E320,0)+IF(F321=Q318,E321,0)</f>
        <v>0</v>
      </c>
      <c r="U318">
        <f>IF(M316=Q318,L316,0)+IF(M317=Q318,L317,0)+IF(M318=Q318,L318,0)+IF(Q318=M319,L319,0)+IF(M320=Q318,L320,0)+IF(M321=Q318,L321,0)</f>
        <v>0</v>
      </c>
      <c r="V318">
        <f>IF(F324=Q318,E324,0)+IF(F325=Q318,E325,0)+IF(F326=Q318,E326,0)+IF(Q318=F327,E327,0)+IF(F328=Q318,E328,0)+IF(F329=Q318,E329,0)</f>
        <v>0</v>
      </c>
      <c r="W318" s="63">
        <f t="shared" si="52"/>
        <v>0</v>
      </c>
      <c r="AB318" t="s">
        <v>269</v>
      </c>
      <c r="AC318">
        <f>(SUM(B316:B322))</f>
        <v>0</v>
      </c>
    </row>
    <row r="319" spans="1:29" hidden="1" outlineLevel="1" x14ac:dyDescent="0.25">
      <c r="A319" s="69" t="s">
        <v>106</v>
      </c>
      <c r="B319" s="96"/>
      <c r="C319" s="96"/>
      <c r="D319" s="102"/>
      <c r="E319" s="103"/>
      <c r="F319" s="38"/>
      <c r="H319" s="69" t="s">
        <v>106</v>
      </c>
      <c r="I319" s="96"/>
      <c r="J319" s="96"/>
      <c r="K319" s="102"/>
      <c r="L319" s="103"/>
      <c r="M319" s="38"/>
      <c r="P319" s="72"/>
      <c r="Q319" s="73" t="s">
        <v>501</v>
      </c>
      <c r="R319" s="72">
        <f>IF(F309=Q319,E309,0)+IF(F310=Q319,E310,0)+IF(F311=Q319,E311,0)+IF(Q319=F312,E312,0)+IF(F313=Q319,E313,0)+IF(F308=Q319,E308,0)</f>
        <v>0</v>
      </c>
      <c r="S319" s="72">
        <f>IF(M311=Q319,L311,0)+IF(M312=Q319,L312,0)+IF(M313=Q319,L313,0)+IF(Q319=M308,L308,0)+IF(M309=Q319,L309,0)+IF(M310=Q319,L310,0)</f>
        <v>0</v>
      </c>
      <c r="T319" s="72">
        <f>IF(F316=Q319,E316,0)+IF(F317=Q319,E317,0)+IF(F318=Q319,E318,0)+IF(Q319=F319,E319,0)+IF(F320=Q319,E320,0)+IF(F321=Q319,E321,0)</f>
        <v>0</v>
      </c>
      <c r="U319" s="72">
        <f>IF(M316=Q319,L316,0)+IF(M317=Q319,L317,0)+IF(M318=Q319,L318,0)+IF(Q319=M319,L319,0)+IF(M320=Q319,L320,0)+IF(M321=Q319,L321,0)</f>
        <v>0</v>
      </c>
      <c r="V319" s="72">
        <f>IF(F324=Q319,E324,0)+IF(F325=Q319,E325,0)+IF(F326=Q319,E326,0)+IF(Q319=F327,E327,0)+IF(F328=Q319,E328,0)+IF(F329=Q319,E329,0)</f>
        <v>0</v>
      </c>
      <c r="W319" s="74">
        <f t="shared" si="52"/>
        <v>0</v>
      </c>
      <c r="AB319" t="s">
        <v>270</v>
      </c>
      <c r="AC319">
        <f>(SUM(I316:I322))</f>
        <v>0</v>
      </c>
    </row>
    <row r="320" spans="1:29" hidden="1" outlineLevel="1" x14ac:dyDescent="0.25">
      <c r="A320" s="69" t="s">
        <v>107</v>
      </c>
      <c r="B320" s="96"/>
      <c r="C320" s="96"/>
      <c r="D320" s="102"/>
      <c r="E320" s="103"/>
      <c r="F320" s="38"/>
      <c r="H320" s="69" t="s">
        <v>107</v>
      </c>
      <c r="I320" s="96"/>
      <c r="J320" s="96"/>
      <c r="K320" s="102"/>
      <c r="L320" s="103"/>
      <c r="M320" s="38"/>
      <c r="Q320" s="75" t="s">
        <v>169</v>
      </c>
      <c r="R320" s="2" t="e">
        <f>IF(M305="Règlement HC",K305*10%,0)</f>
        <v>#N/A</v>
      </c>
      <c r="S320" s="2" t="e">
        <f>IF(M305="Règlement HC",K305*10%,0)</f>
        <v>#N/A</v>
      </c>
      <c r="T320" s="2" t="e">
        <f>IF(M305="Règlement HC",K305*10%,0)</f>
        <v>#N/A</v>
      </c>
      <c r="U320" s="2" t="e">
        <f>IF(M305="Règlement HC",K305*10%,0)</f>
        <v>#N/A</v>
      </c>
      <c r="V320" s="2" t="e">
        <f>IF(M305="Règlement HC",K305*10%,0)</f>
        <v>#N/A</v>
      </c>
      <c r="W320" s="76"/>
      <c r="AB320" t="s">
        <v>271</v>
      </c>
      <c r="AC320">
        <f>(SUM(B324:B330))</f>
        <v>0</v>
      </c>
    </row>
    <row r="321" spans="1:29" hidden="1" outlineLevel="1" x14ac:dyDescent="0.25">
      <c r="A321" s="69" t="s">
        <v>108</v>
      </c>
      <c r="B321" s="96"/>
      <c r="C321" s="96"/>
      <c r="D321" s="102"/>
      <c r="E321" s="103"/>
      <c r="F321" s="38"/>
      <c r="H321" s="69" t="s">
        <v>108</v>
      </c>
      <c r="I321" s="96"/>
      <c r="J321" s="96"/>
      <c r="K321" s="102"/>
      <c r="L321" s="103"/>
      <c r="M321" s="38"/>
      <c r="Q321" s="75" t="s">
        <v>175</v>
      </c>
      <c r="R321" s="2" t="e">
        <f>IF(M305="Règlement HC",SUM(B308:B314)-K305,0)</f>
        <v>#N/A</v>
      </c>
      <c r="S321" s="2" t="e">
        <f>IF(M305="Règlement HC",SUM(I308:I314)-K305,0)</f>
        <v>#N/A</v>
      </c>
      <c r="T321" s="2" t="e">
        <f>IF(M305="Règlement HC",SUM(B316:B322)-K305,0)</f>
        <v>#N/A</v>
      </c>
      <c r="U321" s="2" t="e">
        <f>IF(M305="Règlement HC",SUM(I316:I322)-K305,0)</f>
        <v>#N/A</v>
      </c>
      <c r="V321" s="2" t="e">
        <f>IF(M305="Règlement HC",SUM(B324:B330)-K305,0)</f>
        <v>#N/A</v>
      </c>
      <c r="W321" s="63" t="e">
        <f>SUM((IF(R321&gt;0,R321,0)+(IF(S321&gt;0,S321,0)+(IF(T321&gt;0,T321,0)+(IF(U321&gt;0,U321,0)+(IF(V321&gt;0,V321,0)))))))</f>
        <v>#N/A</v>
      </c>
      <c r="AA321" t="s">
        <v>313</v>
      </c>
      <c r="AB321" t="s">
        <v>314</v>
      </c>
      <c r="AC321" t="e">
        <f>W325</f>
        <v>#N/A</v>
      </c>
    </row>
    <row r="322" spans="1:29" ht="15.75" hidden="1" outlineLevel="1" thickBot="1" x14ac:dyDescent="0.3">
      <c r="A322" s="70" t="s">
        <v>109</v>
      </c>
      <c r="B322" s="97"/>
      <c r="C322" s="97"/>
      <c r="D322" s="71"/>
      <c r="E322" s="104"/>
      <c r="F322" s="38"/>
      <c r="H322" s="70" t="s">
        <v>109</v>
      </c>
      <c r="I322" s="97"/>
      <c r="J322" s="97"/>
      <c r="K322" s="71"/>
      <c r="L322" s="104"/>
      <c r="M322" s="39"/>
      <c r="P322" t="s">
        <v>170</v>
      </c>
      <c r="Q322" s="10" t="s">
        <v>162</v>
      </c>
      <c r="R322" t="e">
        <f>IF(R321&gt;=R320,R320,R321)</f>
        <v>#N/A</v>
      </c>
      <c r="S322" t="e">
        <f>IF(S321&gt;=S320,S320,S321)</f>
        <v>#N/A</v>
      </c>
      <c r="T322" t="e">
        <f>IF(T321&gt;=T320,T320,T321)</f>
        <v>#N/A</v>
      </c>
      <c r="U322" t="e">
        <f>IF(U321&gt;=U320,U320,U321)</f>
        <v>#N/A</v>
      </c>
      <c r="V322" t="e">
        <f>IF(V321&gt;=V320,V320,V321)</f>
        <v>#N/A</v>
      </c>
      <c r="W322" s="63" t="e">
        <f>SUM((IF(R322&gt;0,R322,0)+(IF(S322&gt;0,S322,0)+(IF(T322&gt;0,T322,0)+(IF(U322&gt;0,U322,0)+(IF(V322&gt;0,V322,0)))))))</f>
        <v>#N/A</v>
      </c>
    </row>
    <row r="323" spans="1:29" ht="15.75" hidden="1" outlineLevel="1" thickBot="1" x14ac:dyDescent="0.3">
      <c r="A323" s="64" t="str">
        <f>A290</f>
        <v>Ne pas saisir</v>
      </c>
      <c r="B323" s="65" t="e">
        <f>B307</f>
        <v>#N/A</v>
      </c>
      <c r="C323" s="65" t="str">
        <f>C307</f>
        <v>Férié</v>
      </c>
      <c r="D323" s="66" t="e">
        <f>D307</f>
        <v>#N/A</v>
      </c>
      <c r="E323" s="66" t="e">
        <f>E307</f>
        <v>#N/A</v>
      </c>
      <c r="F323" s="67" t="str">
        <f>F307</f>
        <v>Type absence</v>
      </c>
      <c r="H323" s="77" t="s">
        <v>136</v>
      </c>
      <c r="I323" s="78" t="e">
        <f>B307</f>
        <v>#N/A</v>
      </c>
      <c r="J323" s="78" t="str">
        <f>C307</f>
        <v>Férié</v>
      </c>
      <c r="K323" s="79" t="e">
        <f>D307</f>
        <v>#N/A</v>
      </c>
      <c r="L323" s="80" t="e">
        <f>E307</f>
        <v>#N/A</v>
      </c>
      <c r="M323" s="49"/>
      <c r="P323" t="s">
        <v>170</v>
      </c>
      <c r="Q323" s="10" t="s">
        <v>163</v>
      </c>
      <c r="R323" t="e">
        <f>R321-R322</f>
        <v>#N/A</v>
      </c>
      <c r="S323" t="e">
        <f>S321-S322</f>
        <v>#N/A</v>
      </c>
      <c r="T323" t="e">
        <f>T321-T322</f>
        <v>#N/A</v>
      </c>
      <c r="U323" t="e">
        <f>U321-U322</f>
        <v>#N/A</v>
      </c>
      <c r="V323" t="e">
        <f>V321-V322</f>
        <v>#N/A</v>
      </c>
      <c r="W323" s="63" t="e">
        <f t="shared" ref="W323:W328" si="53">SUM(R323:V323)</f>
        <v>#N/A</v>
      </c>
    </row>
    <row r="324" spans="1:29" hidden="1" outlineLevel="1" x14ac:dyDescent="0.25">
      <c r="A324" s="69" t="s">
        <v>103</v>
      </c>
      <c r="B324" s="95"/>
      <c r="C324" s="95"/>
      <c r="D324" s="106"/>
      <c r="E324" s="105"/>
      <c r="F324" s="101"/>
      <c r="H324" s="81" t="s">
        <v>103</v>
      </c>
      <c r="I324" s="82">
        <f t="shared" ref="I324:I329" si="54">B308+I308+B316+I316+B324</f>
        <v>0</v>
      </c>
      <c r="J324" s="82">
        <f t="shared" ref="J324:J329" si="55">C308+J308+C316+J316+C324</f>
        <v>0</v>
      </c>
      <c r="K324" s="83">
        <f t="shared" ref="K324:K329" si="56">D308+K308+D316+K316+D324</f>
        <v>0</v>
      </c>
      <c r="L324" s="84">
        <f t="shared" ref="L324:L329" si="57">E308+L308+E316+L316+E324</f>
        <v>0</v>
      </c>
      <c r="M324" s="303" t="s">
        <v>177</v>
      </c>
      <c r="N324" s="304"/>
      <c r="O324" s="304"/>
      <c r="Q324" s="10" t="s">
        <v>164</v>
      </c>
      <c r="R324" t="e">
        <f>IF(AND(K305="non",(SUM(B308:B314)&gt;U304)),SUM(B308:B314)-U304,0)</f>
        <v>#N/A</v>
      </c>
      <c r="S324" t="e">
        <f>IF(AND(K305="non",(SUM(I308:I314)&gt;U304)),SUM(I308:I314)-U304,0)</f>
        <v>#N/A</v>
      </c>
      <c r="T324" t="e">
        <f>IF(AND(K305="non",(SUM(B316:B322)&gt;U304)),SUM(B316:B322)-U304,0)</f>
        <v>#N/A</v>
      </c>
      <c r="U324" t="e">
        <f>IF(AND(K305="non",(SUM(I316:I322)&gt;U304)),SUM(I316:I322)-U304,0)</f>
        <v>#N/A</v>
      </c>
      <c r="V324" t="e">
        <f>IF(AND(K305="non",(SUM(B324:B330)&gt;U304)),SUM(B324:B330)-U304,0)</f>
        <v>#N/A</v>
      </c>
      <c r="W324" s="63" t="e">
        <f t="shared" si="53"/>
        <v>#N/A</v>
      </c>
    </row>
    <row r="325" spans="1:29" hidden="1" outlineLevel="1" x14ac:dyDescent="0.25">
      <c r="A325" s="69" t="s">
        <v>104</v>
      </c>
      <c r="B325" s="96"/>
      <c r="C325" s="96"/>
      <c r="D325" s="102"/>
      <c r="E325" s="103"/>
      <c r="F325" s="38"/>
      <c r="H325" s="81" t="s">
        <v>104</v>
      </c>
      <c r="I325" s="88">
        <f t="shared" si="54"/>
        <v>0</v>
      </c>
      <c r="J325" s="88">
        <f t="shared" si="55"/>
        <v>0</v>
      </c>
      <c r="K325" s="89">
        <f t="shared" si="56"/>
        <v>0</v>
      </c>
      <c r="L325" s="90">
        <f t="shared" si="57"/>
        <v>0</v>
      </c>
      <c r="M325" s="49"/>
      <c r="P325" t="s">
        <v>167</v>
      </c>
      <c r="Q325" s="10" t="s">
        <v>165</v>
      </c>
      <c r="R325" t="e">
        <f>IF(H306="Cadre",0,SUM(C308:C314))</f>
        <v>#N/A</v>
      </c>
      <c r="S325" t="e">
        <f>IF(H306="Cadre",0,SUM(J308:J314))</f>
        <v>#N/A</v>
      </c>
      <c r="T325" t="e">
        <f>IF(H306="Cadre",0,SUM(C316:C322))</f>
        <v>#N/A</v>
      </c>
      <c r="U325" t="e">
        <f>IF(H306="Cadre",0,SUM(J316:J322))</f>
        <v>#N/A</v>
      </c>
      <c r="V325" t="e">
        <f>IF(H306="Cadre",0,SUM(C324:C330))</f>
        <v>#N/A</v>
      </c>
      <c r="W325" s="63" t="e">
        <f t="shared" si="53"/>
        <v>#N/A</v>
      </c>
    </row>
    <row r="326" spans="1:29" hidden="1" outlineLevel="1" x14ac:dyDescent="0.25">
      <c r="A326" s="69" t="s">
        <v>105</v>
      </c>
      <c r="B326" s="96"/>
      <c r="C326" s="96"/>
      <c r="D326" s="102"/>
      <c r="E326" s="103"/>
      <c r="F326" s="38"/>
      <c r="H326" s="81" t="s">
        <v>105</v>
      </c>
      <c r="I326" s="88">
        <f t="shared" si="54"/>
        <v>0</v>
      </c>
      <c r="J326" s="88">
        <f t="shared" si="55"/>
        <v>0</v>
      </c>
      <c r="K326" s="89">
        <f t="shared" si="56"/>
        <v>0</v>
      </c>
      <c r="L326" s="90">
        <f t="shared" si="57"/>
        <v>0</v>
      </c>
      <c r="M326" s="49"/>
      <c r="P326" t="s">
        <v>168</v>
      </c>
      <c r="Q326" s="10" t="s">
        <v>165</v>
      </c>
      <c r="R326" t="e">
        <f>IF(H306="Cadre",((SUM(C308:C314)/2)*5),0)</f>
        <v>#N/A</v>
      </c>
      <c r="S326" t="e">
        <f>IF(H306="Cadre",(SUM(J308:J314)/2*5),0)</f>
        <v>#N/A</v>
      </c>
      <c r="T326" t="e">
        <f>IF(H306="Cadre",(SUM(C316:C322)/2*5),0)</f>
        <v>#N/A</v>
      </c>
      <c r="U326" t="e">
        <f>IF(H306="Cadre",(SUM(J316:J322)/2*5),0)</f>
        <v>#N/A</v>
      </c>
      <c r="V326" t="e">
        <f>IF(H306="Cadre",(SUM(C324:C330)/2*5),0)</f>
        <v>#N/A</v>
      </c>
      <c r="W326" s="63" t="e">
        <f t="shared" si="53"/>
        <v>#N/A</v>
      </c>
    </row>
    <row r="327" spans="1:29" hidden="1" outlineLevel="1" x14ac:dyDescent="0.25">
      <c r="A327" s="69" t="s">
        <v>106</v>
      </c>
      <c r="B327" s="96"/>
      <c r="C327" s="96"/>
      <c r="D327" s="102"/>
      <c r="E327" s="103"/>
      <c r="F327" s="38"/>
      <c r="H327" s="81" t="s">
        <v>106</v>
      </c>
      <c r="I327" s="88">
        <f t="shared" si="54"/>
        <v>0</v>
      </c>
      <c r="J327" s="88">
        <f t="shared" si="55"/>
        <v>0</v>
      </c>
      <c r="K327" s="89">
        <f t="shared" si="56"/>
        <v>0</v>
      </c>
      <c r="L327" s="90">
        <f t="shared" si="57"/>
        <v>0</v>
      </c>
      <c r="M327" s="49"/>
      <c r="P327" t="s">
        <v>166</v>
      </c>
      <c r="Q327" s="10" t="s">
        <v>159</v>
      </c>
      <c r="R327" t="e">
        <f>IF(H306="Employé",B314,0)</f>
        <v>#N/A</v>
      </c>
      <c r="S327" t="e">
        <f>IF(H306="Employé",I314,0)</f>
        <v>#N/A</v>
      </c>
      <c r="T327" t="e">
        <f>IF(H306="Employé",B322,0)</f>
        <v>#N/A</v>
      </c>
      <c r="U327" t="e">
        <f>IF(H306="Employé",I322,0)</f>
        <v>#N/A</v>
      </c>
      <c r="V327" t="e">
        <f>IF(H306="Employé",B330,0)</f>
        <v>#N/A</v>
      </c>
      <c r="W327" s="63" t="e">
        <f t="shared" si="53"/>
        <v>#N/A</v>
      </c>
    </row>
    <row r="328" spans="1:29" hidden="1" outlineLevel="1" x14ac:dyDescent="0.25">
      <c r="A328" s="69" t="s">
        <v>107</v>
      </c>
      <c r="B328" s="96"/>
      <c r="C328" s="96"/>
      <c r="D328" s="102"/>
      <c r="E328" s="103"/>
      <c r="F328" s="38"/>
      <c r="H328" s="81" t="s">
        <v>107</v>
      </c>
      <c r="I328" s="88">
        <f t="shared" si="54"/>
        <v>0</v>
      </c>
      <c r="J328" s="88">
        <f t="shared" si="55"/>
        <v>0</v>
      </c>
      <c r="K328" s="89">
        <f t="shared" si="56"/>
        <v>0</v>
      </c>
      <c r="L328" s="90">
        <f t="shared" si="57"/>
        <v>0</v>
      </c>
      <c r="M328" s="303" t="s">
        <v>178</v>
      </c>
      <c r="N328" s="304"/>
      <c r="O328" s="304"/>
      <c r="P328" t="s">
        <v>297</v>
      </c>
      <c r="Q328" s="10" t="s">
        <v>159</v>
      </c>
      <c r="R328" t="e">
        <f>IF(H306="Cadre",IF(B314=2,5,0),0)</f>
        <v>#N/A</v>
      </c>
      <c r="S328" t="e">
        <f>IF(H306="Cadre",IF(I314=2,5,0),0)</f>
        <v>#N/A</v>
      </c>
      <c r="T328" t="e">
        <f>IF(H306="Cadre",IF(B322=2,5,0),0)</f>
        <v>#N/A</v>
      </c>
      <c r="U328" t="e">
        <f>IF(H306="Cadre",IF(I322=2,5,0),0)</f>
        <v>#N/A</v>
      </c>
      <c r="V328" t="e">
        <f>IF(H306="Cadre",IF(B330=2,5,0),0)</f>
        <v>#N/A</v>
      </c>
      <c r="W328" s="63" t="e">
        <f t="shared" si="53"/>
        <v>#N/A</v>
      </c>
    </row>
    <row r="329" spans="1:29" hidden="1" outlineLevel="1" x14ac:dyDescent="0.25">
      <c r="A329" s="69" t="s">
        <v>108</v>
      </c>
      <c r="B329" s="96"/>
      <c r="C329" s="96"/>
      <c r="D329" s="102"/>
      <c r="E329" s="103"/>
      <c r="F329" s="38"/>
      <c r="H329" s="81" t="s">
        <v>108</v>
      </c>
      <c r="I329" s="88">
        <f t="shared" si="54"/>
        <v>0</v>
      </c>
      <c r="J329" s="88">
        <f t="shared" si="55"/>
        <v>0</v>
      </c>
      <c r="K329" s="89">
        <f t="shared" si="56"/>
        <v>0</v>
      </c>
      <c r="L329" s="90">
        <f t="shared" si="57"/>
        <v>0</v>
      </c>
      <c r="M329" s="49"/>
      <c r="P329" t="s">
        <v>171</v>
      </c>
      <c r="Q329" s="10" t="s">
        <v>172</v>
      </c>
      <c r="R329" s="2"/>
      <c r="S329" s="2"/>
      <c r="T329" s="2"/>
      <c r="U329" s="2"/>
      <c r="V329" s="2"/>
      <c r="W329" s="91" t="e">
        <f>IF(AND(K305="non",H306="Employé"),SUM(I324:I330)+(SUM(W306:W319)-W302),(SUM(I324:I330)-W321)+(SUM(W306:W319)-W302))</f>
        <v>#N/A</v>
      </c>
    </row>
    <row r="330" spans="1:29" ht="15.75" hidden="1" outlineLevel="1" thickBot="1" x14ac:dyDescent="0.3">
      <c r="A330" s="70" t="s">
        <v>109</v>
      </c>
      <c r="B330" s="97"/>
      <c r="C330" s="97"/>
      <c r="D330" s="71"/>
      <c r="E330" s="104"/>
      <c r="F330" s="39"/>
      <c r="H330" s="92" t="s">
        <v>109</v>
      </c>
      <c r="I330" s="93">
        <f>(B314+I314+B322+I322+B330)</f>
        <v>0</v>
      </c>
      <c r="J330" s="93">
        <f>(C314+J314+C322+J322+C330)</f>
        <v>0</v>
      </c>
      <c r="K330" s="71">
        <f>(D314+K314+D322+K322+D330)</f>
        <v>0</v>
      </c>
      <c r="L330" s="94">
        <f>(E314+L314+E322+L322+E330)</f>
        <v>0</v>
      </c>
      <c r="M330" s="49"/>
      <c r="P330" t="s">
        <v>176</v>
      </c>
      <c r="Q330" s="10" t="s">
        <v>172</v>
      </c>
      <c r="R330" s="2"/>
      <c r="S330" s="2"/>
      <c r="T330" s="2"/>
      <c r="U330" s="2"/>
      <c r="V330" s="2"/>
      <c r="W330" s="91" t="e">
        <f>IF(H306="Cadre",((SUM(I324:I330)+SUM(W306:W319)-W308-W309)/2),0)</f>
        <v>#N/A</v>
      </c>
    </row>
    <row r="331" spans="1:29" ht="15" customHeight="1" collapsed="1" x14ac:dyDescent="0.25">
      <c r="D331" s="302" t="s">
        <v>298</v>
      </c>
      <c r="E331" s="302"/>
      <c r="F331" s="302"/>
      <c r="G331" s="302"/>
      <c r="H331" s="302"/>
      <c r="I331" s="302"/>
      <c r="J331" s="302"/>
      <c r="K331" s="302"/>
      <c r="L331" s="42" t="s">
        <v>287</v>
      </c>
      <c r="N331" s="43"/>
      <c r="O331" s="43" t="s">
        <v>179</v>
      </c>
      <c r="P331" s="15" t="s">
        <v>157</v>
      </c>
      <c r="AA331" s="15" t="s">
        <v>157</v>
      </c>
    </row>
    <row r="332" spans="1:29" hidden="1" outlineLevel="1" x14ac:dyDescent="0.25">
      <c r="D332" s="302"/>
      <c r="E332" s="302"/>
      <c r="F332" s="302"/>
      <c r="G332" s="302"/>
      <c r="H332" s="302"/>
      <c r="I332" s="302"/>
      <c r="J332" s="302"/>
      <c r="K332" s="302"/>
      <c r="N332" s="43"/>
      <c r="O332" s="43" t="s">
        <v>180</v>
      </c>
      <c r="AC332" t="s">
        <v>201</v>
      </c>
    </row>
    <row r="333" spans="1:29" hidden="1" outlineLevel="1" x14ac:dyDescent="0.25">
      <c r="D333" s="302"/>
      <c r="E333" s="302"/>
      <c r="F333" s="302"/>
      <c r="G333" s="302"/>
      <c r="H333" s="302"/>
      <c r="I333" s="302"/>
      <c r="J333" s="302"/>
      <c r="K333" s="302"/>
      <c r="N333" s="44"/>
      <c r="O333" s="44" t="s">
        <v>181</v>
      </c>
      <c r="AA333" s="15" t="s">
        <v>200</v>
      </c>
      <c r="AC333" s="2" t="str">
        <f>I335</f>
        <v>Juin</v>
      </c>
    </row>
    <row r="334" spans="1:29" hidden="1" outlineLevel="1" x14ac:dyDescent="0.25">
      <c r="A334" s="45" t="s">
        <v>3</v>
      </c>
      <c r="B334" s="46">
        <f>'Synthèse Horaires'!$B$4</f>
        <v>2026</v>
      </c>
      <c r="C334" s="47"/>
      <c r="D334" s="48" t="s">
        <v>1</v>
      </c>
      <c r="E334" s="46">
        <f>'Synthèse Horaires'!$D$4</f>
        <v>0</v>
      </c>
      <c r="F334" s="49"/>
      <c r="G334" s="49"/>
      <c r="H334" s="48" t="s">
        <v>2</v>
      </c>
      <c r="I334" s="47">
        <f>'Synthèse Horaires'!$I$4</f>
        <v>0</v>
      </c>
      <c r="J334" s="50"/>
      <c r="K334" s="50"/>
      <c r="N334" s="44"/>
      <c r="O334" s="44" t="s">
        <v>202</v>
      </c>
      <c r="V334" s="10" t="s">
        <v>174</v>
      </c>
      <c r="W334" s="51" t="e">
        <f>IF(K338="non",SUM(K357:K363)*(35/6),SUM(K357:K363)*(K338/6))</f>
        <v>#N/A</v>
      </c>
      <c r="AB334" t="s">
        <v>6</v>
      </c>
      <c r="AC334" s="14">
        <f>B338</f>
        <v>0</v>
      </c>
    </row>
    <row r="335" spans="1:29" hidden="1" outlineLevel="1" x14ac:dyDescent="0.25">
      <c r="A335" s="45" t="s">
        <v>10</v>
      </c>
      <c r="B335" s="49"/>
      <c r="C335" s="49"/>
      <c r="D335" s="50" t="str">
        <f>'Synthèse Horaires'!$C$6</f>
        <v>01 juin 2026 au 31 mai 2027.</v>
      </c>
      <c r="E335" s="2"/>
      <c r="H335" s="48" t="s">
        <v>205</v>
      </c>
      <c r="I335" s="47" t="str">
        <f>'Synthèse Horaires'!$I$5</f>
        <v>Juin</v>
      </c>
      <c r="N335" s="44"/>
      <c r="O335" s="44" t="s">
        <v>203</v>
      </c>
      <c r="V335" s="10" t="s">
        <v>173</v>
      </c>
      <c r="W335">
        <f>W341+W342</f>
        <v>0</v>
      </c>
      <c r="AB335" t="s">
        <v>57</v>
      </c>
      <c r="AC335" s="14" t="e">
        <f>B339</f>
        <v>#N/A</v>
      </c>
    </row>
    <row r="336" spans="1:29" hidden="1" outlineLevel="1" x14ac:dyDescent="0.25">
      <c r="AB336" t="s">
        <v>211</v>
      </c>
      <c r="AC336" s="14" t="e">
        <f>H339</f>
        <v>#N/A</v>
      </c>
    </row>
    <row r="337" spans="1:29" hidden="1" outlineLevel="1" x14ac:dyDescent="0.25">
      <c r="A337" s="4" t="s">
        <v>58</v>
      </c>
      <c r="B337" s="4"/>
      <c r="C337" s="4"/>
      <c r="D337" s="4"/>
      <c r="E337" s="4"/>
      <c r="F337" s="4"/>
      <c r="G337" s="4"/>
      <c r="H337" s="4"/>
      <c r="P337" s="53" t="s">
        <v>6</v>
      </c>
      <c r="Q337" s="2">
        <f>B338</f>
        <v>0</v>
      </c>
      <c r="T337" s="10" t="s">
        <v>76</v>
      </c>
      <c r="U337" s="2" t="e">
        <f>VLOOKUP(B338,'Base Matricule Siège'!$B$12:$H$1000,4,FALSE)</f>
        <v>#N/A</v>
      </c>
      <c r="AA337" t="s">
        <v>215</v>
      </c>
      <c r="AB337" t="s">
        <v>207</v>
      </c>
      <c r="AC337" s="14" t="e">
        <f>IF(AC336="Cadre",0,W362)</f>
        <v>#N/A</v>
      </c>
    </row>
    <row r="338" spans="1:29" hidden="1" outlineLevel="1" x14ac:dyDescent="0.25">
      <c r="A338" s="49" t="s">
        <v>18</v>
      </c>
      <c r="B338" s="113">
        <v>0</v>
      </c>
      <c r="E338" s="49"/>
      <c r="G338" s="57" t="s">
        <v>317</v>
      </c>
      <c r="H338" s="58" t="e">
        <f>VLOOKUP(B338,'Base Matricule Siège'!$B$13:$H$1000,7,FALSE)</f>
        <v>#N/A</v>
      </c>
      <c r="J338" s="10" t="s">
        <v>161</v>
      </c>
      <c r="K338" s="58" t="e">
        <f>IF((VLOOKUP('MASQUE COLLABORATEUR'!B338,'Base Matricule Siège'!$B$13:$E$1000,4,FALSE)&lt;'Base Matricule Siège'!$G$5),(VLOOKUP('MASQUE COLLABORATEUR'!B338,'Base Matricule Siège'!$B$13:$E$1000,4,FALSE)),"non")</f>
        <v>#N/A</v>
      </c>
      <c r="L338" s="114" t="s">
        <v>340</v>
      </c>
      <c r="M338" s="115" t="e">
        <f>IF(K338="non","0",VLOOKUP(B338,'Base Matricule Siège'!$B$13:$S$1000,18,FALSE))</f>
        <v>#N/A</v>
      </c>
      <c r="R338" t="s">
        <v>151</v>
      </c>
      <c r="S338" t="s">
        <v>152</v>
      </c>
      <c r="T338" t="s">
        <v>153</v>
      </c>
      <c r="U338" t="s">
        <v>154</v>
      </c>
      <c r="V338" t="s">
        <v>155</v>
      </c>
      <c r="W338" s="59" t="s">
        <v>156</v>
      </c>
      <c r="AB338" t="s">
        <v>11</v>
      </c>
      <c r="AC338" s="14" t="e">
        <f>W363</f>
        <v>#N/A</v>
      </c>
    </row>
    <row r="339" spans="1:29" ht="15.75" hidden="1" outlineLevel="1" thickBot="1" x14ac:dyDescent="0.3">
      <c r="A339" s="49" t="s">
        <v>59</v>
      </c>
      <c r="B339" s="2" t="e">
        <f>VLOOKUP(B338,'Base Matricule Siège'!$B$13:$C$1000,2,FALSE)</f>
        <v>#N/A</v>
      </c>
      <c r="C339" s="2"/>
      <c r="D339" s="2"/>
      <c r="G339" s="57" t="s">
        <v>158</v>
      </c>
      <c r="H339" s="58" t="e">
        <f>VLOOKUP(B338,'Base Matricule Siège'!$B$13:$G$1000,6,FALSE)</f>
        <v>#N/A</v>
      </c>
      <c r="P339" s="10" t="s">
        <v>142</v>
      </c>
      <c r="Q339" s="10" t="s">
        <v>149</v>
      </c>
      <c r="R339">
        <f>IF(F341=Q339,E341,0)+IF(F342=Q339,E342,0)+IF(F343=Q339,E343,0)+IF(Q339=F344,E344,0)+IF(F345=Q339,E345,0)+IF(F346=Q339,E346,0)</f>
        <v>0</v>
      </c>
      <c r="S339">
        <f>IF(M341=Q339,L341,0)+IF(M342=Q339,L342,0)+IF(M343=Q339,L343,0)+IF(Q339=M344,L344,0)+IF(M345=Q339,L345,0)+IF(M346=Q339,L346,0)</f>
        <v>0</v>
      </c>
      <c r="T339">
        <f>IF(F349=Q339,E349,0)+IF(F350=Q339,E350,0)+IF(F351=Q339,E351,0)+IF(Q339=F352,E352,0)+IF(F353=Q339,E353,0)+IF(F354=Q339,E354,0)</f>
        <v>0</v>
      </c>
      <c r="U339">
        <f>IF(M349=Q339,L349,0)+IF(M350=Q339,L350,0)+IF(M351=Q339,L351,0)+IF(Q339=M352,L352,0)+IF(M353=Q339,L353,0)+IF(M354=Q339,L354,0)</f>
        <v>0</v>
      </c>
      <c r="V339">
        <f>IF(F357=Q339,E357,0)+IF(F358=Q339,E358,0)+IF(F359=Q339,E359,0)+IF(Q339=F360,E360,0)+IF(F361=Q339,E361,0)+IF(F362=Q339,E362,0)</f>
        <v>0</v>
      </c>
      <c r="W339" s="63">
        <f>SUM(R339:V339)</f>
        <v>0</v>
      </c>
      <c r="AB339" t="s">
        <v>208</v>
      </c>
      <c r="AC339" s="14">
        <f>SUM(K357:K363)*2</f>
        <v>0</v>
      </c>
    </row>
    <row r="340" spans="1:29" ht="15.75" hidden="1" outlineLevel="1" thickBot="1" x14ac:dyDescent="0.3">
      <c r="A340" s="64" t="str">
        <f>A307</f>
        <v>Semaine 23</v>
      </c>
      <c r="B340" s="65" t="e">
        <f>IF(H339="Cadre","Demi J. Réalisées","H. Réalisées")</f>
        <v>#N/A</v>
      </c>
      <c r="C340" s="65" t="s">
        <v>141</v>
      </c>
      <c r="D340" s="66" t="e">
        <f>IF(H339="Cadre","CP en Demi J.","CP en jours")</f>
        <v>#N/A</v>
      </c>
      <c r="E340" s="66" t="e">
        <f>IF(H339="Cadre","Abs. En Demi J.","Absence en H.")</f>
        <v>#N/A</v>
      </c>
      <c r="F340" s="67" t="s">
        <v>110</v>
      </c>
      <c r="H340" s="64" t="str">
        <f>H307</f>
        <v>Semaine 24</v>
      </c>
      <c r="I340" s="65" t="e">
        <f>B340</f>
        <v>#N/A</v>
      </c>
      <c r="J340" s="65" t="str">
        <f>C340</f>
        <v>Férié</v>
      </c>
      <c r="K340" s="66" t="e">
        <f>D340</f>
        <v>#N/A</v>
      </c>
      <c r="L340" s="66" t="e">
        <f>E340</f>
        <v>#N/A</v>
      </c>
      <c r="M340" s="67" t="str">
        <f>F340</f>
        <v>Type absence</v>
      </c>
      <c r="Q340" s="10" t="s">
        <v>143</v>
      </c>
      <c r="R340">
        <f>IF(F341=Q340,E341,0)+IF(F342=Q340,E342,0)+IF(F343=Q340,E343,0)+IF(Q340=F344,E344,0)+IF(F346=Q340,E345,0)+IF(F345=Q340,E346,0)</f>
        <v>0</v>
      </c>
      <c r="S340">
        <f>IF(M342=Q340,L342,0)+IF(M343=Q340,L343,0)+IF(M344=Q340,L344,0)+IF(Q340=M345,L345,0)+IF(M346=Q340,L346,0)+IF(M341=Q340,L341,0)</f>
        <v>0</v>
      </c>
      <c r="T340">
        <f>IF(F349=Q340,E349,0)+IF(F350=Q340,E350,0)+IF(F351=Q340,E351,0)+IF(Q340=F352,E352,0)+IF(F353=Q340,E353,0)+IF(F354=Q340,E354,0)</f>
        <v>0</v>
      </c>
      <c r="U340">
        <f>IF(M349=Q340,L349,0)+IF(M350=Q340,L350,0)+IF(M351=Q340,L351,0)+IF(Q340=M352,L352,0)+IF(M353=Q340,L353,0)+IF(M354=Q340,L354,0)</f>
        <v>0</v>
      </c>
      <c r="V340">
        <f>IF(F357=Q340,E357,0)+IF(F358=Q340,E358,0)+IF(F359=Q340,E359,0)+IF(Q340=F360,E360,0)+IF(F361=Q340,E361,0)+IF(F362=Q340,E362,0)</f>
        <v>0</v>
      </c>
      <c r="W340" s="63">
        <f t="shared" ref="W340:W352" si="58">SUM(R340:V340)</f>
        <v>0</v>
      </c>
      <c r="AB340" t="s">
        <v>8</v>
      </c>
      <c r="AC340" s="14"/>
    </row>
    <row r="341" spans="1:29" hidden="1" outlineLevel="1" x14ac:dyDescent="0.25">
      <c r="A341" s="68" t="s">
        <v>103</v>
      </c>
      <c r="B341" s="98"/>
      <c r="C341" s="98"/>
      <c r="D341" s="99"/>
      <c r="E341" s="100"/>
      <c r="F341" s="101"/>
      <c r="H341" s="69" t="s">
        <v>103</v>
      </c>
      <c r="I341" s="95"/>
      <c r="J341" s="95"/>
      <c r="K341" s="106"/>
      <c r="L341" s="105"/>
      <c r="M341" s="101"/>
      <c r="Q341" s="10" t="s">
        <v>144</v>
      </c>
      <c r="R341">
        <f>IF(F343=Q341,E343,0)+IF(F344=Q341,E344,0)+IF(F345=Q341,E345,0)+IF(Q341=F346,E346,0)+IF(F341=Q341,E341,0)+IF(F342=Q341,E342,0)</f>
        <v>0</v>
      </c>
      <c r="S341">
        <f>IF(M343=Q341,L343,0)+IF(M344=Q341,L344,0)+IF(M345=Q341,L345,0)+IF(Q341=M346,L346,0)+IF(M341=Q341,L341,0)+IF(M342=Q341,L342,0)</f>
        <v>0</v>
      </c>
      <c r="T341">
        <f>IF(F349=Q341,E349,0)+IF(F350=Q341,E350,0)+IF(F351=Q341,E351,0)+IF(Q341=F352,E352,0)+IF(F353=Q341,E353,0)+IF(F354=Q341,E354,0)</f>
        <v>0</v>
      </c>
      <c r="U341">
        <f>IF(M349=Q341,L349,0)+IF(M350=Q341,L350,0)+IF(M351=Q341,L351,0)+IF(Q341=M352,L352,0)+IF(M353=Q341,L353,0)+IF(M354=Q341,L354,0)</f>
        <v>0</v>
      </c>
      <c r="V341">
        <f>IF(F357=Q341,E357,0)+IF(F358=Q341,E358,0)+IF(F359=Q341,E359,0)+IF(Q341=F360,E360,0)+IF(F361=Q341,E361,0)+IF(F362=Q341,E362,0)</f>
        <v>0</v>
      </c>
      <c r="W341" s="63">
        <f t="shared" si="58"/>
        <v>0</v>
      </c>
      <c r="AB341" t="s">
        <v>209</v>
      </c>
      <c r="AC341" s="14">
        <f>W341</f>
        <v>0</v>
      </c>
    </row>
    <row r="342" spans="1:29" hidden="1" outlineLevel="1" x14ac:dyDescent="0.25">
      <c r="A342" s="69" t="s">
        <v>104</v>
      </c>
      <c r="B342" s="96"/>
      <c r="C342" s="96"/>
      <c r="D342" s="102"/>
      <c r="E342" s="103"/>
      <c r="F342" s="38"/>
      <c r="H342" s="69" t="s">
        <v>104</v>
      </c>
      <c r="I342" s="96"/>
      <c r="J342" s="96"/>
      <c r="K342" s="102"/>
      <c r="L342" s="103"/>
      <c r="M342" s="38"/>
      <c r="Q342" s="10" t="s">
        <v>145</v>
      </c>
      <c r="R342">
        <f>IF(F344=Q342,E344,0)+IF(F345=Q342,E345,0)+IF(F346=Q342,E346,0)+IF(Q342=F341,E341,0)+IF(F342=Q342,E342,0)+IF(F343=Q342,E343,0)</f>
        <v>0</v>
      </c>
      <c r="S342">
        <f>IF(M344=Q342,L344,0)+IF(M345=Q342,L345,0)+IF(M346=Q342,L346,0)+IF(Q342=M341,L341,0)+IF(M342=Q342,L342,0)+IF(M343=Q342,L343,0)</f>
        <v>0</v>
      </c>
      <c r="T342">
        <f>IF(F349=Q342,$E349,0)+IF(F350=Q342,E350,0)+IF(F351=Q342,E351,0)+IF(Q342=F352,E352,0)+IF(F353=Q342,E353,0)+IF(F354=Q342,E354,0)</f>
        <v>0</v>
      </c>
      <c r="U342">
        <f>IF(M349=Q342,L349,0)+IF(M350=Q342,L350,0)+IF(M351=Q342,L351,0)+IF(Q342=M352,L352,0)+IF(M353=Q342,L353,0)+IF(M354=Q342,L354,0)</f>
        <v>0</v>
      </c>
      <c r="V342">
        <f>IF(F357=Q342,E357,0)+IF(F358=Q342,E358,0)+IF(F359=Q342,E359,0)+IF(Q342=F360,E360,0)+IF(F361=Q342,E361,0)+IF(F362=Q342,E362,0)</f>
        <v>0</v>
      </c>
      <c r="W342" s="63">
        <f t="shared" si="58"/>
        <v>0</v>
      </c>
      <c r="AB342" t="s">
        <v>210</v>
      </c>
      <c r="AC342" s="14">
        <f>SUM(W339:W352)-W341</f>
        <v>0</v>
      </c>
    </row>
    <row r="343" spans="1:29" hidden="1" outlineLevel="1" x14ac:dyDescent="0.25">
      <c r="A343" s="69" t="s">
        <v>105</v>
      </c>
      <c r="B343" s="96"/>
      <c r="C343" s="96"/>
      <c r="D343" s="102"/>
      <c r="E343" s="103"/>
      <c r="F343" s="38"/>
      <c r="H343" s="69" t="s">
        <v>105</v>
      </c>
      <c r="I343" s="96"/>
      <c r="J343" s="96"/>
      <c r="K343" s="102"/>
      <c r="L343" s="103"/>
      <c r="M343" s="38"/>
      <c r="Q343" s="10" t="s">
        <v>212</v>
      </c>
      <c r="R343">
        <f>IF(F345=Q343,E345,0)+IF(F346=Q343,E346,0)+IF(F341=Q343,E341,0)+IF(Q343=F342,E342,0)+IF(F343=Q343,E343,0)+IF(F344=Q343,E344,0)</f>
        <v>0</v>
      </c>
      <c r="S343">
        <f>IF(M344=Q343,L344,0)+IF(M345=Q343,L345,0)+IF(M346=Q343,L346,0)+IF(Q343=M341,L341,0)+IF(M342=Q343,L342,0)+IF(M343=Q343,L343,0)</f>
        <v>0</v>
      </c>
      <c r="T343">
        <f>IF(F349=Q343,E349,0)+IF(F350=Q343,E350,0)+IF(F351=Q343,E351,0)+IF(Q343=F352,E352,0)+IF(F353=Q343,E353,0)+IF(F354=Q343,E354,0)</f>
        <v>0</v>
      </c>
      <c r="U343">
        <f>IF(M349=Q343,L349,0)+IF(M350=Q343,L350,0)+IF(M351=Q343,L351,0)+IF(Q343=M352,L352,0)+IF(M353=Q343,L353,0)+IF(M354=Q343,L354,0)</f>
        <v>0</v>
      </c>
      <c r="V343">
        <f>IF(F357=Q343,E357,0)+IF(F358=Q343,E358,0)+IF(F359=Q343,E359,0)+IF(Q343=F360,E360,0)+IF(F361=Q343,E361,0)+IF(F362=Q343,E362,0)</f>
        <v>0</v>
      </c>
      <c r="W343" s="63">
        <f t="shared" si="58"/>
        <v>0</v>
      </c>
      <c r="AA343" t="s">
        <v>214</v>
      </c>
      <c r="AB343" t="s">
        <v>213</v>
      </c>
      <c r="AC343" s="14" t="e">
        <f>IF(AC336="Cadre",(W343/2),(W343/7))</f>
        <v>#N/A</v>
      </c>
    </row>
    <row r="344" spans="1:29" hidden="1" outlineLevel="1" x14ac:dyDescent="0.25">
      <c r="A344" s="69" t="s">
        <v>106</v>
      </c>
      <c r="B344" s="96"/>
      <c r="C344" s="96"/>
      <c r="D344" s="102"/>
      <c r="E344" s="103"/>
      <c r="F344" s="38"/>
      <c r="H344" s="69" t="s">
        <v>106</v>
      </c>
      <c r="I344" s="96"/>
      <c r="J344" s="96"/>
      <c r="K344" s="102"/>
      <c r="L344" s="103"/>
      <c r="M344" s="38"/>
      <c r="Q344" s="10" t="s">
        <v>146</v>
      </c>
      <c r="R344">
        <f>IF(F346=Q344,E346,0)+IF(F341=Q344,E341,0)+IF(F342=Q344,E342,0)+IF(Q344=F343,E343,0)+IF(F344=Q344,E344,0)+IF(F345=Q344,E345,0)</f>
        <v>0</v>
      </c>
      <c r="S344">
        <f>IF(M344=Q344,L344,0)+IF(M345=Q344,L345,0)+IF(M346=Q344,L346,0)+IF(Q344=M341,$L$11,0)+IF(M342=Q344,L342,0)+IF(M343=Q344,L343,0)</f>
        <v>0</v>
      </c>
      <c r="T344">
        <f>IF(F349=Q344,E349,0)+IF(F350=Q344,E350,0)+IF(F351=Q344,E351,0)+IF(Q344=F352,E352,0)+IF(F353=Q344,E353,0)+IF(F354=Q344,E354,0)</f>
        <v>0</v>
      </c>
      <c r="U344">
        <f>IF(M349=Q344,L349,0)+IF(M350=Q344,L350,0)+IF(M351=Q344,L351,0)+IF(Q344=M352,L352,0)+IF(M353=Q344,L353,0)+IF(M354=Q344,L354,0)</f>
        <v>0</v>
      </c>
      <c r="V344">
        <f>IF(F357=Q344,E357,0)+IF(F358=Q344,E358,0)+IF(F359=Q344,E359,0)+IF(Q344=F360,E360,0)+IF(F361=Q344,E361,0)+IF(F362=Q344,E362,0)</f>
        <v>0</v>
      </c>
      <c r="W344" s="63">
        <f t="shared" si="58"/>
        <v>0</v>
      </c>
      <c r="AA344" t="s">
        <v>216</v>
      </c>
      <c r="AB344" t="s">
        <v>217</v>
      </c>
      <c r="AC344" s="14" t="e">
        <f>W356+W357</f>
        <v>#N/A</v>
      </c>
    </row>
    <row r="345" spans="1:29" hidden="1" outlineLevel="1" x14ac:dyDescent="0.25">
      <c r="A345" s="69" t="s">
        <v>107</v>
      </c>
      <c r="B345" s="96"/>
      <c r="C345" s="96"/>
      <c r="D345" s="102"/>
      <c r="E345" s="103"/>
      <c r="F345" s="38"/>
      <c r="H345" s="69" t="s">
        <v>107</v>
      </c>
      <c r="I345" s="96"/>
      <c r="J345" s="96"/>
      <c r="K345" s="102"/>
      <c r="L345" s="103"/>
      <c r="M345" s="38"/>
      <c r="Q345" s="10" t="s">
        <v>499</v>
      </c>
      <c r="R345">
        <f>IF(F341=Q345,E341,0)+IF(F342=Q345,E342,0)+IF(F343=Q345,E343,0)+IF(Q345=F344,E344,0)+IF(F345=Q345,E345,0)+IF(F346=Q345,E346,0)</f>
        <v>0</v>
      </c>
      <c r="S345">
        <f>IF(M344=Q345,L344,0)+IF(M345=Q345,L345,0)+IF(M346=Q345,L346,0)+IF(Q345=M341,L341,0)+IF(M342=Q345,L342,0)+IF(M343=Q345,L343,0)</f>
        <v>0</v>
      </c>
      <c r="T345">
        <f>IF(F349=Q345,E349,0)+IF(F350=Q345,E350,0)+IF(F351=Q345,E351,0)+IF(Q345=F352,E352,0)+IF(F353=Q345,E353,0)+IF(F354=Q345,E354,0)</f>
        <v>0</v>
      </c>
      <c r="U345">
        <f>IF(M349=Q345,L349,0)+IF(M350=Q345,L350,0)+IF(M351=Q345,L351,0)+IF(Q345=M352,L352,0)+IF(M353=Q345,L353,0)+IF(M354=Q345,L354,0)</f>
        <v>0</v>
      </c>
      <c r="V345">
        <f>IF(F357=Q345,E357,0)+IF(F358=Q345,E358,0)+IF(F359=Q345,E359,0)+IF(Q345=F360,E360,0)+IF(F361=Q345,E361,0)+IF(F362=Q345,E362,0)</f>
        <v>0</v>
      </c>
      <c r="W345" s="63">
        <f t="shared" si="58"/>
        <v>0</v>
      </c>
      <c r="AA345" t="s">
        <v>218</v>
      </c>
      <c r="AB345" t="s">
        <v>219</v>
      </c>
      <c r="AC345" s="14" t="e">
        <f>W355</f>
        <v>#N/A</v>
      </c>
    </row>
    <row r="346" spans="1:29" hidden="1" outlineLevel="1" x14ac:dyDescent="0.25">
      <c r="A346" s="69" t="s">
        <v>108</v>
      </c>
      <c r="B346" s="96"/>
      <c r="C346" s="96"/>
      <c r="D346" s="102"/>
      <c r="E346" s="103"/>
      <c r="F346" s="38"/>
      <c r="H346" s="69" t="s">
        <v>108</v>
      </c>
      <c r="I346" s="96"/>
      <c r="J346" s="96"/>
      <c r="K346" s="102"/>
      <c r="L346" s="103"/>
      <c r="M346" s="38"/>
      <c r="Q346" s="10" t="s">
        <v>147</v>
      </c>
      <c r="R346">
        <f>IF(F342=Q346,E342,0)+IF(F343=Q346,E343,0)+IF(F344=Q346,E344,0)+IF(Q346=F345,E345,0)+IF(F346=Q346,E346,0)+IF(F341=Q346,E341,0)</f>
        <v>0</v>
      </c>
      <c r="S346">
        <f>IF(M344=Q346,L344,0)+IF(M345=Q346,L345,0)+IF(M346=Q346,L346,0)+IF(Q346=M341,L341,0)+IF(M342=Q346,L342,0)+IF(M343=Q346,L343,0)</f>
        <v>0</v>
      </c>
      <c r="T346">
        <f>IF(F349=Q346,E349,0)+IF(F350=Q346,E350,0)+IF(F351=Q346,E351,0)+IF(Q346=F352,E352,0)+IF(F353=Q346,E353,0)+IF(F354=Q346,E354,0)</f>
        <v>0</v>
      </c>
      <c r="U346">
        <f>IF(M349=Q346,L349,0)+IF(M350=Q346,L350,0)+IF(M351=Q346,L351,0)+IF(Q346=M352,L352,0)+IF(M353=Q346,L353,0)+IF(M354=Q346,L354,0)</f>
        <v>0</v>
      </c>
      <c r="V346">
        <f>IF(F357=Q346,E357,0)+IF(F358=Q346,E358,0)+IF(F359=Q346,E359,0)+IF(Q346=F360,E360,0)+IF(F361=Q346,E361,0)+IF(F362=Q346,E362,0)</f>
        <v>0</v>
      </c>
      <c r="W346" s="63">
        <f t="shared" si="58"/>
        <v>0</v>
      </c>
      <c r="AA346" t="s">
        <v>166</v>
      </c>
      <c r="AB346" t="s">
        <v>220</v>
      </c>
      <c r="AC346" s="14" t="e">
        <f>W360</f>
        <v>#N/A</v>
      </c>
    </row>
    <row r="347" spans="1:29" ht="15.75" hidden="1" outlineLevel="1" thickBot="1" x14ac:dyDescent="0.3">
      <c r="A347" s="70" t="s">
        <v>109</v>
      </c>
      <c r="B347" s="97"/>
      <c r="C347" s="97"/>
      <c r="D347" s="71"/>
      <c r="E347" s="104"/>
      <c r="F347" s="38"/>
      <c r="H347" s="70" t="s">
        <v>109</v>
      </c>
      <c r="I347" s="97"/>
      <c r="J347" s="97"/>
      <c r="K347" s="71"/>
      <c r="L347" s="104"/>
      <c r="M347" s="38"/>
      <c r="Q347" s="10" t="s">
        <v>500</v>
      </c>
      <c r="R347">
        <f>IF(F343=Q347,E343,0)+IF(F344=Q347,E344,0)+IF(F345=Q347,E345,0)+IF(Q347=F346,E346,0)+IF(F341=Q347,E341,0)+IF(F342=Q347,E342,0)</f>
        <v>0</v>
      </c>
      <c r="S347">
        <f>IF(M344=Q347,L344,0)+IF(M345=Q347,L345,0)+IF(M346=Q347,L346,0)+IF(Q347=M341,L341,0)+IF(M342=Q347,L342,0)+IF(M343=Q347,L343,0)</f>
        <v>0</v>
      </c>
      <c r="T347">
        <f>IF(F349=Q347,E349,0)+IF(F350=Q347,E350,0)+IF(F351=Q347,E351,0)+IF(Q347=F352,E352,0)+IF(F353=Q347,E353,0)+IF(F354=Q347,E354,0)</f>
        <v>0</v>
      </c>
      <c r="U347">
        <f>IF(M349=Q347,L349,0)+IF(M350=Q347,L350,0)+IF(M351=Q347,L351,0)+IF(Q347=M352,L352,0)+IF(M353=Q347,L353,0)+IF(M354=Q347,L354,0)</f>
        <v>0</v>
      </c>
      <c r="V347">
        <f>IF(F357=Q347,E357,0)+IF(F358=Q347,E358,0)+IF(F359=Q347,E359,0)+IF(Q347=F360,E360,0)+IF(F361=Q347,E361,0)+IF(F362=Q347,E362,0)</f>
        <v>0</v>
      </c>
      <c r="W347" s="63">
        <f t="shared" si="58"/>
        <v>0</v>
      </c>
      <c r="AA347" t="s">
        <v>222</v>
      </c>
      <c r="AB347" t="s">
        <v>220</v>
      </c>
      <c r="AC347" s="14" t="e">
        <f>W361</f>
        <v>#N/A</v>
      </c>
    </row>
    <row r="348" spans="1:29" ht="15.75" hidden="1" outlineLevel="1" thickBot="1" x14ac:dyDescent="0.3">
      <c r="A348" s="64" t="str">
        <f>A315</f>
        <v>Ne pas saisir</v>
      </c>
      <c r="B348" s="65" t="e">
        <f>B340</f>
        <v>#N/A</v>
      </c>
      <c r="C348" s="65" t="str">
        <f>C340</f>
        <v>Férié</v>
      </c>
      <c r="D348" s="66" t="e">
        <f>D340</f>
        <v>#N/A</v>
      </c>
      <c r="E348" s="66" t="e">
        <f>E340</f>
        <v>#N/A</v>
      </c>
      <c r="F348" s="67" t="str">
        <f>F340</f>
        <v>Type absence</v>
      </c>
      <c r="H348" s="64" t="str">
        <f>H315</f>
        <v>Ne pas saisir</v>
      </c>
      <c r="I348" s="65" t="e">
        <f>B340</f>
        <v>#N/A</v>
      </c>
      <c r="J348" s="65" t="str">
        <f>C340</f>
        <v>Férié</v>
      </c>
      <c r="K348" s="66" t="e">
        <f>D340</f>
        <v>#N/A</v>
      </c>
      <c r="L348" s="66" t="e">
        <f>E340</f>
        <v>#N/A</v>
      </c>
      <c r="M348" s="67" t="str">
        <f>F340</f>
        <v>Type absence</v>
      </c>
      <c r="Q348" s="10" t="s">
        <v>148</v>
      </c>
      <c r="R348">
        <f>IF(F344=Q348,E344,0)+IF(F345=Q348,E345,0)+IF(F346=Q348,E346,0)+IF(Q348=F341,E341,0)+IF(F342=Q348,E342,0)+IF(F343=Q348,E343,0)</f>
        <v>0</v>
      </c>
      <c r="S348">
        <f>IF(M344=Q348,L344,0)+IF(M345=Q348,L345,0)+IF(M346=Q348,L346,0)+IF(Q348=M341,L341,0)+IF(M342=Q348,L342,0)+IF(M343=Q348,L343,0)</f>
        <v>0</v>
      </c>
      <c r="T348">
        <f>IF(F349=Q348,E349,0)+IF(F350=Q348,E350,0)+IF(F351=Q348,E351,0)+IF(Q348=F352,E352,0)+IF(F353=Q348,E353,0)+IF(F354=Q348,E354,0)</f>
        <v>0</v>
      </c>
      <c r="U348">
        <f>IF(M349=Q348,L349,0)+IF(M350=Q348,L350,0)+IF(M351=Q348,L351,0)+IF(Q348=M352,L352,0)+IF(M353=Q348,L353,0)+IF(M354=Q348,L354,0)</f>
        <v>0</v>
      </c>
      <c r="V348">
        <f>IF(F357=Q348,E357,0)+IF(F358=Q348,E358,0)+IF(F359=Q348,E359,0)+IF(Q348=F360,E360,0)+IF(F361=Q348,E361,0)+IF(F362=Q348,E362,0)</f>
        <v>0</v>
      </c>
      <c r="W348" s="63">
        <f t="shared" si="58"/>
        <v>0</v>
      </c>
      <c r="AA348" t="s">
        <v>223</v>
      </c>
      <c r="AB348" t="s">
        <v>224</v>
      </c>
      <c r="AC348" s="14" t="e">
        <f>W359</f>
        <v>#N/A</v>
      </c>
    </row>
    <row r="349" spans="1:29" hidden="1" outlineLevel="1" x14ac:dyDescent="0.25">
      <c r="A349" s="69" t="s">
        <v>103</v>
      </c>
      <c r="B349" s="95"/>
      <c r="C349" s="95"/>
      <c r="D349" s="106"/>
      <c r="E349" s="105"/>
      <c r="F349" s="101"/>
      <c r="H349" s="69" t="s">
        <v>103</v>
      </c>
      <c r="I349" s="95"/>
      <c r="J349" s="95"/>
      <c r="K349" s="106"/>
      <c r="L349" s="105"/>
      <c r="M349" s="101"/>
      <c r="Q349" s="10" t="s">
        <v>150</v>
      </c>
      <c r="R349">
        <f>IF(F345=Q349,E345,0)+IF(F346=Q349,E346,0)+IF(F341=Q349,E341,0)+IF(Q349=F342,E342,0)+IF(F343=Q349,E343,0)+IF(F344=Q349,E344,0)</f>
        <v>0</v>
      </c>
      <c r="S349">
        <f>IF(M344=Q349,L344,0)+IF(M345=Q349,L345,0)+IF(M346=Q349,L346,0)+IF(Q349=M341,L341,0)+IF(M342=Q349,L342,0)+IF(M343=Q349,L343,0)</f>
        <v>0</v>
      </c>
      <c r="T349">
        <f>IF(F349=Q349,E349,0)+IF(F350=Q349,E350,0)+IF(F351=Q349,E351,0)+IF(Q349=F352,E352,0)+IF(F353=Q349,E353,0)+IF(F354=Q349,E354,0)</f>
        <v>0</v>
      </c>
      <c r="U349">
        <f>IF(M349=Q349,L349,0)+IF(M350=Q349,L350,0)+IF(M351=Q349,L351,0)+IF(Q349=M352,L352,0)+IF(M353=Q349,L353,0)+IF(M354=Q349,L354,0)</f>
        <v>0</v>
      </c>
      <c r="V349">
        <f>IF(F357=Q349,E357,0)+IF(F358=Q349,E358,0)+IF(F359=Q349,E359,0)+IF(Q349=F360,E360,0)+IF(F361=Q349,E361,0)+IF(F362=Q349,E362,0)</f>
        <v>0</v>
      </c>
      <c r="W349" s="63">
        <f t="shared" si="58"/>
        <v>0</v>
      </c>
      <c r="AB349" t="s">
        <v>267</v>
      </c>
      <c r="AC349">
        <f>(SUM(B341:B347))</f>
        <v>0</v>
      </c>
    </row>
    <row r="350" spans="1:29" hidden="1" outlineLevel="1" x14ac:dyDescent="0.25">
      <c r="A350" s="69" t="s">
        <v>104</v>
      </c>
      <c r="B350" s="96"/>
      <c r="C350" s="96"/>
      <c r="D350" s="102"/>
      <c r="E350" s="103"/>
      <c r="F350" s="38"/>
      <c r="H350" s="69" t="s">
        <v>104</v>
      </c>
      <c r="I350" s="96"/>
      <c r="J350" s="96"/>
      <c r="K350" s="102"/>
      <c r="L350" s="103"/>
      <c r="M350" s="38"/>
      <c r="Q350" s="10" t="s">
        <v>502</v>
      </c>
      <c r="R350">
        <f>IF(F346=Q350,E346,0)+IF(F341=Q350,E341,0)+IF(F342=Q350,E342,0)+IF(Q350=F343,E343,0)+IF(F344=Q350,E344,0)+IF(F345=Q350,E345,0)</f>
        <v>0</v>
      </c>
      <c r="S350">
        <f>IF(M344=Q350,L344,0)+IF(M345=Q350,L345,0)+IF(M346=Q350,L346,0)+IF(Q350=M341,L341,0)+IF(M342=Q350,L342,0)+IF(M343=Q350,L343,0)</f>
        <v>0</v>
      </c>
      <c r="T350">
        <f>IF(F349=Q350,E349,0)+IF(F350=Q350,E350,0)+IF(F351=Q350,E351,0)+IF(Q350=F352,E352,0)+IF(F353=Q350,E353,0)+IF(F354=Q350,E354,0)</f>
        <v>0</v>
      </c>
      <c r="U350">
        <f>IF(M349=Q350,L349,0)+IF(M350=Q350,L350,0)+IF(M351=Q350,L351,0)+IF(Q350=M352,L352,0)+IF(M353=Q350,L353,0)+IF(M354=Q350,L354,0)</f>
        <v>0</v>
      </c>
      <c r="V350">
        <f>IF(F357=Q350,E357,0)+IF(F358=Q350,E358,0)+IF(F359=Q350,E359,0)+IF(Q350=F360,E360,0)+IF(F361=Q350,E361,0)+IF(F362=Q350,E362,0)</f>
        <v>0</v>
      </c>
      <c r="W350" s="63">
        <f t="shared" si="58"/>
        <v>0</v>
      </c>
      <c r="AB350" t="s">
        <v>268</v>
      </c>
      <c r="AC350">
        <f>(SUM(I341:I347))</f>
        <v>0</v>
      </c>
    </row>
    <row r="351" spans="1:29" hidden="1" outlineLevel="1" x14ac:dyDescent="0.25">
      <c r="A351" s="69" t="s">
        <v>105</v>
      </c>
      <c r="B351" s="96"/>
      <c r="C351" s="96"/>
      <c r="D351" s="102"/>
      <c r="E351" s="103"/>
      <c r="F351" s="38"/>
      <c r="H351" s="69" t="s">
        <v>105</v>
      </c>
      <c r="I351" s="96"/>
      <c r="J351" s="96"/>
      <c r="K351" s="102"/>
      <c r="L351" s="103"/>
      <c r="M351" s="38"/>
      <c r="Q351" s="10" t="s">
        <v>498</v>
      </c>
      <c r="R351">
        <f>IF(F341=Q351,E341,0)+IF(F342=Q351,E342,0)+IF(F343=Q351,E343,0)+IF(Q351=F344,E344,0)+IF(F345=Q351,E345,0)+IF(F346=Q351,E346,0)</f>
        <v>0</v>
      </c>
      <c r="S351">
        <f>IF(M344=Q351,L344,0)+IF(M345=Q351,L345,0)+IF(M346=Q351,L346,0)+IF(Q351=M341,L341,0)+IF(M342=Q351,L342,0)+IF(M343=Q351,L343,0)</f>
        <v>0</v>
      </c>
      <c r="T351">
        <f>IF(F349=Q351,E349,0)+IF(F350=Q351,E350,0)+IF(F351=Q351,E351,0)+IF(Q351=F352,E352,0)+IF(F353=Q351,E353,0)+IF(F354=Q351,E354,0)</f>
        <v>0</v>
      </c>
      <c r="U351">
        <f>IF(M349=Q351,L349,0)+IF(M350=Q351,L350,0)+IF(M351=Q351,L351,0)+IF(Q351=M352,L352,0)+IF(M353=Q351,L353,0)+IF(M354=Q351,L354,0)</f>
        <v>0</v>
      </c>
      <c r="V351">
        <f>IF(F357=Q351,E357,0)+IF(F358=Q351,E358,0)+IF(F359=Q351,E359,0)+IF(Q351=F360,E360,0)+IF(F361=Q351,E361,0)+IF(F362=Q351,E362,0)</f>
        <v>0</v>
      </c>
      <c r="W351" s="63">
        <f t="shared" si="58"/>
        <v>0</v>
      </c>
      <c r="AB351" t="s">
        <v>269</v>
      </c>
      <c r="AC351">
        <f>(SUM(B349:B355))</f>
        <v>0</v>
      </c>
    </row>
    <row r="352" spans="1:29" hidden="1" outlineLevel="1" x14ac:dyDescent="0.25">
      <c r="A352" s="69" t="s">
        <v>106</v>
      </c>
      <c r="B352" s="96"/>
      <c r="C352" s="96"/>
      <c r="D352" s="102"/>
      <c r="E352" s="103"/>
      <c r="F352" s="38"/>
      <c r="H352" s="69" t="s">
        <v>106</v>
      </c>
      <c r="I352" s="96"/>
      <c r="J352" s="96"/>
      <c r="K352" s="102"/>
      <c r="L352" s="103"/>
      <c r="M352" s="38"/>
      <c r="P352" s="72"/>
      <c r="Q352" s="73" t="s">
        <v>501</v>
      </c>
      <c r="R352" s="72">
        <f>IF(F342=Q352,E342,0)+IF(F343=Q352,E343,0)+IF(F344=Q352,E344,0)+IF(Q352=F345,E345,0)+IF(F346=Q352,E346,0)+IF(F341=Q352,E341,0)</f>
        <v>0</v>
      </c>
      <c r="S352" s="72">
        <f>IF(M344=Q352,L344,0)+IF(M345=Q352,L345,0)+IF(M346=Q352,L346,0)+IF(Q352=M341,L341,0)+IF(M342=Q352,L342,0)+IF(M343=Q352,L343,0)</f>
        <v>0</v>
      </c>
      <c r="T352" s="72">
        <f>IF(F349=Q352,E349,0)+IF(F350=Q352,E350,0)+IF(F351=Q352,E351,0)+IF(Q352=F352,E352,0)+IF(F353=Q352,E353,0)+IF(F354=Q352,E354,0)</f>
        <v>0</v>
      </c>
      <c r="U352" s="72">
        <f>IF(M349=Q352,L349,0)+IF(M350=Q352,L350,0)+IF(M351=Q352,L351,0)+IF(Q352=M352,L352,0)+IF(M353=Q352,L353,0)+IF(M354=Q352,L354,0)</f>
        <v>0</v>
      </c>
      <c r="V352" s="72">
        <f>IF(F357=Q352,E357,0)+IF(F358=Q352,E358,0)+IF(F359=Q352,E359,0)+IF(Q352=F360,E360,0)+IF(F361=Q352,E361,0)+IF(F362=Q352,E362,0)</f>
        <v>0</v>
      </c>
      <c r="W352" s="74">
        <f t="shared" si="58"/>
        <v>0</v>
      </c>
      <c r="AB352" t="s">
        <v>270</v>
      </c>
      <c r="AC352">
        <f>(SUM(I349:I355))</f>
        <v>0</v>
      </c>
    </row>
    <row r="353" spans="1:29" hidden="1" outlineLevel="1" x14ac:dyDescent="0.25">
      <c r="A353" s="69" t="s">
        <v>107</v>
      </c>
      <c r="B353" s="96"/>
      <c r="C353" s="96"/>
      <c r="D353" s="102"/>
      <c r="E353" s="103"/>
      <c r="F353" s="38"/>
      <c r="H353" s="69" t="s">
        <v>107</v>
      </c>
      <c r="I353" s="96"/>
      <c r="J353" s="96"/>
      <c r="K353" s="102"/>
      <c r="L353" s="103"/>
      <c r="M353" s="38"/>
      <c r="Q353" s="75" t="s">
        <v>169</v>
      </c>
      <c r="R353" s="2" t="e">
        <f>IF(M338="Règlement HC",K338*10%,0)</f>
        <v>#N/A</v>
      </c>
      <c r="S353" s="2" t="e">
        <f>IF(M338="Règlement HC",K338*10%,0)</f>
        <v>#N/A</v>
      </c>
      <c r="T353" s="2" t="e">
        <f>IF(M338="Règlement HC",K338*10%,0)</f>
        <v>#N/A</v>
      </c>
      <c r="U353" s="2" t="e">
        <f>IF(M338="Règlement HC",K338*10%,0)</f>
        <v>#N/A</v>
      </c>
      <c r="V353" s="2" t="e">
        <f>IF(M338="Règlement HC",K338*10%,0)</f>
        <v>#N/A</v>
      </c>
      <c r="W353" s="76"/>
      <c r="AB353" t="s">
        <v>271</v>
      </c>
      <c r="AC353">
        <f>(SUM(B357:B363))</f>
        <v>0</v>
      </c>
    </row>
    <row r="354" spans="1:29" hidden="1" outlineLevel="1" x14ac:dyDescent="0.25">
      <c r="A354" s="69" t="s">
        <v>108</v>
      </c>
      <c r="B354" s="96"/>
      <c r="C354" s="96"/>
      <c r="D354" s="102"/>
      <c r="E354" s="103"/>
      <c r="F354" s="38"/>
      <c r="H354" s="69" t="s">
        <v>108</v>
      </c>
      <c r="I354" s="96"/>
      <c r="J354" s="96"/>
      <c r="K354" s="102"/>
      <c r="L354" s="103"/>
      <c r="M354" s="38"/>
      <c r="Q354" s="75" t="s">
        <v>175</v>
      </c>
      <c r="R354" s="2" t="e">
        <f>IF(M338="Règlement HC",SUM(B341:B347)-K338,0)</f>
        <v>#N/A</v>
      </c>
      <c r="S354" s="2" t="e">
        <f>IF(M338="Règlement HC",SUM(I341:I347)-K338,0)</f>
        <v>#N/A</v>
      </c>
      <c r="T354" s="2" t="e">
        <f>IF(M338="Règlement HC",SUM(B349:B355)-K338,0)</f>
        <v>#N/A</v>
      </c>
      <c r="U354" s="2" t="e">
        <f>IF(M338="Règlement HC",SUM(I349:I355)-K338,0)</f>
        <v>#N/A</v>
      </c>
      <c r="V354" s="2" t="e">
        <f>IF(M338="Règlement HC",SUM(B357:B363)-K338,0)</f>
        <v>#N/A</v>
      </c>
      <c r="W354" s="63" t="e">
        <f>SUM((IF(R354&gt;0,R354,0)+(IF(S354&gt;0,S354,0)+(IF(T354&gt;0,T354,0)+(IF(U354&gt;0,U354,0)+(IF(V354&gt;0,V354,0)))))))</f>
        <v>#N/A</v>
      </c>
      <c r="AA354" t="s">
        <v>313</v>
      </c>
      <c r="AB354" t="s">
        <v>314</v>
      </c>
      <c r="AC354" t="e">
        <f>W358</f>
        <v>#N/A</v>
      </c>
    </row>
    <row r="355" spans="1:29" ht="15.75" hidden="1" outlineLevel="1" thickBot="1" x14ac:dyDescent="0.3">
      <c r="A355" s="70" t="s">
        <v>109</v>
      </c>
      <c r="B355" s="97"/>
      <c r="C355" s="97"/>
      <c r="D355" s="71"/>
      <c r="E355" s="104"/>
      <c r="F355" s="38"/>
      <c r="H355" s="70" t="s">
        <v>109</v>
      </c>
      <c r="I355" s="97"/>
      <c r="J355" s="97"/>
      <c r="K355" s="71"/>
      <c r="L355" s="104"/>
      <c r="M355" s="39"/>
      <c r="P355" t="s">
        <v>170</v>
      </c>
      <c r="Q355" s="10" t="s">
        <v>162</v>
      </c>
      <c r="R355" t="e">
        <f>IF(R354&gt;=R353,R353,R354)</f>
        <v>#N/A</v>
      </c>
      <c r="S355" t="e">
        <f>IF(S354&gt;=S353,S353,S354)</f>
        <v>#N/A</v>
      </c>
      <c r="T355" t="e">
        <f>IF(T354&gt;=T353,T353,T354)</f>
        <v>#N/A</v>
      </c>
      <c r="U355" t="e">
        <f>IF(U354&gt;=U353,U353,U354)</f>
        <v>#N/A</v>
      </c>
      <c r="V355" t="e">
        <f>IF(V354&gt;=V353,V353,V354)</f>
        <v>#N/A</v>
      </c>
      <c r="W355" s="63" t="e">
        <f>SUM((IF(R355&gt;0,R355,0)+(IF(S355&gt;0,S355,0)+(IF(T355&gt;0,T355,0)+(IF(U355&gt;0,U355,0)+(IF(V355&gt;0,V355,0)))))))</f>
        <v>#N/A</v>
      </c>
    </row>
    <row r="356" spans="1:29" ht="15.75" hidden="1" outlineLevel="1" thickBot="1" x14ac:dyDescent="0.3">
      <c r="A356" s="64" t="str">
        <f>A323</f>
        <v>Ne pas saisir</v>
      </c>
      <c r="B356" s="65" t="e">
        <f>B340</f>
        <v>#N/A</v>
      </c>
      <c r="C356" s="65" t="str">
        <f>C340</f>
        <v>Férié</v>
      </c>
      <c r="D356" s="66" t="e">
        <f>D340</f>
        <v>#N/A</v>
      </c>
      <c r="E356" s="66" t="e">
        <f>E340</f>
        <v>#N/A</v>
      </c>
      <c r="F356" s="67" t="str">
        <f>F340</f>
        <v>Type absence</v>
      </c>
      <c r="H356" s="77" t="s">
        <v>136</v>
      </c>
      <c r="I356" s="78" t="e">
        <f>B340</f>
        <v>#N/A</v>
      </c>
      <c r="J356" s="78" t="str">
        <f>C340</f>
        <v>Férié</v>
      </c>
      <c r="K356" s="79" t="e">
        <f>D340</f>
        <v>#N/A</v>
      </c>
      <c r="L356" s="80" t="e">
        <f>E340</f>
        <v>#N/A</v>
      </c>
      <c r="M356" s="49"/>
      <c r="P356" t="s">
        <v>170</v>
      </c>
      <c r="Q356" s="10" t="s">
        <v>163</v>
      </c>
      <c r="R356" t="e">
        <f>R354-R355</f>
        <v>#N/A</v>
      </c>
      <c r="S356" t="e">
        <f>S354-S355</f>
        <v>#N/A</v>
      </c>
      <c r="T356" t="e">
        <f>T354-T355</f>
        <v>#N/A</v>
      </c>
      <c r="U356" t="e">
        <f>U354-U355</f>
        <v>#N/A</v>
      </c>
      <c r="V356" t="e">
        <f>V354-V355</f>
        <v>#N/A</v>
      </c>
      <c r="W356" s="63" t="e">
        <f t="shared" ref="W356:W361" si="59">SUM(R356:V356)</f>
        <v>#N/A</v>
      </c>
    </row>
    <row r="357" spans="1:29" hidden="1" outlineLevel="1" x14ac:dyDescent="0.25">
      <c r="A357" s="69" t="s">
        <v>103</v>
      </c>
      <c r="B357" s="95"/>
      <c r="C357" s="95"/>
      <c r="D357" s="106"/>
      <c r="E357" s="105"/>
      <c r="F357" s="101"/>
      <c r="H357" s="81" t="s">
        <v>103</v>
      </c>
      <c r="I357" s="82">
        <f t="shared" ref="I357:I362" si="60">B341+I341+B349+I349+B357</f>
        <v>0</v>
      </c>
      <c r="J357" s="82">
        <f t="shared" ref="J357:J362" si="61">C341+J341+C349+J349+C357</f>
        <v>0</v>
      </c>
      <c r="K357" s="83">
        <f t="shared" ref="K357:K362" si="62">D341+K341+D349+K349+D357</f>
        <v>0</v>
      </c>
      <c r="L357" s="84">
        <f t="shared" ref="L357:L362" si="63">E341+L341+E349+L349+E357</f>
        <v>0</v>
      </c>
      <c r="M357" s="303" t="s">
        <v>177</v>
      </c>
      <c r="N357" s="304"/>
      <c r="O357" s="304"/>
      <c r="Q357" s="10" t="s">
        <v>164</v>
      </c>
      <c r="R357" t="e">
        <f>IF(AND(K338="non",(SUM(B341:B347)&gt;U337)),SUM(B341:B347)-U337,0)</f>
        <v>#N/A</v>
      </c>
      <c r="S357" t="e">
        <f>IF(AND(K338="non",(SUM(I341:I347)&gt;U337)),SUM(I341:I347)-U337,0)</f>
        <v>#N/A</v>
      </c>
      <c r="T357" t="e">
        <f>IF(AND(K338="non",(SUM(B349:B355)&gt;U337)),SUM(B349:B355)-U337,0)</f>
        <v>#N/A</v>
      </c>
      <c r="U357" t="e">
        <f>IF(AND(K338="non",(SUM(I349:I355)&gt;U337)),SUM(I349:I355)-U337,0)</f>
        <v>#N/A</v>
      </c>
      <c r="V357" t="e">
        <f>IF(AND(K338="non",(SUM(B357:B363)&gt;U337)),SUM(B357:B363)-U337,0)</f>
        <v>#N/A</v>
      </c>
      <c r="W357" s="63" t="e">
        <f t="shared" si="59"/>
        <v>#N/A</v>
      </c>
    </row>
    <row r="358" spans="1:29" hidden="1" outlineLevel="1" x14ac:dyDescent="0.25">
      <c r="A358" s="69" t="s">
        <v>104</v>
      </c>
      <c r="B358" s="96"/>
      <c r="C358" s="96"/>
      <c r="D358" s="102"/>
      <c r="E358" s="103"/>
      <c r="F358" s="38"/>
      <c r="H358" s="81" t="s">
        <v>104</v>
      </c>
      <c r="I358" s="88">
        <f t="shared" si="60"/>
        <v>0</v>
      </c>
      <c r="J358" s="88">
        <f t="shared" si="61"/>
        <v>0</v>
      </c>
      <c r="K358" s="89">
        <f t="shared" si="62"/>
        <v>0</v>
      </c>
      <c r="L358" s="90">
        <f t="shared" si="63"/>
        <v>0</v>
      </c>
      <c r="M358" s="49"/>
      <c r="P358" t="s">
        <v>167</v>
      </c>
      <c r="Q358" s="10" t="s">
        <v>165</v>
      </c>
      <c r="R358" t="e">
        <f>IF(H339="Cadre",0,SUM(C341:C347))</f>
        <v>#N/A</v>
      </c>
      <c r="S358" t="e">
        <f>IF(H339="Cadre",0,SUM(J341:J347))</f>
        <v>#N/A</v>
      </c>
      <c r="T358" t="e">
        <f>IF(H339="Cadre",0,SUM(C349:C355))</f>
        <v>#N/A</v>
      </c>
      <c r="U358" t="e">
        <f>IF(H339="Cadre",0,SUM(J349:J355))</f>
        <v>#N/A</v>
      </c>
      <c r="V358" t="e">
        <f>IF(H339="Cadre",0,SUM(C357:C363))</f>
        <v>#N/A</v>
      </c>
      <c r="W358" s="63" t="e">
        <f t="shared" si="59"/>
        <v>#N/A</v>
      </c>
    </row>
    <row r="359" spans="1:29" hidden="1" outlineLevel="1" x14ac:dyDescent="0.25">
      <c r="A359" s="69" t="s">
        <v>105</v>
      </c>
      <c r="B359" s="96"/>
      <c r="C359" s="96"/>
      <c r="D359" s="102"/>
      <c r="E359" s="103"/>
      <c r="F359" s="38"/>
      <c r="H359" s="81" t="s">
        <v>105</v>
      </c>
      <c r="I359" s="88">
        <f t="shared" si="60"/>
        <v>0</v>
      </c>
      <c r="J359" s="88">
        <f t="shared" si="61"/>
        <v>0</v>
      </c>
      <c r="K359" s="89">
        <f t="shared" si="62"/>
        <v>0</v>
      </c>
      <c r="L359" s="90">
        <f t="shared" si="63"/>
        <v>0</v>
      </c>
      <c r="M359" s="49"/>
      <c r="P359" t="s">
        <v>168</v>
      </c>
      <c r="Q359" s="10" t="s">
        <v>165</v>
      </c>
      <c r="R359" t="e">
        <f>IF(H339="Cadre",((SUM(C341:C347)/2)*5),0)</f>
        <v>#N/A</v>
      </c>
      <c r="S359" t="e">
        <f>IF(H339="Cadre",(SUM(J341:J347)/2*5),0)</f>
        <v>#N/A</v>
      </c>
      <c r="T359" t="e">
        <f>IF(H339="Cadre",(SUM(C349:C355)/2*5),0)</f>
        <v>#N/A</v>
      </c>
      <c r="U359" t="e">
        <f>IF(H339="Cadre",(SUM(J349:J355)/2*5),0)</f>
        <v>#N/A</v>
      </c>
      <c r="V359" t="e">
        <f>IF(H339="Cadre",(SUM(C357:C363)/2*5),0)</f>
        <v>#N/A</v>
      </c>
      <c r="W359" s="63" t="e">
        <f t="shared" si="59"/>
        <v>#N/A</v>
      </c>
    </row>
    <row r="360" spans="1:29" hidden="1" outlineLevel="1" x14ac:dyDescent="0.25">
      <c r="A360" s="69" t="s">
        <v>106</v>
      </c>
      <c r="B360" s="96"/>
      <c r="C360" s="96"/>
      <c r="D360" s="102"/>
      <c r="E360" s="103"/>
      <c r="F360" s="38"/>
      <c r="H360" s="81" t="s">
        <v>106</v>
      </c>
      <c r="I360" s="88">
        <f t="shared" si="60"/>
        <v>0</v>
      </c>
      <c r="J360" s="88">
        <f t="shared" si="61"/>
        <v>0</v>
      </c>
      <c r="K360" s="89">
        <f t="shared" si="62"/>
        <v>0</v>
      </c>
      <c r="L360" s="90">
        <f t="shared" si="63"/>
        <v>0</v>
      </c>
      <c r="M360" s="49"/>
      <c r="P360" t="s">
        <v>166</v>
      </c>
      <c r="Q360" s="10" t="s">
        <v>159</v>
      </c>
      <c r="R360" t="e">
        <f>IF(H339="Employé",B347,0)</f>
        <v>#N/A</v>
      </c>
      <c r="S360" t="e">
        <f>IF(H339="Employé",I347,0)</f>
        <v>#N/A</v>
      </c>
      <c r="T360" t="e">
        <f>IF(H339="Employé",B355,0)</f>
        <v>#N/A</v>
      </c>
      <c r="U360" t="e">
        <f>IF(H339="Employé",I355,0)</f>
        <v>#N/A</v>
      </c>
      <c r="V360" t="e">
        <f>IF(H339="Employé",B363,0)</f>
        <v>#N/A</v>
      </c>
      <c r="W360" s="63" t="e">
        <f t="shared" si="59"/>
        <v>#N/A</v>
      </c>
    </row>
    <row r="361" spans="1:29" hidden="1" outlineLevel="1" x14ac:dyDescent="0.25">
      <c r="A361" s="69" t="s">
        <v>107</v>
      </c>
      <c r="B361" s="96"/>
      <c r="C361" s="96"/>
      <c r="D361" s="102"/>
      <c r="E361" s="103"/>
      <c r="F361" s="38"/>
      <c r="H361" s="81" t="s">
        <v>107</v>
      </c>
      <c r="I361" s="88">
        <f t="shared" si="60"/>
        <v>0</v>
      </c>
      <c r="J361" s="88">
        <f t="shared" si="61"/>
        <v>0</v>
      </c>
      <c r="K361" s="89">
        <f t="shared" si="62"/>
        <v>0</v>
      </c>
      <c r="L361" s="90">
        <f t="shared" si="63"/>
        <v>0</v>
      </c>
      <c r="M361" s="303" t="s">
        <v>178</v>
      </c>
      <c r="N361" s="304"/>
      <c r="O361" s="304"/>
      <c r="P361" t="s">
        <v>297</v>
      </c>
      <c r="Q361" s="10" t="s">
        <v>159</v>
      </c>
      <c r="R361" t="e">
        <f>IF(H339="Cadre",IF(B347=2,5,0),0)</f>
        <v>#N/A</v>
      </c>
      <c r="S361" t="e">
        <f>IF(H339="Cadre",IF(I347=2,5,0),0)</f>
        <v>#N/A</v>
      </c>
      <c r="T361" t="e">
        <f>IF(H339="Cadre",IF(B355=2,5,0),0)</f>
        <v>#N/A</v>
      </c>
      <c r="U361" t="e">
        <f>IF(H339="Cadre",IF(I355=2,5,0),0)</f>
        <v>#N/A</v>
      </c>
      <c r="V361" t="e">
        <f>IF(H339="Cadre",IF(B363=2,5,0),0)</f>
        <v>#N/A</v>
      </c>
      <c r="W361" s="63" t="e">
        <f t="shared" si="59"/>
        <v>#N/A</v>
      </c>
    </row>
    <row r="362" spans="1:29" hidden="1" outlineLevel="1" x14ac:dyDescent="0.25">
      <c r="A362" s="69" t="s">
        <v>108</v>
      </c>
      <c r="B362" s="96"/>
      <c r="C362" s="96"/>
      <c r="D362" s="102"/>
      <c r="E362" s="103"/>
      <c r="F362" s="38"/>
      <c r="H362" s="81" t="s">
        <v>108</v>
      </c>
      <c r="I362" s="88">
        <f t="shared" si="60"/>
        <v>0</v>
      </c>
      <c r="J362" s="88">
        <f t="shared" si="61"/>
        <v>0</v>
      </c>
      <c r="K362" s="89">
        <f t="shared" si="62"/>
        <v>0</v>
      </c>
      <c r="L362" s="90">
        <f t="shared" si="63"/>
        <v>0</v>
      </c>
      <c r="M362" s="49"/>
      <c r="P362" t="s">
        <v>171</v>
      </c>
      <c r="Q362" s="10" t="s">
        <v>172</v>
      </c>
      <c r="R362" s="2"/>
      <c r="S362" s="2"/>
      <c r="T362" s="2"/>
      <c r="U362" s="2"/>
      <c r="V362" s="2"/>
      <c r="W362" s="91" t="e">
        <f>IF(AND(K338="non",H339="Employé"),SUM(I357:I363)+(SUM(W339:W352)-W335),(SUM(I357:I363)-W354)+(SUM(W339:W352)-W335))</f>
        <v>#N/A</v>
      </c>
    </row>
    <row r="363" spans="1:29" ht="15.75" hidden="1" outlineLevel="1" thickBot="1" x14ac:dyDescent="0.3">
      <c r="A363" s="70" t="s">
        <v>109</v>
      </c>
      <c r="B363" s="97"/>
      <c r="C363" s="97"/>
      <c r="D363" s="71"/>
      <c r="E363" s="104"/>
      <c r="F363" s="39"/>
      <c r="H363" s="92" t="s">
        <v>109</v>
      </c>
      <c r="I363" s="93">
        <f>(B347+I347+B355+I355+B363)</f>
        <v>0</v>
      </c>
      <c r="J363" s="93">
        <f>(C347+J347+C355+J355+C363)</f>
        <v>0</v>
      </c>
      <c r="K363" s="71">
        <f>(D347+K347+D355+K355+D363)</f>
        <v>0</v>
      </c>
      <c r="L363" s="94">
        <f>(E347+L347+E355+L355+E363)</f>
        <v>0</v>
      </c>
      <c r="M363" s="49"/>
      <c r="P363" t="s">
        <v>176</v>
      </c>
      <c r="Q363" s="10" t="s">
        <v>172</v>
      </c>
      <c r="R363" s="2"/>
      <c r="S363" s="2"/>
      <c r="T363" s="2"/>
      <c r="U363" s="2"/>
      <c r="V363" s="2"/>
      <c r="W363" s="91" t="e">
        <f>IF(H339="Cadre",((SUM(I357:I363)+SUM(W339:W352)-W341-W342)/2),0)</f>
        <v>#N/A</v>
      </c>
    </row>
    <row r="364" spans="1:29" ht="15" customHeight="1" collapsed="1" x14ac:dyDescent="0.25">
      <c r="D364" s="302" t="s">
        <v>298</v>
      </c>
      <c r="E364" s="302"/>
      <c r="F364" s="302"/>
      <c r="G364" s="302"/>
      <c r="H364" s="302"/>
      <c r="I364" s="302"/>
      <c r="J364" s="302"/>
      <c r="K364" s="302"/>
      <c r="L364" s="42" t="s">
        <v>288</v>
      </c>
      <c r="N364" s="43"/>
      <c r="O364" s="43" t="s">
        <v>179</v>
      </c>
      <c r="P364" s="15" t="s">
        <v>157</v>
      </c>
      <c r="AA364" s="15" t="s">
        <v>157</v>
      </c>
    </row>
    <row r="365" spans="1:29" hidden="1" outlineLevel="1" x14ac:dyDescent="0.25">
      <c r="D365" s="302"/>
      <c r="E365" s="302"/>
      <c r="F365" s="302"/>
      <c r="G365" s="302"/>
      <c r="H365" s="302"/>
      <c r="I365" s="302"/>
      <c r="J365" s="302"/>
      <c r="K365" s="302"/>
      <c r="N365" s="43"/>
      <c r="O365" s="43" t="s">
        <v>180</v>
      </c>
      <c r="AC365" t="s">
        <v>201</v>
      </c>
    </row>
    <row r="366" spans="1:29" hidden="1" outlineLevel="1" x14ac:dyDescent="0.25">
      <c r="D366" s="302"/>
      <c r="E366" s="302"/>
      <c r="F366" s="302"/>
      <c r="G366" s="302"/>
      <c r="H366" s="302"/>
      <c r="I366" s="302"/>
      <c r="J366" s="302"/>
      <c r="K366" s="302"/>
      <c r="N366" s="44"/>
      <c r="O366" s="44" t="s">
        <v>181</v>
      </c>
      <c r="AA366" s="15" t="s">
        <v>200</v>
      </c>
      <c r="AC366" s="2" t="str">
        <f>I368</f>
        <v>Juin</v>
      </c>
    </row>
    <row r="367" spans="1:29" hidden="1" outlineLevel="1" x14ac:dyDescent="0.25">
      <c r="A367" s="45" t="s">
        <v>3</v>
      </c>
      <c r="B367" s="46">
        <f>'Synthèse Horaires'!$B$4</f>
        <v>2026</v>
      </c>
      <c r="C367" s="47"/>
      <c r="D367" s="48" t="s">
        <v>1</v>
      </c>
      <c r="E367" s="46">
        <f>'Synthèse Horaires'!$D$4</f>
        <v>0</v>
      </c>
      <c r="F367" s="49"/>
      <c r="G367" s="49"/>
      <c r="H367" s="48" t="s">
        <v>2</v>
      </c>
      <c r="I367" s="47">
        <f>'Synthèse Horaires'!$I$4</f>
        <v>0</v>
      </c>
      <c r="J367" s="50"/>
      <c r="K367" s="50"/>
      <c r="N367" s="44"/>
      <c r="O367" s="44" t="s">
        <v>202</v>
      </c>
      <c r="V367" s="10" t="s">
        <v>174</v>
      </c>
      <c r="W367" s="51" t="e">
        <f>IF(K371="non",SUM(K390:K396)*(35/6),SUM(K390:K396)*(K371/6))</f>
        <v>#N/A</v>
      </c>
      <c r="AB367" t="s">
        <v>6</v>
      </c>
      <c r="AC367" s="14">
        <f>B371</f>
        <v>0</v>
      </c>
    </row>
    <row r="368" spans="1:29" hidden="1" outlineLevel="1" x14ac:dyDescent="0.25">
      <c r="A368" s="45" t="s">
        <v>10</v>
      </c>
      <c r="B368" s="49"/>
      <c r="C368" s="49"/>
      <c r="D368" s="50" t="str">
        <f>'Synthèse Horaires'!$C$6</f>
        <v>01 juin 2026 au 31 mai 2027.</v>
      </c>
      <c r="E368" s="2"/>
      <c r="H368" s="48" t="s">
        <v>205</v>
      </c>
      <c r="I368" s="47" t="str">
        <f>'Synthèse Horaires'!$I$5</f>
        <v>Juin</v>
      </c>
      <c r="N368" s="44"/>
      <c r="O368" s="44" t="s">
        <v>203</v>
      </c>
      <c r="V368" s="10" t="s">
        <v>173</v>
      </c>
      <c r="W368">
        <f>W374+W375</f>
        <v>0</v>
      </c>
      <c r="AB368" t="s">
        <v>57</v>
      </c>
      <c r="AC368" s="14" t="e">
        <f>B372</f>
        <v>#N/A</v>
      </c>
    </row>
    <row r="369" spans="1:29" hidden="1" outlineLevel="1" x14ac:dyDescent="0.25">
      <c r="AB369" t="s">
        <v>211</v>
      </c>
      <c r="AC369" s="14" t="e">
        <f>H372</f>
        <v>#N/A</v>
      </c>
    </row>
    <row r="370" spans="1:29" hidden="1" outlineLevel="1" x14ac:dyDescent="0.25">
      <c r="A370" s="4" t="s">
        <v>58</v>
      </c>
      <c r="B370" s="4"/>
      <c r="C370" s="4"/>
      <c r="D370" s="4"/>
      <c r="E370" s="4"/>
      <c r="F370" s="4"/>
      <c r="G370" s="4"/>
      <c r="H370" s="4"/>
      <c r="P370" s="53" t="s">
        <v>6</v>
      </c>
      <c r="Q370" s="2">
        <f>B371</f>
        <v>0</v>
      </c>
      <c r="T370" s="10" t="s">
        <v>76</v>
      </c>
      <c r="U370" s="2" t="e">
        <f>VLOOKUP(B371,'Base Matricule Siège'!$B$12:$H$1000,4,FALSE)</f>
        <v>#N/A</v>
      </c>
      <c r="AA370" t="s">
        <v>215</v>
      </c>
      <c r="AB370" t="s">
        <v>207</v>
      </c>
      <c r="AC370" s="14" t="e">
        <f>IF(AC369="Cadre",0,W395)</f>
        <v>#N/A</v>
      </c>
    </row>
    <row r="371" spans="1:29" hidden="1" outlineLevel="1" x14ac:dyDescent="0.25">
      <c r="A371" s="49" t="s">
        <v>18</v>
      </c>
      <c r="B371" s="113">
        <v>0</v>
      </c>
      <c r="E371" s="49"/>
      <c r="G371" s="57" t="s">
        <v>317</v>
      </c>
      <c r="H371" s="58" t="e">
        <f>VLOOKUP(B371,'Base Matricule Siège'!$B$13:$H$1000,7,FALSE)</f>
        <v>#N/A</v>
      </c>
      <c r="J371" s="10" t="s">
        <v>161</v>
      </c>
      <c r="K371" s="58" t="e">
        <f>IF((VLOOKUP('MASQUE COLLABORATEUR'!B371,'Base Matricule Siège'!$B$13:$E$1000,4,FALSE)&lt;'Base Matricule Siège'!$G$5),(VLOOKUP('MASQUE COLLABORATEUR'!B371,'Base Matricule Siège'!$B$13:$E$1000,4,FALSE)),"non")</f>
        <v>#N/A</v>
      </c>
      <c r="L371" s="114" t="s">
        <v>340</v>
      </c>
      <c r="M371" s="115" t="e">
        <f>IF(K371="non","0",VLOOKUP(B371,'Base Matricule Siège'!$B$13:$S$1000,18,FALSE))</f>
        <v>#N/A</v>
      </c>
      <c r="R371" t="s">
        <v>151</v>
      </c>
      <c r="S371" t="s">
        <v>152</v>
      </c>
      <c r="T371" t="s">
        <v>153</v>
      </c>
      <c r="U371" t="s">
        <v>154</v>
      </c>
      <c r="V371" t="s">
        <v>155</v>
      </c>
      <c r="W371" s="59" t="s">
        <v>156</v>
      </c>
      <c r="AB371" t="s">
        <v>11</v>
      </c>
      <c r="AC371" s="14" t="e">
        <f>W396</f>
        <v>#N/A</v>
      </c>
    </row>
    <row r="372" spans="1:29" ht="15.75" hidden="1" outlineLevel="1" thickBot="1" x14ac:dyDescent="0.3">
      <c r="A372" s="49" t="s">
        <v>59</v>
      </c>
      <c r="B372" s="2" t="e">
        <f>VLOOKUP(B371,'Base Matricule Siège'!$B$13:$C$1000,2,FALSE)</f>
        <v>#N/A</v>
      </c>
      <c r="C372" s="2"/>
      <c r="D372" s="2"/>
      <c r="G372" s="57" t="s">
        <v>158</v>
      </c>
      <c r="H372" s="58" t="e">
        <f>VLOOKUP(B371,'Base Matricule Siège'!$B$13:$G$1000,6,FALSE)</f>
        <v>#N/A</v>
      </c>
      <c r="P372" s="10" t="s">
        <v>142</v>
      </c>
      <c r="Q372" s="10" t="s">
        <v>149</v>
      </c>
      <c r="R372">
        <f>IF(F374=Q372,E374,0)+IF(F375=Q372,E375,0)+IF(F376=Q372,E376,0)+IF(Q372=F377,E377,0)+IF(F378=Q372,E378,0)+IF(F379=Q372,E379,0)</f>
        <v>0</v>
      </c>
      <c r="S372">
        <f>IF(M374=Q372,L374,0)+IF(M375=Q372,L375,0)+IF(M376=Q372,L376,0)+IF(Q372=M377,L377,0)+IF(M378=Q372,L378,0)+IF(M379=Q372,L379,0)</f>
        <v>0</v>
      </c>
      <c r="T372">
        <f>IF(F382=Q372,E382,0)+IF(F383=Q372,E383,0)+IF(F384=Q372,E384,0)+IF(Q372=F385,E385,0)+IF(F386=Q372,E386,0)+IF(F387=Q372,E387,0)</f>
        <v>0</v>
      </c>
      <c r="U372">
        <f>IF(M382=Q372,L382,0)+IF(M383=Q372,L383,0)+IF(M384=Q372,L384,0)+IF(Q372=M385,L385,0)+IF(M386=Q372,L386,0)+IF(M387=Q372,L387,0)</f>
        <v>0</v>
      </c>
      <c r="V372">
        <f>IF(F390=Q372,E390,0)+IF(F391=Q372,E391,0)+IF(F392=Q372,E392,0)+IF(Q372=F393,E393,0)+IF(F394=Q372,E394,0)+IF(F395=Q372,E395,0)</f>
        <v>0</v>
      </c>
      <c r="W372" s="63">
        <f>SUM(R372:V372)</f>
        <v>0</v>
      </c>
      <c r="AB372" t="s">
        <v>208</v>
      </c>
      <c r="AC372" s="14">
        <f>SUM(K390:K396)*2</f>
        <v>0</v>
      </c>
    </row>
    <row r="373" spans="1:29" ht="15.75" hidden="1" outlineLevel="1" thickBot="1" x14ac:dyDescent="0.3">
      <c r="A373" s="64" t="str">
        <f>A340</f>
        <v>Semaine 23</v>
      </c>
      <c r="B373" s="65" t="e">
        <f>IF(H372="Cadre","Demi J. Réalisées","H. Réalisées")</f>
        <v>#N/A</v>
      </c>
      <c r="C373" s="65" t="s">
        <v>141</v>
      </c>
      <c r="D373" s="66" t="e">
        <f>IF(H372="Cadre","CP en Demi J.","CP en jours")</f>
        <v>#N/A</v>
      </c>
      <c r="E373" s="66" t="e">
        <f>IF(H372="Cadre","Abs. En Demi J.","Absence en H.")</f>
        <v>#N/A</v>
      </c>
      <c r="F373" s="67" t="s">
        <v>110</v>
      </c>
      <c r="H373" s="64" t="str">
        <f>H340</f>
        <v>Semaine 24</v>
      </c>
      <c r="I373" s="65" t="e">
        <f>B373</f>
        <v>#N/A</v>
      </c>
      <c r="J373" s="65" t="str">
        <f>C373</f>
        <v>Férié</v>
      </c>
      <c r="K373" s="66" t="e">
        <f>D373</f>
        <v>#N/A</v>
      </c>
      <c r="L373" s="66" t="e">
        <f>E373</f>
        <v>#N/A</v>
      </c>
      <c r="M373" s="67" t="str">
        <f>F373</f>
        <v>Type absence</v>
      </c>
      <c r="Q373" s="10" t="s">
        <v>143</v>
      </c>
      <c r="R373">
        <f>IF(F374=Q373,E374,0)+IF(F375=Q373,E375,0)+IF(F376=Q373,E376,0)+IF(Q373=F377,E377,0)+IF(F379=Q373,E378,0)+IF(F378=Q373,E379,0)</f>
        <v>0</v>
      </c>
      <c r="S373">
        <f>IF(M375=Q373,L375,0)+IF(M376=Q373,L376,0)+IF(M377=Q373,L377,0)+IF(Q373=M378,L378,0)+IF(M379=Q373,L379,0)+IF(M374=Q373,L374,0)</f>
        <v>0</v>
      </c>
      <c r="T373">
        <f>IF(F382=Q373,E382,0)+IF(F383=Q373,E383,0)+IF(F384=Q373,E384,0)+IF(Q373=F385,E385,0)+IF(F386=Q373,E386,0)+IF(F387=Q373,E387,0)</f>
        <v>0</v>
      </c>
      <c r="U373">
        <f>IF(M382=Q373,L382,0)+IF(M383=Q373,L383,0)+IF(M384=Q373,L384,0)+IF(Q373=M385,L385,0)+IF(M386=Q373,L386,0)+IF(M387=Q373,L387,0)</f>
        <v>0</v>
      </c>
      <c r="V373">
        <f>IF(F390=Q373,E390,0)+IF(F391=Q373,E391,0)+IF(F392=Q373,E392,0)+IF(Q373=F393,E393,0)+IF(F394=Q373,E394,0)+IF(F395=Q373,E395,0)</f>
        <v>0</v>
      </c>
      <c r="W373" s="63">
        <f t="shared" ref="W373:W385" si="64">SUM(R373:V373)</f>
        <v>0</v>
      </c>
      <c r="AB373" t="s">
        <v>8</v>
      </c>
      <c r="AC373" s="14"/>
    </row>
    <row r="374" spans="1:29" hidden="1" outlineLevel="1" x14ac:dyDescent="0.25">
      <c r="A374" s="68" t="s">
        <v>103</v>
      </c>
      <c r="B374" s="98"/>
      <c r="C374" s="98"/>
      <c r="D374" s="99"/>
      <c r="E374" s="100"/>
      <c r="F374" s="101"/>
      <c r="H374" s="69" t="s">
        <v>103</v>
      </c>
      <c r="I374" s="95"/>
      <c r="J374" s="95"/>
      <c r="K374" s="106"/>
      <c r="L374" s="105"/>
      <c r="M374" s="101"/>
      <c r="Q374" s="10" t="s">
        <v>144</v>
      </c>
      <c r="R374">
        <f>IF(F376=Q374,E376,0)+IF(F377=Q374,E377,0)+IF(F378=Q374,E378,0)+IF(Q374=F379,E379,0)+IF(F374=Q374,E374,0)+IF(F375=Q374,E375,0)</f>
        <v>0</v>
      </c>
      <c r="S374">
        <f>IF(M376=Q374,L376,0)+IF(M377=Q374,L377,0)+IF(M378=Q374,L378,0)+IF(Q374=M379,L379,0)+IF(M374=Q374,L374,0)+IF(M375=Q374,L375,0)</f>
        <v>0</v>
      </c>
      <c r="T374">
        <f>IF(F382=Q374,E382,0)+IF(F383=Q374,E383,0)+IF(F384=Q374,E384,0)+IF(Q374=F385,E385,0)+IF(F386=Q374,E386,0)+IF(F387=Q374,E387,0)</f>
        <v>0</v>
      </c>
      <c r="U374">
        <f>IF(M382=Q374,L382,0)+IF(M383=Q374,L383,0)+IF(M384=Q374,L384,0)+IF(Q374=M385,L385,0)+IF(M386=Q374,L386,0)+IF(M387=Q374,L387,0)</f>
        <v>0</v>
      </c>
      <c r="V374">
        <f>IF(F390=Q374,E390,0)+IF(F391=Q374,E391,0)+IF(F392=Q374,E392,0)+IF(Q374=F393,E393,0)+IF(F394=Q374,E394,0)+IF(F395=Q374,E395,0)</f>
        <v>0</v>
      </c>
      <c r="W374" s="63">
        <f t="shared" si="64"/>
        <v>0</v>
      </c>
      <c r="AB374" t="s">
        <v>209</v>
      </c>
      <c r="AC374" s="14">
        <f>W374</f>
        <v>0</v>
      </c>
    </row>
    <row r="375" spans="1:29" hidden="1" outlineLevel="1" x14ac:dyDescent="0.25">
      <c r="A375" s="69" t="s">
        <v>104</v>
      </c>
      <c r="B375" s="96"/>
      <c r="C375" s="96"/>
      <c r="D375" s="102"/>
      <c r="E375" s="103"/>
      <c r="F375" s="38"/>
      <c r="H375" s="69" t="s">
        <v>104</v>
      </c>
      <c r="I375" s="96"/>
      <c r="J375" s="96"/>
      <c r="K375" s="102"/>
      <c r="L375" s="103"/>
      <c r="M375" s="38"/>
      <c r="Q375" s="10" t="s">
        <v>145</v>
      </c>
      <c r="R375">
        <f>IF(F377=Q375,E377,0)+IF(F378=Q375,E378,0)+IF(F379=Q375,E379,0)+IF(Q375=F374,E374,0)+IF(F375=Q375,E375,0)+IF(F376=Q375,E376,0)</f>
        <v>0</v>
      </c>
      <c r="S375">
        <f>IF(M377=Q375,L377,0)+IF(M378=Q375,L378,0)+IF(M379=Q375,L379,0)+IF(Q375=M374,L374,0)+IF(M375=Q375,L375,0)+IF(M376=Q375,L376,0)</f>
        <v>0</v>
      </c>
      <c r="T375">
        <f>IF(F382=Q375,$E382,0)+IF(F383=Q375,E383,0)+IF(F384=Q375,E384,0)+IF(Q375=F385,E385,0)+IF(F386=Q375,E386,0)+IF(F387=Q375,E387,0)</f>
        <v>0</v>
      </c>
      <c r="U375">
        <f>IF(M382=Q375,L382,0)+IF(M383=Q375,L383,0)+IF(M384=Q375,L384,0)+IF(Q375=M385,L385,0)+IF(M386=Q375,L386,0)+IF(M387=Q375,L387,0)</f>
        <v>0</v>
      </c>
      <c r="V375">
        <f>IF(F390=Q375,E390,0)+IF(F391=Q375,E391,0)+IF(F392=Q375,E392,0)+IF(Q375=F393,E393,0)+IF(F394=Q375,E394,0)+IF(F395=Q375,E395,0)</f>
        <v>0</v>
      </c>
      <c r="W375" s="63">
        <f t="shared" si="64"/>
        <v>0</v>
      </c>
      <c r="AB375" t="s">
        <v>210</v>
      </c>
      <c r="AC375" s="14">
        <f>SUM(W372:W385)-W374</f>
        <v>0</v>
      </c>
    </row>
    <row r="376" spans="1:29" hidden="1" outlineLevel="1" x14ac:dyDescent="0.25">
      <c r="A376" s="69" t="s">
        <v>105</v>
      </c>
      <c r="B376" s="96"/>
      <c r="C376" s="96"/>
      <c r="D376" s="102"/>
      <c r="E376" s="103"/>
      <c r="F376" s="38"/>
      <c r="H376" s="69" t="s">
        <v>105</v>
      </c>
      <c r="I376" s="96"/>
      <c r="J376" s="96"/>
      <c r="K376" s="102"/>
      <c r="L376" s="103"/>
      <c r="M376" s="38"/>
      <c r="Q376" s="10" t="s">
        <v>212</v>
      </c>
      <c r="R376">
        <f>IF(F378=Q376,E378,0)+IF(F379=Q376,E379,0)+IF(F374=Q376,E374,0)+IF(Q376=F375,E375,0)+IF(F376=Q376,E376,0)+IF(F377=Q376,E377,0)</f>
        <v>0</v>
      </c>
      <c r="S376">
        <f>IF(M377=Q376,L377,0)+IF(M378=Q376,L378,0)+IF(M379=Q376,L379,0)+IF(Q376=M374,L374,0)+IF(M375=Q376,L375,0)+IF(M376=Q376,L376,0)</f>
        <v>0</v>
      </c>
      <c r="T376">
        <f>IF(F382=Q376,E382,0)+IF(F383=Q376,E383,0)+IF(F384=Q376,E384,0)+IF(Q376=F385,E385,0)+IF(F386=Q376,E386,0)+IF(F387=Q376,E387,0)</f>
        <v>0</v>
      </c>
      <c r="U376">
        <f>IF(M382=Q376,L382,0)+IF(M383=Q376,L383,0)+IF(M384=Q376,L384,0)+IF(Q376=M385,L385,0)+IF(M386=Q376,L386,0)+IF(M387=Q376,L387,0)</f>
        <v>0</v>
      </c>
      <c r="V376">
        <f>IF(F390=Q376,E390,0)+IF(F391=Q376,E391,0)+IF(F392=Q376,E392,0)+IF(Q376=F393,E393,0)+IF(F394=Q376,E394,0)+IF(F395=Q376,E395,0)</f>
        <v>0</v>
      </c>
      <c r="W376" s="63">
        <f t="shared" si="64"/>
        <v>0</v>
      </c>
      <c r="AA376" t="s">
        <v>214</v>
      </c>
      <c r="AB376" t="s">
        <v>213</v>
      </c>
      <c r="AC376" s="14" t="e">
        <f>IF(AC369="Cadre",(W376/2),(W376/7))</f>
        <v>#N/A</v>
      </c>
    </row>
    <row r="377" spans="1:29" hidden="1" outlineLevel="1" x14ac:dyDescent="0.25">
      <c r="A377" s="69" t="s">
        <v>106</v>
      </c>
      <c r="B377" s="96"/>
      <c r="C377" s="96"/>
      <c r="D377" s="102"/>
      <c r="E377" s="103"/>
      <c r="F377" s="38"/>
      <c r="H377" s="69" t="s">
        <v>106</v>
      </c>
      <c r="I377" s="96"/>
      <c r="J377" s="96"/>
      <c r="K377" s="102"/>
      <c r="L377" s="103"/>
      <c r="M377" s="38"/>
      <c r="Q377" s="10" t="s">
        <v>146</v>
      </c>
      <c r="R377">
        <f>IF(F379=Q377,E379,0)+IF(F374=Q377,E374,0)+IF(F375=Q377,E375,0)+IF(Q377=F376,E376,0)+IF(F377=Q377,E377,0)+IF(F378=Q377,E378,0)</f>
        <v>0</v>
      </c>
      <c r="S377">
        <f>IF(M377=Q377,L377,0)+IF(M378=Q377,L378,0)+IF(M379=Q377,L379,0)+IF(Q377=M374,$L$11,0)+IF(M375=Q377,L375,0)+IF(M376=Q377,L376,0)</f>
        <v>0</v>
      </c>
      <c r="T377">
        <f>IF(F382=Q377,E382,0)+IF(F383=Q377,E383,0)+IF(F384=Q377,E384,0)+IF(Q377=F385,E385,0)+IF(F386=Q377,E386,0)+IF(F387=Q377,E387,0)</f>
        <v>0</v>
      </c>
      <c r="U377">
        <f>IF(M382=Q377,L382,0)+IF(M383=Q377,L383,0)+IF(M384=Q377,L384,0)+IF(Q377=M385,L385,0)+IF(M386=Q377,L386,0)+IF(M387=Q377,L387,0)</f>
        <v>0</v>
      </c>
      <c r="V377">
        <f>IF(F390=Q377,E390,0)+IF(F391=Q377,E391,0)+IF(F392=Q377,E392,0)+IF(Q377=F393,E393,0)+IF(F394=Q377,E394,0)+IF(F395=Q377,E395,0)</f>
        <v>0</v>
      </c>
      <c r="W377" s="63">
        <f t="shared" si="64"/>
        <v>0</v>
      </c>
      <c r="AA377" t="s">
        <v>216</v>
      </c>
      <c r="AB377" t="s">
        <v>217</v>
      </c>
      <c r="AC377" s="14" t="e">
        <f>W389+W390</f>
        <v>#N/A</v>
      </c>
    </row>
    <row r="378" spans="1:29" hidden="1" outlineLevel="1" x14ac:dyDescent="0.25">
      <c r="A378" s="69" t="s">
        <v>107</v>
      </c>
      <c r="B378" s="96"/>
      <c r="C378" s="96"/>
      <c r="D378" s="102"/>
      <c r="E378" s="103"/>
      <c r="F378" s="38"/>
      <c r="H378" s="69" t="s">
        <v>107</v>
      </c>
      <c r="I378" s="96"/>
      <c r="J378" s="96"/>
      <c r="K378" s="102"/>
      <c r="L378" s="103"/>
      <c r="M378" s="38"/>
      <c r="Q378" s="10" t="s">
        <v>499</v>
      </c>
      <c r="R378">
        <f>IF(F374=Q378,E374,0)+IF(F375=Q378,E375,0)+IF(F376=Q378,E376,0)+IF(Q378=F377,E377,0)+IF(F378=Q378,E378,0)+IF(F379=Q378,E379,0)</f>
        <v>0</v>
      </c>
      <c r="S378">
        <f>IF(M377=Q378,L377,0)+IF(M378=Q378,L378,0)+IF(M379=Q378,L379,0)+IF(Q378=M374,L374,0)+IF(M375=Q378,L375,0)+IF(M376=Q378,L376,0)</f>
        <v>0</v>
      </c>
      <c r="T378">
        <f>IF(F382=Q378,E382,0)+IF(F383=Q378,E383,0)+IF(F384=Q378,E384,0)+IF(Q378=F385,E385,0)+IF(F386=Q378,E386,0)+IF(F387=Q378,E387,0)</f>
        <v>0</v>
      </c>
      <c r="U378">
        <f>IF(M382=Q378,L382,0)+IF(M383=Q378,L383,0)+IF(M384=Q378,L384,0)+IF(Q378=M385,L385,0)+IF(M386=Q378,L386,0)+IF(M387=Q378,L387,0)</f>
        <v>0</v>
      </c>
      <c r="V378">
        <f>IF(F390=Q378,E390,0)+IF(F391=Q378,E391,0)+IF(F392=Q378,E392,0)+IF(Q378=F393,E393,0)+IF(F394=Q378,E394,0)+IF(F395=Q378,E395,0)</f>
        <v>0</v>
      </c>
      <c r="W378" s="63">
        <f t="shared" si="64"/>
        <v>0</v>
      </c>
      <c r="AA378" t="s">
        <v>218</v>
      </c>
      <c r="AB378" t="s">
        <v>219</v>
      </c>
      <c r="AC378" s="14" t="e">
        <f>W388</f>
        <v>#N/A</v>
      </c>
    </row>
    <row r="379" spans="1:29" hidden="1" outlineLevel="1" x14ac:dyDescent="0.25">
      <c r="A379" s="69" t="s">
        <v>108</v>
      </c>
      <c r="B379" s="96"/>
      <c r="C379" s="96"/>
      <c r="D379" s="102"/>
      <c r="E379" s="103"/>
      <c r="F379" s="38"/>
      <c r="H379" s="69" t="s">
        <v>108</v>
      </c>
      <c r="I379" s="96"/>
      <c r="J379" s="96"/>
      <c r="K379" s="102"/>
      <c r="L379" s="103"/>
      <c r="M379" s="38"/>
      <c r="Q379" s="10" t="s">
        <v>147</v>
      </c>
      <c r="R379">
        <f>IF(F375=Q379,E375,0)+IF(F376=Q379,E376,0)+IF(F377=Q379,E377,0)+IF(Q379=F378,E378,0)+IF(F379=Q379,E379,0)+IF(F374=Q379,E374,0)</f>
        <v>0</v>
      </c>
      <c r="S379">
        <f>IF(M377=Q379,L377,0)+IF(M378=Q379,L378,0)+IF(M379=Q379,L379,0)+IF(Q379=M374,L374,0)+IF(M375=Q379,L375,0)+IF(M376=Q379,L376,0)</f>
        <v>0</v>
      </c>
      <c r="T379">
        <f>IF(F382=Q379,E382,0)+IF(F383=Q379,E383,0)+IF(F384=Q379,E384,0)+IF(Q379=F385,E385,0)+IF(F386=Q379,E386,0)+IF(F387=Q379,E387,0)</f>
        <v>0</v>
      </c>
      <c r="U379">
        <f>IF(M382=Q379,L382,0)+IF(M383=Q379,L383,0)+IF(M384=Q379,L384,0)+IF(Q379=M385,L385,0)+IF(M386=Q379,L386,0)+IF(M387=Q379,L387,0)</f>
        <v>0</v>
      </c>
      <c r="V379">
        <f>IF(F390=Q379,E390,0)+IF(F391=Q379,E391,0)+IF(F392=Q379,E392,0)+IF(Q379=F393,E393,0)+IF(F394=Q379,E394,0)+IF(F395=Q379,E395,0)</f>
        <v>0</v>
      </c>
      <c r="W379" s="63">
        <f t="shared" si="64"/>
        <v>0</v>
      </c>
      <c r="AA379" t="s">
        <v>166</v>
      </c>
      <c r="AB379" t="s">
        <v>220</v>
      </c>
      <c r="AC379" s="14" t="e">
        <f>W393</f>
        <v>#N/A</v>
      </c>
    </row>
    <row r="380" spans="1:29" ht="15.75" hidden="1" outlineLevel="1" thickBot="1" x14ac:dyDescent="0.3">
      <c r="A380" s="70" t="s">
        <v>109</v>
      </c>
      <c r="B380" s="97"/>
      <c r="C380" s="97"/>
      <c r="D380" s="71"/>
      <c r="E380" s="104"/>
      <c r="F380" s="38"/>
      <c r="H380" s="70" t="s">
        <v>109</v>
      </c>
      <c r="I380" s="97"/>
      <c r="J380" s="97"/>
      <c r="K380" s="71"/>
      <c r="L380" s="104"/>
      <c r="M380" s="38"/>
      <c r="Q380" s="10" t="s">
        <v>500</v>
      </c>
      <c r="R380">
        <f>IF(F376=Q380,E376,0)+IF(F377=Q380,E377,0)+IF(F378=Q380,E378,0)+IF(Q380=F379,E379,0)+IF(F374=Q380,E374,0)+IF(F375=Q380,E375,0)</f>
        <v>0</v>
      </c>
      <c r="S380">
        <f>IF(M377=Q380,L377,0)+IF(M378=Q380,L378,0)+IF(M379=Q380,L379,0)+IF(Q380=M374,L374,0)+IF(M375=Q380,L375,0)+IF(M376=Q380,L376,0)</f>
        <v>0</v>
      </c>
      <c r="T380">
        <f>IF(F382=Q380,E382,0)+IF(F383=Q380,E383,0)+IF(F384=Q380,E384,0)+IF(Q380=F385,E385,0)+IF(F386=Q380,E386,0)+IF(F387=Q380,E387,0)</f>
        <v>0</v>
      </c>
      <c r="U380">
        <f>IF(M382=Q380,L382,0)+IF(M383=Q380,L383,0)+IF(M384=Q380,L384,0)+IF(Q380=M385,L385,0)+IF(M386=Q380,L386,0)+IF(M387=Q380,L387,0)</f>
        <v>0</v>
      </c>
      <c r="V380">
        <f>IF(F390=Q380,E390,0)+IF(F391=Q380,E391,0)+IF(F392=Q380,E392,0)+IF(Q380=F393,E393,0)+IF(F394=Q380,E394,0)+IF(F395=Q380,E395,0)</f>
        <v>0</v>
      </c>
      <c r="W380" s="63">
        <f t="shared" si="64"/>
        <v>0</v>
      </c>
      <c r="AA380" t="s">
        <v>222</v>
      </c>
      <c r="AB380" t="s">
        <v>220</v>
      </c>
      <c r="AC380" s="14" t="e">
        <f>W394</f>
        <v>#N/A</v>
      </c>
    </row>
    <row r="381" spans="1:29" ht="15.75" hidden="1" outlineLevel="1" thickBot="1" x14ac:dyDescent="0.3">
      <c r="A381" s="64" t="str">
        <f>A348</f>
        <v>Ne pas saisir</v>
      </c>
      <c r="B381" s="65" t="e">
        <f>B373</f>
        <v>#N/A</v>
      </c>
      <c r="C381" s="65" t="str">
        <f>C373</f>
        <v>Férié</v>
      </c>
      <c r="D381" s="66" t="e">
        <f>D373</f>
        <v>#N/A</v>
      </c>
      <c r="E381" s="66" t="e">
        <f>E373</f>
        <v>#N/A</v>
      </c>
      <c r="F381" s="67" t="str">
        <f>F373</f>
        <v>Type absence</v>
      </c>
      <c r="H381" s="64" t="str">
        <f>H348</f>
        <v>Ne pas saisir</v>
      </c>
      <c r="I381" s="65" t="e">
        <f>B373</f>
        <v>#N/A</v>
      </c>
      <c r="J381" s="65" t="str">
        <f>C373</f>
        <v>Férié</v>
      </c>
      <c r="K381" s="66" t="e">
        <f>D373</f>
        <v>#N/A</v>
      </c>
      <c r="L381" s="66" t="e">
        <f>E373</f>
        <v>#N/A</v>
      </c>
      <c r="M381" s="67" t="str">
        <f>F373</f>
        <v>Type absence</v>
      </c>
      <c r="Q381" s="10" t="s">
        <v>148</v>
      </c>
      <c r="R381">
        <f>IF(F377=Q381,E377,0)+IF(F378=Q381,E378,0)+IF(F379=Q381,E379,0)+IF(Q381=F374,E374,0)+IF(F375=Q381,E375,0)+IF(F376=Q381,E376,0)</f>
        <v>0</v>
      </c>
      <c r="S381">
        <f>IF(M377=Q381,L377,0)+IF(M378=Q381,L378,0)+IF(M379=Q381,L379,0)+IF(Q381=M374,L374,0)+IF(M375=Q381,L375,0)+IF(M376=Q381,L376,0)</f>
        <v>0</v>
      </c>
      <c r="T381">
        <f>IF(F382=Q381,E382,0)+IF(F383=Q381,E383,0)+IF(F384=Q381,E384,0)+IF(Q381=F385,E385,0)+IF(F386=Q381,E386,0)+IF(F387=Q381,E387,0)</f>
        <v>0</v>
      </c>
      <c r="U381">
        <f>IF(M382=Q381,L382,0)+IF(M383=Q381,L383,0)+IF(M384=Q381,L384,0)+IF(Q381=M385,L385,0)+IF(M386=Q381,L386,0)+IF(M387=Q381,L387,0)</f>
        <v>0</v>
      </c>
      <c r="V381">
        <f>IF(F390=Q381,E390,0)+IF(F391=Q381,E391,0)+IF(F392=Q381,E392,0)+IF(Q381=F393,E393,0)+IF(F394=Q381,E394,0)+IF(F395=Q381,E395,0)</f>
        <v>0</v>
      </c>
      <c r="W381" s="63">
        <f t="shared" si="64"/>
        <v>0</v>
      </c>
      <c r="AA381" t="s">
        <v>223</v>
      </c>
      <c r="AB381" t="s">
        <v>224</v>
      </c>
      <c r="AC381" s="14" t="e">
        <f>W392</f>
        <v>#N/A</v>
      </c>
    </row>
    <row r="382" spans="1:29" hidden="1" outlineLevel="1" x14ac:dyDescent="0.25">
      <c r="A382" s="69" t="s">
        <v>103</v>
      </c>
      <c r="B382" s="95"/>
      <c r="C382" s="95"/>
      <c r="D382" s="106"/>
      <c r="E382" s="105"/>
      <c r="F382" s="101"/>
      <c r="H382" s="69" t="s">
        <v>103</v>
      </c>
      <c r="I382" s="95"/>
      <c r="J382" s="95"/>
      <c r="K382" s="106"/>
      <c r="L382" s="105"/>
      <c r="M382" s="101"/>
      <c r="Q382" s="10" t="s">
        <v>150</v>
      </c>
      <c r="R382">
        <f>IF(F378=Q382,E378,0)+IF(F379=Q382,E379,0)+IF(F374=Q382,E374,0)+IF(Q382=F375,E375,0)+IF(F376=Q382,E376,0)+IF(F377=Q382,E377,0)</f>
        <v>0</v>
      </c>
      <c r="S382">
        <f>IF(M377=Q382,L377,0)+IF(M378=Q382,L378,0)+IF(M379=Q382,L379,0)+IF(Q382=M374,L374,0)+IF(M375=Q382,L375,0)+IF(M376=Q382,L376,0)</f>
        <v>0</v>
      </c>
      <c r="T382">
        <f>IF(F382=Q382,E382,0)+IF(F383=Q382,E383,0)+IF(F384=Q382,E384,0)+IF(Q382=F385,E385,0)+IF(F386=Q382,E386,0)+IF(F387=Q382,E387,0)</f>
        <v>0</v>
      </c>
      <c r="U382">
        <f>IF(M382=Q382,L382,0)+IF(M383=Q382,L383,0)+IF(M384=Q382,L384,0)+IF(Q382=M385,L385,0)+IF(M386=Q382,L386,0)+IF(M387=Q382,L387,0)</f>
        <v>0</v>
      </c>
      <c r="V382">
        <f>IF(F390=Q382,E390,0)+IF(F391=Q382,E391,0)+IF(F392=Q382,E392,0)+IF(Q382=F393,E393,0)+IF(F394=Q382,E394,0)+IF(F395=Q382,E395,0)</f>
        <v>0</v>
      </c>
      <c r="W382" s="63">
        <f t="shared" si="64"/>
        <v>0</v>
      </c>
      <c r="AB382" t="s">
        <v>267</v>
      </c>
      <c r="AC382">
        <f>(SUM(B374:B380))</f>
        <v>0</v>
      </c>
    </row>
    <row r="383" spans="1:29" hidden="1" outlineLevel="1" x14ac:dyDescent="0.25">
      <c r="A383" s="69" t="s">
        <v>104</v>
      </c>
      <c r="B383" s="96"/>
      <c r="C383" s="96"/>
      <c r="D383" s="102"/>
      <c r="E383" s="103"/>
      <c r="F383" s="38"/>
      <c r="H383" s="69" t="s">
        <v>104</v>
      </c>
      <c r="I383" s="96"/>
      <c r="J383" s="96"/>
      <c r="K383" s="102"/>
      <c r="L383" s="103"/>
      <c r="M383" s="38"/>
      <c r="Q383" s="10" t="s">
        <v>502</v>
      </c>
      <c r="R383">
        <f>IF(F379=Q383,E379,0)+IF(F374=Q383,E374,0)+IF(F375=Q383,E375,0)+IF(Q383=F376,E376,0)+IF(F377=Q383,E377,0)+IF(F378=Q383,E378,0)</f>
        <v>0</v>
      </c>
      <c r="S383">
        <f>IF(M377=Q383,L377,0)+IF(M378=Q383,L378,0)+IF(M379=Q383,L379,0)+IF(Q383=M374,L374,0)+IF(M375=Q383,L375,0)+IF(M376=Q383,L376,0)</f>
        <v>0</v>
      </c>
      <c r="T383">
        <f>IF(F382=Q383,E382,0)+IF(F383=Q383,E383,0)+IF(F384=Q383,E384,0)+IF(Q383=F385,E385,0)+IF(F386=Q383,E386,0)+IF(F387=Q383,E387,0)</f>
        <v>0</v>
      </c>
      <c r="U383">
        <f>IF(M382=Q383,L382,0)+IF(M383=Q383,L383,0)+IF(M384=Q383,L384,0)+IF(Q383=M385,L385,0)+IF(M386=Q383,L386,0)+IF(M387=Q383,L387,0)</f>
        <v>0</v>
      </c>
      <c r="V383">
        <f>IF(F390=Q383,E390,0)+IF(F391=Q383,E391,0)+IF(F392=Q383,E392,0)+IF(Q383=F393,E393,0)+IF(F394=Q383,E394,0)+IF(F395=Q383,E395,0)</f>
        <v>0</v>
      </c>
      <c r="W383" s="63">
        <f t="shared" si="64"/>
        <v>0</v>
      </c>
      <c r="AB383" t="s">
        <v>268</v>
      </c>
      <c r="AC383">
        <f>(SUM(I374:I380))</f>
        <v>0</v>
      </c>
    </row>
    <row r="384" spans="1:29" hidden="1" outlineLevel="1" x14ac:dyDescent="0.25">
      <c r="A384" s="69" t="s">
        <v>105</v>
      </c>
      <c r="B384" s="96"/>
      <c r="C384" s="96"/>
      <c r="D384" s="102"/>
      <c r="E384" s="103"/>
      <c r="F384" s="38"/>
      <c r="H384" s="69" t="s">
        <v>105</v>
      </c>
      <c r="I384" s="96"/>
      <c r="J384" s="96"/>
      <c r="K384" s="102"/>
      <c r="L384" s="103"/>
      <c r="M384" s="38"/>
      <c r="Q384" s="10" t="s">
        <v>498</v>
      </c>
      <c r="R384">
        <f>IF(F374=Q384,E374,0)+IF(F375=Q384,E375,0)+IF(F376=Q384,E376,0)+IF(Q384=F377,E377,0)+IF(F378=Q384,E378,0)+IF(F379=Q384,E379,0)</f>
        <v>0</v>
      </c>
      <c r="S384">
        <f>IF(M377=Q384,L377,0)+IF(M378=Q384,L378,0)+IF(M379=Q384,L379,0)+IF(Q384=M374,L374,0)+IF(M375=Q384,L375,0)+IF(M376=Q384,L376,0)</f>
        <v>0</v>
      </c>
      <c r="T384">
        <f>IF(F382=Q384,E382,0)+IF(F383=Q384,E383,0)+IF(F384=Q384,E384,0)+IF(Q384=F385,E385,0)+IF(F386=Q384,E386,0)+IF(F387=Q384,E387,0)</f>
        <v>0</v>
      </c>
      <c r="U384">
        <f>IF(M382=Q384,L382,0)+IF(M383=Q384,L383,0)+IF(M384=Q384,L384,0)+IF(Q384=M385,L385,0)+IF(M386=Q384,L386,0)+IF(M387=Q384,L387,0)</f>
        <v>0</v>
      </c>
      <c r="V384">
        <f>IF(F390=Q384,E390,0)+IF(F391=Q384,E391,0)+IF(F392=Q384,E392,0)+IF(Q384=F393,E393,0)+IF(F394=Q384,E394,0)+IF(F395=Q384,E395,0)</f>
        <v>0</v>
      </c>
      <c r="W384" s="63">
        <f t="shared" si="64"/>
        <v>0</v>
      </c>
      <c r="AB384" t="s">
        <v>269</v>
      </c>
      <c r="AC384">
        <f>(SUM(B382:B388))</f>
        <v>0</v>
      </c>
    </row>
    <row r="385" spans="1:29" hidden="1" outlineLevel="1" x14ac:dyDescent="0.25">
      <c r="A385" s="69" t="s">
        <v>106</v>
      </c>
      <c r="B385" s="96"/>
      <c r="C385" s="96"/>
      <c r="D385" s="102"/>
      <c r="E385" s="103"/>
      <c r="F385" s="38"/>
      <c r="H385" s="69" t="s">
        <v>106</v>
      </c>
      <c r="I385" s="96"/>
      <c r="J385" s="96"/>
      <c r="K385" s="102"/>
      <c r="L385" s="103"/>
      <c r="M385" s="38"/>
      <c r="P385" s="72"/>
      <c r="Q385" s="73" t="s">
        <v>501</v>
      </c>
      <c r="R385" s="72">
        <f>IF(F375=Q385,E375,0)+IF(F376=Q385,E376,0)+IF(F377=Q385,E377,0)+IF(Q385=F378,E378,0)+IF(F379=Q385,E379,0)+IF(F374=Q385,E374,0)</f>
        <v>0</v>
      </c>
      <c r="S385" s="72">
        <f>IF(M377=Q385,L377,0)+IF(M378=Q385,L378,0)+IF(M379=Q385,L379,0)+IF(Q385=M374,L374,0)+IF(M375=Q385,L375,0)+IF(M376=Q385,L376,0)</f>
        <v>0</v>
      </c>
      <c r="T385" s="72">
        <f>IF(F382=Q385,E382,0)+IF(F383=Q385,E383,0)+IF(F384=Q385,E384,0)+IF(Q385=F385,E385,0)+IF(F386=Q385,E386,0)+IF(F387=Q385,E387,0)</f>
        <v>0</v>
      </c>
      <c r="U385" s="72">
        <f>IF(M382=Q385,L382,0)+IF(M383=Q385,L383,0)+IF(M384=Q385,L384,0)+IF(Q385=M385,L385,0)+IF(M386=Q385,L386,0)+IF(M387=Q385,L387,0)</f>
        <v>0</v>
      </c>
      <c r="V385" s="72">
        <f>IF(F390=Q385,E390,0)+IF(F391=Q385,E391,0)+IF(F392=Q385,E392,0)+IF(Q385=F393,E393,0)+IF(F394=Q385,E394,0)+IF(F395=Q385,E395,0)</f>
        <v>0</v>
      </c>
      <c r="W385" s="74">
        <f t="shared" si="64"/>
        <v>0</v>
      </c>
      <c r="AB385" t="s">
        <v>270</v>
      </c>
      <c r="AC385">
        <f>(SUM(I382:I388))</f>
        <v>0</v>
      </c>
    </row>
    <row r="386" spans="1:29" hidden="1" outlineLevel="1" x14ac:dyDescent="0.25">
      <c r="A386" s="69" t="s">
        <v>107</v>
      </c>
      <c r="B386" s="96"/>
      <c r="C386" s="96"/>
      <c r="D386" s="102"/>
      <c r="E386" s="103"/>
      <c r="F386" s="38"/>
      <c r="H386" s="69" t="s">
        <v>107</v>
      </c>
      <c r="I386" s="96"/>
      <c r="J386" s="96"/>
      <c r="K386" s="102"/>
      <c r="L386" s="103"/>
      <c r="M386" s="38"/>
      <c r="Q386" s="75" t="s">
        <v>169</v>
      </c>
      <c r="R386" s="2" t="e">
        <f>IF(M371="Règlement HC",K371*10%,0)</f>
        <v>#N/A</v>
      </c>
      <c r="S386" s="2" t="e">
        <f>IF(M371="Règlement HC",K371*10%,0)</f>
        <v>#N/A</v>
      </c>
      <c r="T386" s="2" t="e">
        <f>IF(M371="Règlement HC",K371*10%,0)</f>
        <v>#N/A</v>
      </c>
      <c r="U386" s="2" t="e">
        <f>IF(M371="Règlement HC",K371*10%,0)</f>
        <v>#N/A</v>
      </c>
      <c r="V386" s="2" t="e">
        <f>IF(M371="Règlement HC",K371*10%,0)</f>
        <v>#N/A</v>
      </c>
      <c r="W386" s="76"/>
      <c r="AB386" t="s">
        <v>271</v>
      </c>
      <c r="AC386">
        <f>(SUM(B390:B396))</f>
        <v>0</v>
      </c>
    </row>
    <row r="387" spans="1:29" hidden="1" outlineLevel="1" x14ac:dyDescent="0.25">
      <c r="A387" s="69" t="s">
        <v>108</v>
      </c>
      <c r="B387" s="96"/>
      <c r="C387" s="96"/>
      <c r="D387" s="102"/>
      <c r="E387" s="103"/>
      <c r="F387" s="38"/>
      <c r="H387" s="69" t="s">
        <v>108</v>
      </c>
      <c r="I387" s="96"/>
      <c r="J387" s="96"/>
      <c r="K387" s="102"/>
      <c r="L387" s="103"/>
      <c r="M387" s="38"/>
      <c r="Q387" s="75" t="s">
        <v>175</v>
      </c>
      <c r="R387" s="2" t="e">
        <f>IF(M371="Règlement HC",SUM(B374:B380)-K371,0)</f>
        <v>#N/A</v>
      </c>
      <c r="S387" s="2" t="e">
        <f>IF(M371="Règlement HC",SUM(I374:I380)-K371,0)</f>
        <v>#N/A</v>
      </c>
      <c r="T387" s="2" t="e">
        <f>IF(M371="Règlement HC",SUM(B382:B388)-K371,0)</f>
        <v>#N/A</v>
      </c>
      <c r="U387" s="2" t="e">
        <f>IF(M371="Règlement HC",SUM(I382:I388)-K371,0)</f>
        <v>#N/A</v>
      </c>
      <c r="V387" s="2" t="e">
        <f>IF(M371="Règlement HC",SUM(B390:B396)-K371,0)</f>
        <v>#N/A</v>
      </c>
      <c r="W387" s="63" t="e">
        <f>SUM((IF(R387&gt;0,R387,0)+(IF(S387&gt;0,S387,0)+(IF(T387&gt;0,T387,0)+(IF(U387&gt;0,U387,0)+(IF(V387&gt;0,V387,0)))))))</f>
        <v>#N/A</v>
      </c>
      <c r="AA387" t="s">
        <v>313</v>
      </c>
      <c r="AB387" t="s">
        <v>314</v>
      </c>
      <c r="AC387" t="e">
        <f>W391</f>
        <v>#N/A</v>
      </c>
    </row>
    <row r="388" spans="1:29" ht="15.75" hidden="1" outlineLevel="1" thickBot="1" x14ac:dyDescent="0.3">
      <c r="A388" s="70" t="s">
        <v>109</v>
      </c>
      <c r="B388" s="97"/>
      <c r="C388" s="97"/>
      <c r="D388" s="71"/>
      <c r="E388" s="104"/>
      <c r="F388" s="38"/>
      <c r="H388" s="70" t="s">
        <v>109</v>
      </c>
      <c r="I388" s="97"/>
      <c r="J388" s="97"/>
      <c r="K388" s="71"/>
      <c r="L388" s="104"/>
      <c r="M388" s="39"/>
      <c r="P388" t="s">
        <v>170</v>
      </c>
      <c r="Q388" s="10" t="s">
        <v>162</v>
      </c>
      <c r="R388" t="e">
        <f>IF(R387&gt;=R386,R386,R387)</f>
        <v>#N/A</v>
      </c>
      <c r="S388" t="e">
        <f>IF(S387&gt;=S386,S386,S387)</f>
        <v>#N/A</v>
      </c>
      <c r="T388" t="e">
        <f>IF(T387&gt;=T386,T386,T387)</f>
        <v>#N/A</v>
      </c>
      <c r="U388" t="e">
        <f>IF(U387&gt;=U386,U386,U387)</f>
        <v>#N/A</v>
      </c>
      <c r="V388" t="e">
        <f>IF(V387&gt;=V386,V386,V387)</f>
        <v>#N/A</v>
      </c>
      <c r="W388" s="63" t="e">
        <f>SUM((IF(R388&gt;0,R388,0)+(IF(S388&gt;0,S388,0)+(IF(T388&gt;0,T388,0)+(IF(U388&gt;0,U388,0)+(IF(V388&gt;0,V388,0)))))))</f>
        <v>#N/A</v>
      </c>
    </row>
    <row r="389" spans="1:29" ht="15.75" hidden="1" outlineLevel="1" thickBot="1" x14ac:dyDescent="0.3">
      <c r="A389" s="64" t="str">
        <f>A356</f>
        <v>Ne pas saisir</v>
      </c>
      <c r="B389" s="65" t="e">
        <f>B373</f>
        <v>#N/A</v>
      </c>
      <c r="C389" s="65" t="str">
        <f>C373</f>
        <v>Férié</v>
      </c>
      <c r="D389" s="66" t="e">
        <f>D373</f>
        <v>#N/A</v>
      </c>
      <c r="E389" s="66" t="e">
        <f>E373</f>
        <v>#N/A</v>
      </c>
      <c r="F389" s="67" t="str">
        <f>F373</f>
        <v>Type absence</v>
      </c>
      <c r="H389" s="77" t="s">
        <v>136</v>
      </c>
      <c r="I389" s="78" t="e">
        <f>B373</f>
        <v>#N/A</v>
      </c>
      <c r="J389" s="78" t="str">
        <f>C373</f>
        <v>Férié</v>
      </c>
      <c r="K389" s="79" t="e">
        <f>D373</f>
        <v>#N/A</v>
      </c>
      <c r="L389" s="80" t="e">
        <f>E373</f>
        <v>#N/A</v>
      </c>
      <c r="M389" s="49"/>
      <c r="P389" t="s">
        <v>170</v>
      </c>
      <c r="Q389" s="10" t="s">
        <v>163</v>
      </c>
      <c r="R389" t="e">
        <f>R387-R388</f>
        <v>#N/A</v>
      </c>
      <c r="S389" t="e">
        <f>S387-S388</f>
        <v>#N/A</v>
      </c>
      <c r="T389" t="e">
        <f>T387-T388</f>
        <v>#N/A</v>
      </c>
      <c r="U389" t="e">
        <f>U387-U388</f>
        <v>#N/A</v>
      </c>
      <c r="V389" t="e">
        <f>V387-V388</f>
        <v>#N/A</v>
      </c>
      <c r="W389" s="63" t="e">
        <f t="shared" ref="W389:W394" si="65">SUM(R389:V389)</f>
        <v>#N/A</v>
      </c>
    </row>
    <row r="390" spans="1:29" hidden="1" outlineLevel="1" x14ac:dyDescent="0.25">
      <c r="A390" s="69" t="s">
        <v>103</v>
      </c>
      <c r="B390" s="95"/>
      <c r="C390" s="95"/>
      <c r="D390" s="106"/>
      <c r="E390" s="105"/>
      <c r="F390" s="101"/>
      <c r="H390" s="81" t="s">
        <v>103</v>
      </c>
      <c r="I390" s="82">
        <f t="shared" ref="I390:I395" si="66">B374+I374+B382+I382+B390</f>
        <v>0</v>
      </c>
      <c r="J390" s="82">
        <f t="shared" ref="J390:J395" si="67">C374+J374+C382+J382+C390</f>
        <v>0</v>
      </c>
      <c r="K390" s="83">
        <f t="shared" ref="K390:K395" si="68">D374+K374+D382+K382+D390</f>
        <v>0</v>
      </c>
      <c r="L390" s="84">
        <f t="shared" ref="L390:L395" si="69">E374+L374+E382+L382+E390</f>
        <v>0</v>
      </c>
      <c r="M390" s="303" t="s">
        <v>177</v>
      </c>
      <c r="N390" s="304"/>
      <c r="O390" s="304"/>
      <c r="Q390" s="10" t="s">
        <v>164</v>
      </c>
      <c r="R390" t="e">
        <f>IF(AND(K371="non",(SUM(B374:B380)&gt;U370)),SUM(B374:B380)-U370,0)</f>
        <v>#N/A</v>
      </c>
      <c r="S390" t="e">
        <f>IF(AND(K371="non",(SUM(I374:I380)&gt;U370)),SUM(I374:I380)-U370,0)</f>
        <v>#N/A</v>
      </c>
      <c r="T390" t="e">
        <f>IF(AND(K371="non",(SUM(B382:B388)&gt;U370)),SUM(B382:B388)-U370,0)</f>
        <v>#N/A</v>
      </c>
      <c r="U390" t="e">
        <f>IF(AND(K371="non",(SUM(I382:I388)&gt;U370)),SUM(I382:I388)-U370,0)</f>
        <v>#N/A</v>
      </c>
      <c r="V390" t="e">
        <f>IF(AND(K371="non",(SUM(B390:B396)&gt;U370)),SUM(B390:B396)-U370,0)</f>
        <v>#N/A</v>
      </c>
      <c r="W390" s="63" t="e">
        <f t="shared" si="65"/>
        <v>#N/A</v>
      </c>
    </row>
    <row r="391" spans="1:29" hidden="1" outlineLevel="1" x14ac:dyDescent="0.25">
      <c r="A391" s="69" t="s">
        <v>104</v>
      </c>
      <c r="B391" s="96"/>
      <c r="C391" s="96"/>
      <c r="D391" s="102"/>
      <c r="E391" s="103"/>
      <c r="F391" s="38"/>
      <c r="H391" s="81" t="s">
        <v>104</v>
      </c>
      <c r="I391" s="88">
        <f t="shared" si="66"/>
        <v>0</v>
      </c>
      <c r="J391" s="88">
        <f t="shared" si="67"/>
        <v>0</v>
      </c>
      <c r="K391" s="89">
        <f t="shared" si="68"/>
        <v>0</v>
      </c>
      <c r="L391" s="90">
        <f t="shared" si="69"/>
        <v>0</v>
      </c>
      <c r="M391" s="49"/>
      <c r="P391" t="s">
        <v>167</v>
      </c>
      <c r="Q391" s="10" t="s">
        <v>165</v>
      </c>
      <c r="R391" t="e">
        <f>IF(H372="Cadre",0,SUM(C374:C380))</f>
        <v>#N/A</v>
      </c>
      <c r="S391" t="e">
        <f>IF(H372="Cadre",0,SUM(J374:J380))</f>
        <v>#N/A</v>
      </c>
      <c r="T391" t="e">
        <f>IF(H372="Cadre",0,SUM(C382:C388))</f>
        <v>#N/A</v>
      </c>
      <c r="U391" t="e">
        <f>IF(H372="Cadre",0,SUM(J382:J388))</f>
        <v>#N/A</v>
      </c>
      <c r="V391" t="e">
        <f>IF(H372="Cadre",0,SUM(C390:C396))</f>
        <v>#N/A</v>
      </c>
      <c r="W391" s="63" t="e">
        <f t="shared" si="65"/>
        <v>#N/A</v>
      </c>
    </row>
    <row r="392" spans="1:29" hidden="1" outlineLevel="1" x14ac:dyDescent="0.25">
      <c r="A392" s="69" t="s">
        <v>105</v>
      </c>
      <c r="B392" s="96"/>
      <c r="C392" s="96"/>
      <c r="D392" s="102"/>
      <c r="E392" s="103"/>
      <c r="F392" s="38"/>
      <c r="H392" s="81" t="s">
        <v>105</v>
      </c>
      <c r="I392" s="88">
        <f t="shared" si="66"/>
        <v>0</v>
      </c>
      <c r="J392" s="88">
        <f t="shared" si="67"/>
        <v>0</v>
      </c>
      <c r="K392" s="89">
        <f t="shared" si="68"/>
        <v>0</v>
      </c>
      <c r="L392" s="90">
        <f t="shared" si="69"/>
        <v>0</v>
      </c>
      <c r="M392" s="49"/>
      <c r="P392" t="s">
        <v>168</v>
      </c>
      <c r="Q392" s="10" t="s">
        <v>165</v>
      </c>
      <c r="R392" t="e">
        <f>IF(H372="Cadre",((SUM(C374:C380)/2)*5),0)</f>
        <v>#N/A</v>
      </c>
      <c r="S392" t="e">
        <f>IF(H372="Cadre",(SUM(J374:J380)/2*5),0)</f>
        <v>#N/A</v>
      </c>
      <c r="T392" t="e">
        <f>IF(H372="Cadre",(SUM(C382:C388)/2*5),0)</f>
        <v>#N/A</v>
      </c>
      <c r="U392" t="e">
        <f>IF(H372="Cadre",(SUM(J382:J388)/2*5),0)</f>
        <v>#N/A</v>
      </c>
      <c r="V392" t="e">
        <f>IF(H372="Cadre",(SUM(C390:C396)/2*5),0)</f>
        <v>#N/A</v>
      </c>
      <c r="W392" s="63" t="e">
        <f t="shared" si="65"/>
        <v>#N/A</v>
      </c>
    </row>
    <row r="393" spans="1:29" hidden="1" outlineLevel="1" x14ac:dyDescent="0.25">
      <c r="A393" s="69" t="s">
        <v>106</v>
      </c>
      <c r="B393" s="96"/>
      <c r="C393" s="96"/>
      <c r="D393" s="102"/>
      <c r="E393" s="103"/>
      <c r="F393" s="38"/>
      <c r="H393" s="81" t="s">
        <v>106</v>
      </c>
      <c r="I393" s="88">
        <f t="shared" si="66"/>
        <v>0</v>
      </c>
      <c r="J393" s="88">
        <f t="shared" si="67"/>
        <v>0</v>
      </c>
      <c r="K393" s="89">
        <f t="shared" si="68"/>
        <v>0</v>
      </c>
      <c r="L393" s="90">
        <f t="shared" si="69"/>
        <v>0</v>
      </c>
      <c r="M393" s="49"/>
      <c r="P393" t="s">
        <v>166</v>
      </c>
      <c r="Q393" s="10" t="s">
        <v>159</v>
      </c>
      <c r="R393" t="e">
        <f>IF(H372="Employé",B380,0)</f>
        <v>#N/A</v>
      </c>
      <c r="S393" t="e">
        <f>IF(H372="Employé",I380,0)</f>
        <v>#N/A</v>
      </c>
      <c r="T393" t="e">
        <f>IF(H372="Employé",B388,0)</f>
        <v>#N/A</v>
      </c>
      <c r="U393" t="e">
        <f>IF(H372="Employé",I388,0)</f>
        <v>#N/A</v>
      </c>
      <c r="V393" t="e">
        <f>IF(H372="Employé",B396,0)</f>
        <v>#N/A</v>
      </c>
      <c r="W393" s="63" t="e">
        <f t="shared" si="65"/>
        <v>#N/A</v>
      </c>
    </row>
    <row r="394" spans="1:29" hidden="1" outlineLevel="1" x14ac:dyDescent="0.25">
      <c r="A394" s="69" t="s">
        <v>107</v>
      </c>
      <c r="B394" s="96"/>
      <c r="C394" s="96"/>
      <c r="D394" s="102"/>
      <c r="E394" s="103"/>
      <c r="F394" s="38"/>
      <c r="H394" s="81" t="s">
        <v>107</v>
      </c>
      <c r="I394" s="88">
        <f t="shared" si="66"/>
        <v>0</v>
      </c>
      <c r="J394" s="88">
        <f t="shared" si="67"/>
        <v>0</v>
      </c>
      <c r="K394" s="89">
        <f t="shared" si="68"/>
        <v>0</v>
      </c>
      <c r="L394" s="90">
        <f t="shared" si="69"/>
        <v>0</v>
      </c>
      <c r="M394" s="303" t="s">
        <v>178</v>
      </c>
      <c r="N394" s="304"/>
      <c r="O394" s="304"/>
      <c r="P394" t="s">
        <v>297</v>
      </c>
      <c r="Q394" s="10" t="s">
        <v>159</v>
      </c>
      <c r="R394" t="e">
        <f>IF(H372="Cadre",IF(B380=2,5,0),0)</f>
        <v>#N/A</v>
      </c>
      <c r="S394" t="e">
        <f>IF(H372="Cadre",IF(I380=2,5,0),0)</f>
        <v>#N/A</v>
      </c>
      <c r="T394" t="e">
        <f>IF(H372="Cadre",IF(B388=2,5,0),0)</f>
        <v>#N/A</v>
      </c>
      <c r="U394" t="e">
        <f>IF(H372="Cadre",IF(I388=2,5,0),0)</f>
        <v>#N/A</v>
      </c>
      <c r="V394" t="e">
        <f>IF(H372="Cadre",IF(B396=2,5,0),0)</f>
        <v>#N/A</v>
      </c>
      <c r="W394" s="63" t="e">
        <f t="shared" si="65"/>
        <v>#N/A</v>
      </c>
    </row>
    <row r="395" spans="1:29" hidden="1" outlineLevel="1" x14ac:dyDescent="0.25">
      <c r="A395" s="69" t="s">
        <v>108</v>
      </c>
      <c r="B395" s="96"/>
      <c r="C395" s="96"/>
      <c r="D395" s="102"/>
      <c r="E395" s="103"/>
      <c r="F395" s="38"/>
      <c r="H395" s="81" t="s">
        <v>108</v>
      </c>
      <c r="I395" s="88">
        <f t="shared" si="66"/>
        <v>0</v>
      </c>
      <c r="J395" s="88">
        <f t="shared" si="67"/>
        <v>0</v>
      </c>
      <c r="K395" s="89">
        <f t="shared" si="68"/>
        <v>0</v>
      </c>
      <c r="L395" s="90">
        <f t="shared" si="69"/>
        <v>0</v>
      </c>
      <c r="M395" s="49"/>
      <c r="P395" t="s">
        <v>171</v>
      </c>
      <c r="Q395" s="10" t="s">
        <v>172</v>
      </c>
      <c r="R395" s="2"/>
      <c r="S395" s="2"/>
      <c r="T395" s="2"/>
      <c r="U395" s="2"/>
      <c r="V395" s="2"/>
      <c r="W395" s="91" t="e">
        <f>IF(AND(K371="non",H372="Employé"),SUM(I390:I396)+(SUM(W372:W385)-W368),(SUM(I390:I396)-W387)+(SUM(W372:W385)-W368))</f>
        <v>#N/A</v>
      </c>
    </row>
    <row r="396" spans="1:29" ht="15.75" hidden="1" outlineLevel="1" thickBot="1" x14ac:dyDescent="0.3">
      <c r="A396" s="70" t="s">
        <v>109</v>
      </c>
      <c r="B396" s="97"/>
      <c r="C396" s="97"/>
      <c r="D396" s="71"/>
      <c r="E396" s="104"/>
      <c r="F396" s="39"/>
      <c r="H396" s="92" t="s">
        <v>109</v>
      </c>
      <c r="I396" s="93">
        <f>(B380+I380+B388+I388+B396)</f>
        <v>0</v>
      </c>
      <c r="J396" s="93">
        <f>(C380+J380+C388+J388+C396)</f>
        <v>0</v>
      </c>
      <c r="K396" s="71">
        <f>(D380+K380+D388+K388+D396)</f>
        <v>0</v>
      </c>
      <c r="L396" s="94">
        <f>(E380+L380+E388+L388+E396)</f>
        <v>0</v>
      </c>
      <c r="M396" s="49"/>
      <c r="P396" t="s">
        <v>176</v>
      </c>
      <c r="Q396" s="10" t="s">
        <v>172</v>
      </c>
      <c r="R396" s="2"/>
      <c r="S396" s="2"/>
      <c r="T396" s="2"/>
      <c r="U396" s="2"/>
      <c r="V396" s="2"/>
      <c r="W396" s="91" t="e">
        <f>IF(H372="Cadre",((SUM(I390:I396)+SUM(W372:W385)-W374-W375)/2),0)</f>
        <v>#N/A</v>
      </c>
    </row>
    <row r="397" spans="1:29" ht="15" customHeight="1" collapsed="1" x14ac:dyDescent="0.25">
      <c r="D397" s="302" t="s">
        <v>298</v>
      </c>
      <c r="E397" s="302"/>
      <c r="F397" s="302"/>
      <c r="G397" s="302"/>
      <c r="H397" s="302"/>
      <c r="I397" s="302"/>
      <c r="J397" s="302"/>
      <c r="K397" s="302"/>
      <c r="L397" s="42" t="s">
        <v>289</v>
      </c>
      <c r="N397" s="43"/>
      <c r="O397" s="43" t="s">
        <v>179</v>
      </c>
      <c r="P397" s="15" t="s">
        <v>157</v>
      </c>
      <c r="AA397" s="15" t="s">
        <v>157</v>
      </c>
    </row>
    <row r="398" spans="1:29" hidden="1" outlineLevel="1" x14ac:dyDescent="0.25">
      <c r="D398" s="302"/>
      <c r="E398" s="302"/>
      <c r="F398" s="302"/>
      <c r="G398" s="302"/>
      <c r="H398" s="302"/>
      <c r="I398" s="302"/>
      <c r="J398" s="302"/>
      <c r="K398" s="302"/>
      <c r="N398" s="43"/>
      <c r="O398" s="43" t="s">
        <v>180</v>
      </c>
      <c r="AC398" t="s">
        <v>201</v>
      </c>
    </row>
    <row r="399" spans="1:29" hidden="1" outlineLevel="1" x14ac:dyDescent="0.25">
      <c r="D399" s="302"/>
      <c r="E399" s="302"/>
      <c r="F399" s="302"/>
      <c r="G399" s="302"/>
      <c r="H399" s="302"/>
      <c r="I399" s="302"/>
      <c r="J399" s="302"/>
      <c r="K399" s="302"/>
      <c r="N399" s="44"/>
      <c r="O399" s="44" t="s">
        <v>181</v>
      </c>
      <c r="AA399" s="15" t="s">
        <v>200</v>
      </c>
      <c r="AC399" s="2" t="str">
        <f>I401</f>
        <v>Juin</v>
      </c>
    </row>
    <row r="400" spans="1:29" hidden="1" outlineLevel="1" x14ac:dyDescent="0.25">
      <c r="A400" s="45" t="s">
        <v>3</v>
      </c>
      <c r="B400" s="46">
        <f>'Synthèse Horaires'!$B$4</f>
        <v>2026</v>
      </c>
      <c r="C400" s="47"/>
      <c r="D400" s="48" t="s">
        <v>1</v>
      </c>
      <c r="E400" s="46">
        <f>'Synthèse Horaires'!$D$4</f>
        <v>0</v>
      </c>
      <c r="F400" s="49"/>
      <c r="G400" s="49"/>
      <c r="H400" s="48" t="s">
        <v>2</v>
      </c>
      <c r="I400" s="47">
        <f>'Synthèse Horaires'!$I$4</f>
        <v>0</v>
      </c>
      <c r="J400" s="50"/>
      <c r="K400" s="50"/>
      <c r="N400" s="44"/>
      <c r="O400" s="44" t="s">
        <v>202</v>
      </c>
      <c r="V400" s="10" t="s">
        <v>174</v>
      </c>
      <c r="W400" s="51" t="e">
        <f>IF(K404="non",SUM(K423:K429)*(35/6),SUM(K423:K429)*(K404/6))</f>
        <v>#N/A</v>
      </c>
      <c r="AB400" t="s">
        <v>6</v>
      </c>
      <c r="AC400" s="14">
        <f>B404</f>
        <v>0</v>
      </c>
    </row>
    <row r="401" spans="1:29" hidden="1" outlineLevel="1" x14ac:dyDescent="0.25">
      <c r="A401" s="45" t="s">
        <v>10</v>
      </c>
      <c r="B401" s="49"/>
      <c r="C401" s="49"/>
      <c r="D401" s="50" t="str">
        <f>'Synthèse Horaires'!$C$6</f>
        <v>01 juin 2026 au 31 mai 2027.</v>
      </c>
      <c r="E401" s="2"/>
      <c r="H401" s="48" t="s">
        <v>205</v>
      </c>
      <c r="I401" s="47" t="str">
        <f>'Synthèse Horaires'!$I$5</f>
        <v>Juin</v>
      </c>
      <c r="N401" s="44"/>
      <c r="O401" s="44" t="s">
        <v>203</v>
      </c>
      <c r="V401" s="10" t="s">
        <v>173</v>
      </c>
      <c r="W401">
        <f>W407+W408</f>
        <v>0</v>
      </c>
      <c r="AB401" t="s">
        <v>57</v>
      </c>
      <c r="AC401" s="14" t="e">
        <f>B405</f>
        <v>#N/A</v>
      </c>
    </row>
    <row r="402" spans="1:29" hidden="1" outlineLevel="1" x14ac:dyDescent="0.25">
      <c r="AB402" t="s">
        <v>211</v>
      </c>
      <c r="AC402" s="14" t="e">
        <f>H405</f>
        <v>#N/A</v>
      </c>
    </row>
    <row r="403" spans="1:29" hidden="1" outlineLevel="1" x14ac:dyDescent="0.25">
      <c r="A403" s="4" t="s">
        <v>58</v>
      </c>
      <c r="B403" s="4"/>
      <c r="C403" s="4"/>
      <c r="D403" s="4"/>
      <c r="E403" s="4"/>
      <c r="F403" s="4"/>
      <c r="G403" s="4"/>
      <c r="H403" s="4"/>
      <c r="P403" s="53" t="s">
        <v>6</v>
      </c>
      <c r="Q403" s="2">
        <f>B404</f>
        <v>0</v>
      </c>
      <c r="T403" s="10" t="s">
        <v>76</v>
      </c>
      <c r="U403" s="2" t="e">
        <f>VLOOKUP(B404,'Base Matricule Siège'!$B$12:$H$1000,4,FALSE)</f>
        <v>#N/A</v>
      </c>
      <c r="AA403" t="s">
        <v>215</v>
      </c>
      <c r="AB403" t="s">
        <v>207</v>
      </c>
      <c r="AC403" s="14" t="e">
        <f>IF(AC402="Cadre",0,W428)</f>
        <v>#N/A</v>
      </c>
    </row>
    <row r="404" spans="1:29" hidden="1" outlineLevel="1" x14ac:dyDescent="0.25">
      <c r="A404" s="49" t="s">
        <v>18</v>
      </c>
      <c r="B404" s="113">
        <v>0</v>
      </c>
      <c r="E404" s="49"/>
      <c r="G404" s="57" t="s">
        <v>317</v>
      </c>
      <c r="H404" s="58" t="e">
        <f>VLOOKUP(B404,'Base Matricule Siège'!$B$13:$H$1000,7,FALSE)</f>
        <v>#N/A</v>
      </c>
      <c r="J404" s="10" t="s">
        <v>161</v>
      </c>
      <c r="K404" s="58" t="e">
        <f>IF((VLOOKUP('MASQUE COLLABORATEUR'!B404,'Base Matricule Siège'!$B$13:$E$1000,4,FALSE)&lt;'Base Matricule Siège'!$G$5),(VLOOKUP('MASQUE COLLABORATEUR'!B404,'Base Matricule Siège'!$B$13:$E$1000,4,FALSE)),"non")</f>
        <v>#N/A</v>
      </c>
      <c r="L404" s="114" t="s">
        <v>340</v>
      </c>
      <c r="M404" s="115" t="e">
        <f>IF(K404="non","0",VLOOKUP(B404,'Base Matricule Siège'!$B$13:$S$1000,18,FALSE))</f>
        <v>#N/A</v>
      </c>
      <c r="R404" t="s">
        <v>151</v>
      </c>
      <c r="S404" t="s">
        <v>152</v>
      </c>
      <c r="T404" t="s">
        <v>153</v>
      </c>
      <c r="U404" t="s">
        <v>154</v>
      </c>
      <c r="V404" t="s">
        <v>155</v>
      </c>
      <c r="W404" s="59" t="s">
        <v>156</v>
      </c>
      <c r="AB404" t="s">
        <v>11</v>
      </c>
      <c r="AC404" s="14" t="e">
        <f>W429</f>
        <v>#N/A</v>
      </c>
    </row>
    <row r="405" spans="1:29" ht="15.75" hidden="1" outlineLevel="1" thickBot="1" x14ac:dyDescent="0.3">
      <c r="A405" s="49" t="s">
        <v>59</v>
      </c>
      <c r="B405" s="2" t="e">
        <f>VLOOKUP(B404,'Base Matricule Siège'!$B$13:$C$1000,2,FALSE)</f>
        <v>#N/A</v>
      </c>
      <c r="C405" s="2"/>
      <c r="D405" s="2"/>
      <c r="G405" s="57" t="s">
        <v>158</v>
      </c>
      <c r="H405" s="58" t="e">
        <f>VLOOKUP(B404,'Base Matricule Siège'!$B$13:$G$1000,6,FALSE)</f>
        <v>#N/A</v>
      </c>
      <c r="P405" s="10" t="s">
        <v>142</v>
      </c>
      <c r="Q405" s="10" t="s">
        <v>149</v>
      </c>
      <c r="R405">
        <f>IF(F407=Q405,E407,0)+IF(F408=Q405,E408,0)+IF(F409=Q405,E409,0)+IF(Q405=F410,E410,0)+IF(F411=Q405,E411,0)+IF(F412=Q405,E412,0)</f>
        <v>0</v>
      </c>
      <c r="S405">
        <f>IF(M407=Q405,L407,0)+IF(M408=Q405,L408,0)+IF(M409=Q405,L409,0)+IF(Q405=M410,L410,0)+IF(M411=Q405,L411,0)+IF(M412=Q405,L412,0)</f>
        <v>0</v>
      </c>
      <c r="T405">
        <f>IF(F415=Q405,E415,0)+IF(F416=Q405,E416,0)+IF(F417=Q405,E417,0)+IF(Q405=F418,E418,0)+IF(F419=Q405,E419,0)+IF(F420=Q405,E420,0)</f>
        <v>0</v>
      </c>
      <c r="U405">
        <f>IF(M415=Q405,L415,0)+IF(M416=Q405,L416,0)+IF(M417=Q405,L417,0)+IF(Q405=M418,L418,0)+IF(M419=Q405,L419,0)+IF(M420=Q405,L420,0)</f>
        <v>0</v>
      </c>
      <c r="V405">
        <f>IF(F423=Q405,E423,0)+IF(F424=Q405,E424,0)+IF(F425=Q405,E425,0)+IF(Q405=F426,E426,0)+IF(F427=Q405,E427,0)+IF(F428=Q405,E428,0)</f>
        <v>0</v>
      </c>
      <c r="W405" s="63">
        <f>SUM(R405:V405)</f>
        <v>0</v>
      </c>
      <c r="AB405" t="s">
        <v>208</v>
      </c>
      <c r="AC405" s="14">
        <f>SUM(K423:K429)*2</f>
        <v>0</v>
      </c>
    </row>
    <row r="406" spans="1:29" ht="15.75" hidden="1" outlineLevel="1" thickBot="1" x14ac:dyDescent="0.3">
      <c r="A406" s="64" t="str">
        <f>A373</f>
        <v>Semaine 23</v>
      </c>
      <c r="B406" s="65" t="e">
        <f>IF(H405="Cadre","Demi J. Réalisées","H. Réalisées")</f>
        <v>#N/A</v>
      </c>
      <c r="C406" s="65" t="s">
        <v>141</v>
      </c>
      <c r="D406" s="66" t="e">
        <f>IF(H405="Cadre","CP en Demi J.","CP en jours")</f>
        <v>#N/A</v>
      </c>
      <c r="E406" s="66" t="e">
        <f>IF(H405="Cadre","Abs. En Demi J.","Absence en H.")</f>
        <v>#N/A</v>
      </c>
      <c r="F406" s="67" t="s">
        <v>110</v>
      </c>
      <c r="H406" s="64" t="str">
        <f>H373</f>
        <v>Semaine 24</v>
      </c>
      <c r="I406" s="65" t="e">
        <f>B406</f>
        <v>#N/A</v>
      </c>
      <c r="J406" s="65" t="str">
        <f>C406</f>
        <v>Férié</v>
      </c>
      <c r="K406" s="66" t="e">
        <f>D406</f>
        <v>#N/A</v>
      </c>
      <c r="L406" s="66" t="e">
        <f>E406</f>
        <v>#N/A</v>
      </c>
      <c r="M406" s="67" t="str">
        <f>F406</f>
        <v>Type absence</v>
      </c>
      <c r="Q406" s="10" t="s">
        <v>143</v>
      </c>
      <c r="R406">
        <f>IF(F407=Q406,E407,0)+IF(F408=Q406,E408,0)+IF(F409=Q406,E409,0)+IF(Q406=F410,E410,0)+IF(F412=Q406,E411,0)+IF(F411=Q406,E412,0)</f>
        <v>0</v>
      </c>
      <c r="S406">
        <f>IF(M408=Q406,L408,0)+IF(M409=Q406,L409,0)+IF(M410=Q406,L410,0)+IF(Q406=M411,L411,0)+IF(M412=Q406,L412,0)+IF(M407=Q406,L407,0)</f>
        <v>0</v>
      </c>
      <c r="T406">
        <f>IF(F415=Q406,E415,0)+IF(F416=Q406,E416,0)+IF(F417=Q406,E417,0)+IF(Q406=F418,E418,0)+IF(F419=Q406,E419,0)+IF(F420=Q406,E420,0)</f>
        <v>0</v>
      </c>
      <c r="U406">
        <f>IF(M415=Q406,L415,0)+IF(M416=Q406,L416,0)+IF(M417=Q406,L417,0)+IF(Q406=M418,L418,0)+IF(M419=Q406,L419,0)+IF(M420=Q406,L420,0)</f>
        <v>0</v>
      </c>
      <c r="V406">
        <f>IF(F423=Q406,E423,0)+IF(F424=Q406,E424,0)+IF(F425=Q406,E425,0)+IF(Q406=F426,E426,0)+IF(F427=Q406,E427,0)+IF(F428=Q406,E428,0)</f>
        <v>0</v>
      </c>
      <c r="W406" s="63">
        <f t="shared" ref="W406:W418" si="70">SUM(R406:V406)</f>
        <v>0</v>
      </c>
      <c r="AB406" t="s">
        <v>8</v>
      </c>
      <c r="AC406" s="14"/>
    </row>
    <row r="407" spans="1:29" hidden="1" outlineLevel="1" x14ac:dyDescent="0.25">
      <c r="A407" s="68" t="s">
        <v>103</v>
      </c>
      <c r="B407" s="98"/>
      <c r="C407" s="98"/>
      <c r="D407" s="99"/>
      <c r="E407" s="100"/>
      <c r="F407" s="101"/>
      <c r="H407" s="69" t="s">
        <v>103</v>
      </c>
      <c r="I407" s="95"/>
      <c r="J407" s="95"/>
      <c r="K407" s="106"/>
      <c r="L407" s="105"/>
      <c r="M407" s="101"/>
      <c r="Q407" s="10" t="s">
        <v>144</v>
      </c>
      <c r="R407">
        <f>IF(F409=Q407,E409,0)+IF(F410=Q407,E410,0)+IF(F411=Q407,E411,0)+IF(Q407=F412,E412,0)+IF(F407=Q407,E407,0)+IF(F408=Q407,E408,0)</f>
        <v>0</v>
      </c>
      <c r="S407">
        <f>IF(M409=Q407,L409,0)+IF(M410=Q407,L410,0)+IF(M411=Q407,L411,0)+IF(Q407=M412,L412,0)+IF(M407=Q407,L407,0)+IF(M408=Q407,L408,0)</f>
        <v>0</v>
      </c>
      <c r="T407">
        <f>IF(F415=Q407,E415,0)+IF(F416=Q407,E416,0)+IF(F417=Q407,E417,0)+IF(Q407=F418,E418,0)+IF(F419=Q407,E419,0)+IF(F420=Q407,E420,0)</f>
        <v>0</v>
      </c>
      <c r="U407">
        <f>IF(M415=Q407,L415,0)+IF(M416=Q407,L416,0)+IF(M417=Q407,L417,0)+IF(Q407=M418,L418,0)+IF(M419=Q407,L419,0)+IF(M420=Q407,L420,0)</f>
        <v>0</v>
      </c>
      <c r="V407">
        <f>IF(F423=Q407,E423,0)+IF(F424=Q407,E424,0)+IF(F425=Q407,E425,0)+IF(Q407=F426,E426,0)+IF(F427=Q407,E427,0)+IF(F428=Q407,E428,0)</f>
        <v>0</v>
      </c>
      <c r="W407" s="63">
        <f t="shared" si="70"/>
        <v>0</v>
      </c>
      <c r="AB407" t="s">
        <v>209</v>
      </c>
      <c r="AC407" s="14">
        <f>W407</f>
        <v>0</v>
      </c>
    </row>
    <row r="408" spans="1:29" hidden="1" outlineLevel="1" x14ac:dyDescent="0.25">
      <c r="A408" s="69" t="s">
        <v>104</v>
      </c>
      <c r="B408" s="96"/>
      <c r="C408" s="96"/>
      <c r="D408" s="102"/>
      <c r="E408" s="103"/>
      <c r="F408" s="38"/>
      <c r="H408" s="69" t="s">
        <v>104</v>
      </c>
      <c r="I408" s="96"/>
      <c r="J408" s="96"/>
      <c r="K408" s="102"/>
      <c r="L408" s="103"/>
      <c r="M408" s="38"/>
      <c r="Q408" s="10" t="s">
        <v>145</v>
      </c>
      <c r="R408">
        <f>IF(F410=Q408,E410,0)+IF(F411=Q408,E411,0)+IF(F412=Q408,E412,0)+IF(Q408=F407,E407,0)+IF(F408=Q408,E408,0)+IF(F409=Q408,E409,0)</f>
        <v>0</v>
      </c>
      <c r="S408">
        <f>IF(M410=Q408,L410,0)+IF(M411=Q408,L411,0)+IF(M412=Q408,L412,0)+IF(Q408=M407,L407,0)+IF(M408=Q408,L408,0)+IF(M409=Q408,L409,0)</f>
        <v>0</v>
      </c>
      <c r="T408">
        <f>IF(F415=Q408,$E415,0)+IF(F416=Q408,E416,0)+IF(F417=Q408,E417,0)+IF(Q408=F418,E418,0)+IF(F419=Q408,E419,0)+IF(F420=Q408,E420,0)</f>
        <v>0</v>
      </c>
      <c r="U408">
        <f>IF(M415=Q408,L415,0)+IF(M416=Q408,L416,0)+IF(M417=Q408,L417,0)+IF(Q408=M418,L418,0)+IF(M419=Q408,L419,0)+IF(M420=Q408,L420,0)</f>
        <v>0</v>
      </c>
      <c r="V408">
        <f>IF(F423=Q408,E423,0)+IF(F424=Q408,E424,0)+IF(F425=Q408,E425,0)+IF(Q408=F426,E426,0)+IF(F427=Q408,E427,0)+IF(F428=Q408,E428,0)</f>
        <v>0</v>
      </c>
      <c r="W408" s="63">
        <f t="shared" si="70"/>
        <v>0</v>
      </c>
      <c r="AB408" t="s">
        <v>210</v>
      </c>
      <c r="AC408" s="14">
        <f>SUM(W405:W418)-W407</f>
        <v>0</v>
      </c>
    </row>
    <row r="409" spans="1:29" hidden="1" outlineLevel="1" x14ac:dyDescent="0.25">
      <c r="A409" s="69" t="s">
        <v>105</v>
      </c>
      <c r="B409" s="96"/>
      <c r="C409" s="96"/>
      <c r="D409" s="102"/>
      <c r="E409" s="103"/>
      <c r="F409" s="38"/>
      <c r="H409" s="69" t="s">
        <v>105</v>
      </c>
      <c r="I409" s="96"/>
      <c r="J409" s="96"/>
      <c r="K409" s="102"/>
      <c r="L409" s="103"/>
      <c r="M409" s="38"/>
      <c r="Q409" s="10" t="s">
        <v>212</v>
      </c>
      <c r="R409">
        <f>IF(F411=Q409,E411,0)+IF(F412=Q409,E412,0)+IF(F407=Q409,E407,0)+IF(Q409=F408,E408,0)+IF(F409=Q409,E409,0)+IF(F410=Q409,E410,0)</f>
        <v>0</v>
      </c>
      <c r="S409">
        <f>IF(M410=Q409,L410,0)+IF(M411=Q409,L411,0)+IF(M412=Q409,L412,0)+IF(Q409=M407,L407,0)+IF(M408=Q409,L408,0)+IF(M409=Q409,L409,0)</f>
        <v>0</v>
      </c>
      <c r="T409">
        <f>IF(F415=Q409,E415,0)+IF(F416=Q409,E416,0)+IF(F417=Q409,E417,0)+IF(Q409=F418,E418,0)+IF(F419=Q409,E419,0)+IF(F420=Q409,E420,0)</f>
        <v>0</v>
      </c>
      <c r="U409">
        <f>IF(M415=Q409,L415,0)+IF(M416=Q409,L416,0)+IF(M417=Q409,L417,0)+IF(Q409=M418,L418,0)+IF(M419=Q409,L419,0)+IF(M420=Q409,L420,0)</f>
        <v>0</v>
      </c>
      <c r="V409">
        <f>IF(F423=Q409,E423,0)+IF(F424=Q409,E424,0)+IF(F425=Q409,E425,0)+IF(Q409=F426,E426,0)+IF(F427=Q409,E427,0)+IF(F428=Q409,E428,0)</f>
        <v>0</v>
      </c>
      <c r="W409" s="63">
        <f t="shared" si="70"/>
        <v>0</v>
      </c>
      <c r="AA409" t="s">
        <v>214</v>
      </c>
      <c r="AB409" t="s">
        <v>213</v>
      </c>
      <c r="AC409" s="14" t="e">
        <f>IF(AC402="Cadre",(W409/2),(W409/7))</f>
        <v>#N/A</v>
      </c>
    </row>
    <row r="410" spans="1:29" hidden="1" outlineLevel="1" x14ac:dyDescent="0.25">
      <c r="A410" s="69" t="s">
        <v>106</v>
      </c>
      <c r="B410" s="96"/>
      <c r="C410" s="96"/>
      <c r="D410" s="102"/>
      <c r="E410" s="103"/>
      <c r="F410" s="38"/>
      <c r="H410" s="69" t="s">
        <v>106</v>
      </c>
      <c r="I410" s="96"/>
      <c r="J410" s="96"/>
      <c r="K410" s="102"/>
      <c r="L410" s="103"/>
      <c r="M410" s="38"/>
      <c r="Q410" s="10" t="s">
        <v>146</v>
      </c>
      <c r="R410">
        <f>IF(F412=Q410,E412,0)+IF(F407=Q410,E407,0)+IF(F408=Q410,E408,0)+IF(Q410=F409,E409,0)+IF(F410=Q410,E410,0)+IF(F411=Q410,E411,0)</f>
        <v>0</v>
      </c>
      <c r="S410">
        <f>IF(M410=Q410,L410,0)+IF(M411=Q410,L411,0)+IF(M412=Q410,L412,0)+IF(Q410=M407,$L$11,0)+IF(M408=Q410,L408,0)+IF(M409=Q410,L409,0)</f>
        <v>0</v>
      </c>
      <c r="T410">
        <f>IF(F415=Q410,E415,0)+IF(F416=Q410,E416,0)+IF(F417=Q410,E417,0)+IF(Q410=F418,E418,0)+IF(F419=Q410,E419,0)+IF(F420=Q410,E420,0)</f>
        <v>0</v>
      </c>
      <c r="U410">
        <f>IF(M415=Q410,L415,0)+IF(M416=Q410,L416,0)+IF(M417=Q410,L417,0)+IF(Q410=M418,L418,0)+IF(M419=Q410,L419,0)+IF(M420=Q410,L420,0)</f>
        <v>0</v>
      </c>
      <c r="V410">
        <f>IF(F423=Q410,E423,0)+IF(F424=Q410,E424,0)+IF(F425=Q410,E425,0)+IF(Q410=F426,E426,0)+IF(F427=Q410,E427,0)+IF(F428=Q410,E428,0)</f>
        <v>0</v>
      </c>
      <c r="W410" s="63">
        <f t="shared" si="70"/>
        <v>0</v>
      </c>
      <c r="AA410" t="s">
        <v>216</v>
      </c>
      <c r="AB410" t="s">
        <v>217</v>
      </c>
      <c r="AC410" s="14" t="e">
        <f>W422+W423</f>
        <v>#N/A</v>
      </c>
    </row>
    <row r="411" spans="1:29" hidden="1" outlineLevel="1" x14ac:dyDescent="0.25">
      <c r="A411" s="69" t="s">
        <v>107</v>
      </c>
      <c r="B411" s="96"/>
      <c r="C411" s="96"/>
      <c r="D411" s="102"/>
      <c r="E411" s="103"/>
      <c r="F411" s="38"/>
      <c r="H411" s="69" t="s">
        <v>107</v>
      </c>
      <c r="I411" s="96"/>
      <c r="J411" s="96"/>
      <c r="K411" s="102"/>
      <c r="L411" s="103"/>
      <c r="M411" s="38"/>
      <c r="Q411" s="10" t="s">
        <v>499</v>
      </c>
      <c r="R411">
        <f>IF(F407=Q411,E407,0)+IF(F408=Q411,E408,0)+IF(F409=Q411,E409,0)+IF(Q411=F410,E410,0)+IF(F411=Q411,E411,0)+IF(F412=Q411,E412,0)</f>
        <v>0</v>
      </c>
      <c r="S411">
        <f>IF(M410=Q411,L410,0)+IF(M411=Q411,L411,0)+IF(M412=Q411,L412,0)+IF(Q411=M407,L407,0)+IF(M408=Q411,L408,0)+IF(M409=Q411,L409,0)</f>
        <v>0</v>
      </c>
      <c r="T411">
        <f>IF(F415=Q411,E415,0)+IF(F416=Q411,E416,0)+IF(F417=Q411,E417,0)+IF(Q411=F418,E418,0)+IF(F419=Q411,E419,0)+IF(F420=Q411,E420,0)</f>
        <v>0</v>
      </c>
      <c r="U411">
        <f>IF(M415=Q411,L415,0)+IF(M416=Q411,L416,0)+IF(M417=Q411,L417,0)+IF(Q411=M418,L418,0)+IF(M419=Q411,L419,0)+IF(M420=Q411,L420,0)</f>
        <v>0</v>
      </c>
      <c r="V411">
        <f>IF(F423=Q411,E423,0)+IF(F424=Q411,E424,0)+IF(F425=Q411,E425,0)+IF(Q411=F426,E426,0)+IF(F427=Q411,E427,0)+IF(F428=Q411,E428,0)</f>
        <v>0</v>
      </c>
      <c r="W411" s="63">
        <f t="shared" si="70"/>
        <v>0</v>
      </c>
      <c r="AA411" t="s">
        <v>218</v>
      </c>
      <c r="AB411" t="s">
        <v>219</v>
      </c>
      <c r="AC411" s="14" t="e">
        <f>W421</f>
        <v>#N/A</v>
      </c>
    </row>
    <row r="412" spans="1:29" hidden="1" outlineLevel="1" x14ac:dyDescent="0.25">
      <c r="A412" s="69" t="s">
        <v>108</v>
      </c>
      <c r="B412" s="96"/>
      <c r="C412" s="96"/>
      <c r="D412" s="102"/>
      <c r="E412" s="103"/>
      <c r="F412" s="38"/>
      <c r="H412" s="69" t="s">
        <v>108</v>
      </c>
      <c r="I412" s="96"/>
      <c r="J412" s="96"/>
      <c r="K412" s="102"/>
      <c r="L412" s="103"/>
      <c r="M412" s="38"/>
      <c r="Q412" s="10" t="s">
        <v>147</v>
      </c>
      <c r="R412">
        <f>IF(F408=Q412,E408,0)+IF(F409=Q412,E409,0)+IF(F410=Q412,E410,0)+IF(Q412=F411,E411,0)+IF(F412=Q412,E412,0)+IF(F407=Q412,E407,0)</f>
        <v>0</v>
      </c>
      <c r="S412">
        <f>IF(M410=Q412,L410,0)+IF(M411=Q412,L411,0)+IF(M412=Q412,L412,0)+IF(Q412=M407,L407,0)+IF(M408=Q412,L408,0)+IF(M409=Q412,L409,0)</f>
        <v>0</v>
      </c>
      <c r="T412">
        <f>IF(F415=Q412,E415,0)+IF(F416=Q412,E416,0)+IF(F417=Q412,E417,0)+IF(Q412=F418,E418,0)+IF(F419=Q412,E419,0)+IF(F420=Q412,E420,0)</f>
        <v>0</v>
      </c>
      <c r="U412">
        <f>IF(M415=Q412,L415,0)+IF(M416=Q412,L416,0)+IF(M417=Q412,L417,0)+IF(Q412=M418,L418,0)+IF(M419=Q412,L419,0)+IF(M420=Q412,L420,0)</f>
        <v>0</v>
      </c>
      <c r="V412">
        <f>IF(F423=Q412,E423,0)+IF(F424=Q412,E424,0)+IF(F425=Q412,E425,0)+IF(Q412=F426,E426,0)+IF(F427=Q412,E427,0)+IF(F428=Q412,E428,0)</f>
        <v>0</v>
      </c>
      <c r="W412" s="63">
        <f t="shared" si="70"/>
        <v>0</v>
      </c>
      <c r="AA412" t="s">
        <v>166</v>
      </c>
      <c r="AB412" t="s">
        <v>220</v>
      </c>
      <c r="AC412" s="14" t="e">
        <f>W426</f>
        <v>#N/A</v>
      </c>
    </row>
    <row r="413" spans="1:29" ht="15.75" hidden="1" outlineLevel="1" thickBot="1" x14ac:dyDescent="0.3">
      <c r="A413" s="70" t="s">
        <v>109</v>
      </c>
      <c r="B413" s="97"/>
      <c r="C413" s="97"/>
      <c r="D413" s="71"/>
      <c r="E413" s="104"/>
      <c r="F413" s="38"/>
      <c r="H413" s="70" t="s">
        <v>109</v>
      </c>
      <c r="I413" s="97"/>
      <c r="J413" s="97"/>
      <c r="K413" s="71"/>
      <c r="L413" s="104"/>
      <c r="M413" s="38"/>
      <c r="Q413" s="10" t="s">
        <v>500</v>
      </c>
      <c r="R413">
        <f>IF(F409=Q413,E409,0)+IF(F410=Q413,E410,0)+IF(F411=Q413,E411,0)+IF(Q413=F412,E412,0)+IF(F407=Q413,E407,0)+IF(F408=Q413,E408,0)</f>
        <v>0</v>
      </c>
      <c r="S413">
        <f>IF(M410=Q413,L410,0)+IF(M411=Q413,L411,0)+IF(M412=Q413,L412,0)+IF(Q413=M407,L407,0)+IF(M408=Q413,L408,0)+IF(M409=Q413,L409,0)</f>
        <v>0</v>
      </c>
      <c r="T413">
        <f>IF(F415=Q413,E415,0)+IF(F416=Q413,E416,0)+IF(F417=Q413,E417,0)+IF(Q413=F418,E418,0)+IF(F419=Q413,E419,0)+IF(F420=Q413,E420,0)</f>
        <v>0</v>
      </c>
      <c r="U413">
        <f>IF(M415=Q413,L415,0)+IF(M416=Q413,L416,0)+IF(M417=Q413,L417,0)+IF(Q413=M418,L418,0)+IF(M419=Q413,L419,0)+IF(M420=Q413,L420,0)</f>
        <v>0</v>
      </c>
      <c r="V413">
        <f>IF(F423=Q413,E423,0)+IF(F424=Q413,E424,0)+IF(F425=Q413,E425,0)+IF(Q413=F426,E426,0)+IF(F427=Q413,E427,0)+IF(F428=Q413,E428,0)</f>
        <v>0</v>
      </c>
      <c r="W413" s="63">
        <f t="shared" si="70"/>
        <v>0</v>
      </c>
      <c r="AA413" t="s">
        <v>222</v>
      </c>
      <c r="AB413" t="s">
        <v>220</v>
      </c>
      <c r="AC413" s="14" t="e">
        <f>W427</f>
        <v>#N/A</v>
      </c>
    </row>
    <row r="414" spans="1:29" ht="15.75" hidden="1" outlineLevel="1" thickBot="1" x14ac:dyDescent="0.3">
      <c r="A414" s="64" t="str">
        <f>A381</f>
        <v>Ne pas saisir</v>
      </c>
      <c r="B414" s="65" t="e">
        <f>B406</f>
        <v>#N/A</v>
      </c>
      <c r="C414" s="65" t="str">
        <f>C406</f>
        <v>Férié</v>
      </c>
      <c r="D414" s="66" t="e">
        <f>D406</f>
        <v>#N/A</v>
      </c>
      <c r="E414" s="66" t="e">
        <f>E406</f>
        <v>#N/A</v>
      </c>
      <c r="F414" s="67" t="str">
        <f>F406</f>
        <v>Type absence</v>
      </c>
      <c r="H414" s="64" t="str">
        <f>H381</f>
        <v>Ne pas saisir</v>
      </c>
      <c r="I414" s="65" t="e">
        <f>B406</f>
        <v>#N/A</v>
      </c>
      <c r="J414" s="65" t="str">
        <f>C406</f>
        <v>Férié</v>
      </c>
      <c r="K414" s="66" t="e">
        <f>D406</f>
        <v>#N/A</v>
      </c>
      <c r="L414" s="66" t="e">
        <f>E406</f>
        <v>#N/A</v>
      </c>
      <c r="M414" s="67" t="str">
        <f>F406</f>
        <v>Type absence</v>
      </c>
      <c r="Q414" s="10" t="s">
        <v>148</v>
      </c>
      <c r="R414">
        <f>IF(F410=Q414,E410,0)+IF(F411=Q414,E411,0)+IF(F412=Q414,E412,0)+IF(Q414=F407,E407,0)+IF(F408=Q414,E408,0)+IF(F409=Q414,E409,0)</f>
        <v>0</v>
      </c>
      <c r="S414">
        <f>IF(M410=Q414,L410,0)+IF(M411=Q414,L411,0)+IF(M412=Q414,L412,0)+IF(Q414=M407,L407,0)+IF(M408=Q414,L408,0)+IF(M409=Q414,L409,0)</f>
        <v>0</v>
      </c>
      <c r="T414">
        <f>IF(F415=Q414,E415,0)+IF(F416=Q414,E416,0)+IF(F417=Q414,E417,0)+IF(Q414=F418,E418,0)+IF(F419=Q414,E419,0)+IF(F420=Q414,E420,0)</f>
        <v>0</v>
      </c>
      <c r="U414">
        <f>IF(M415=Q414,L415,0)+IF(M416=Q414,L416,0)+IF(M417=Q414,L417,0)+IF(Q414=M418,L418,0)+IF(M419=Q414,L419,0)+IF(M420=Q414,L420,0)</f>
        <v>0</v>
      </c>
      <c r="V414">
        <f>IF(F423=Q414,E423,0)+IF(F424=Q414,E424,0)+IF(F425=Q414,E425,0)+IF(Q414=F426,E426,0)+IF(F427=Q414,E427,0)+IF(F428=Q414,E428,0)</f>
        <v>0</v>
      </c>
      <c r="W414" s="63">
        <f t="shared" si="70"/>
        <v>0</v>
      </c>
      <c r="AA414" t="s">
        <v>223</v>
      </c>
      <c r="AB414" t="s">
        <v>224</v>
      </c>
      <c r="AC414" s="14" t="e">
        <f>W425</f>
        <v>#N/A</v>
      </c>
    </row>
    <row r="415" spans="1:29" hidden="1" outlineLevel="1" x14ac:dyDescent="0.25">
      <c r="A415" s="69" t="s">
        <v>103</v>
      </c>
      <c r="B415" s="95"/>
      <c r="C415" s="95"/>
      <c r="D415" s="106"/>
      <c r="E415" s="105"/>
      <c r="F415" s="101"/>
      <c r="H415" s="69" t="s">
        <v>103</v>
      </c>
      <c r="I415" s="95"/>
      <c r="J415" s="95"/>
      <c r="K415" s="106"/>
      <c r="L415" s="105"/>
      <c r="M415" s="101"/>
      <c r="Q415" s="10" t="s">
        <v>150</v>
      </c>
      <c r="R415">
        <f>IF(F411=Q415,E411,0)+IF(F412=Q415,E412,0)+IF(F407=Q415,E407,0)+IF(Q415=F408,E408,0)+IF(F409=Q415,E409,0)+IF(F410=Q415,E410,0)</f>
        <v>0</v>
      </c>
      <c r="S415">
        <f>IF(M410=Q415,L410,0)+IF(M411=Q415,L411,0)+IF(M412=Q415,L412,0)+IF(Q415=M407,L407,0)+IF(M408=Q415,L408,0)+IF(M409=Q415,L409,0)</f>
        <v>0</v>
      </c>
      <c r="T415">
        <f>IF(F415=Q415,E415,0)+IF(F416=Q415,E416,0)+IF(F417=Q415,E417,0)+IF(Q415=F418,E418,0)+IF(F419=Q415,E419,0)+IF(F420=Q415,E420,0)</f>
        <v>0</v>
      </c>
      <c r="U415">
        <f>IF(M415=Q415,L415,0)+IF(M416=Q415,L416,0)+IF(M417=Q415,L417,0)+IF(Q415=M418,L418,0)+IF(M419=Q415,L419,0)+IF(M420=Q415,L420,0)</f>
        <v>0</v>
      </c>
      <c r="V415">
        <f>IF(F423=Q415,E423,0)+IF(F424=Q415,E424,0)+IF(F425=Q415,E425,0)+IF(Q415=F426,E426,0)+IF(F427=Q415,E427,0)+IF(F428=Q415,E428,0)</f>
        <v>0</v>
      </c>
      <c r="W415" s="63">
        <f t="shared" si="70"/>
        <v>0</v>
      </c>
      <c r="AB415" t="s">
        <v>267</v>
      </c>
      <c r="AC415">
        <f>(SUM(B407:B413))</f>
        <v>0</v>
      </c>
    </row>
    <row r="416" spans="1:29" hidden="1" outlineLevel="1" x14ac:dyDescent="0.25">
      <c r="A416" s="69" t="s">
        <v>104</v>
      </c>
      <c r="B416" s="96"/>
      <c r="C416" s="96"/>
      <c r="D416" s="102"/>
      <c r="E416" s="103"/>
      <c r="F416" s="38"/>
      <c r="H416" s="69" t="s">
        <v>104</v>
      </c>
      <c r="I416" s="96"/>
      <c r="J416" s="96"/>
      <c r="K416" s="102"/>
      <c r="L416" s="103"/>
      <c r="M416" s="38"/>
      <c r="Q416" s="10" t="s">
        <v>502</v>
      </c>
      <c r="R416">
        <f>IF(F412=Q416,E412,0)+IF(F407=Q416,E407,0)+IF(F408=Q416,E408,0)+IF(Q416=F409,E409,0)+IF(F410=Q416,E410,0)+IF(F411=Q416,E411,0)</f>
        <v>0</v>
      </c>
      <c r="S416">
        <f>IF(M410=Q416,L410,0)+IF(M411=Q416,L411,0)+IF(M412=Q416,L412,0)+IF(Q416=M407,L407,0)+IF(M408=Q416,L408,0)+IF(M409=Q416,L409,0)</f>
        <v>0</v>
      </c>
      <c r="T416">
        <f>IF(F415=Q416,E415,0)+IF(F416=Q416,E416,0)+IF(F417=Q416,E417,0)+IF(Q416=F418,E418,0)+IF(F419=Q416,E419,0)+IF(F420=Q416,E420,0)</f>
        <v>0</v>
      </c>
      <c r="U416">
        <f>IF(M415=Q416,L415,0)+IF(M416=Q416,L416,0)+IF(M417=Q416,L417,0)+IF(Q416=M418,L418,0)+IF(M419=Q416,L419,0)+IF(M420=Q416,L420,0)</f>
        <v>0</v>
      </c>
      <c r="V416">
        <f>IF(F423=Q416,E423,0)+IF(F424=Q416,E424,0)+IF(F425=Q416,E425,0)+IF(Q416=F426,E426,0)+IF(F427=Q416,E427,0)+IF(F428=Q416,E428,0)</f>
        <v>0</v>
      </c>
      <c r="W416" s="63">
        <f t="shared" si="70"/>
        <v>0</v>
      </c>
      <c r="AB416" t="s">
        <v>268</v>
      </c>
      <c r="AC416">
        <f>(SUM(I407:I413))</f>
        <v>0</v>
      </c>
    </row>
    <row r="417" spans="1:29" hidden="1" outlineLevel="1" x14ac:dyDescent="0.25">
      <c r="A417" s="69" t="s">
        <v>105</v>
      </c>
      <c r="B417" s="96"/>
      <c r="C417" s="96"/>
      <c r="D417" s="102"/>
      <c r="E417" s="103"/>
      <c r="F417" s="38"/>
      <c r="H417" s="69" t="s">
        <v>105</v>
      </c>
      <c r="I417" s="96"/>
      <c r="J417" s="96"/>
      <c r="K417" s="102"/>
      <c r="L417" s="103"/>
      <c r="M417" s="38"/>
      <c r="Q417" s="10" t="s">
        <v>498</v>
      </c>
      <c r="R417">
        <f>IF(F407=Q417,E407,0)+IF(F408=Q417,E408,0)+IF(F409=Q417,E409,0)+IF(Q417=F410,E410,0)+IF(F411=Q417,E411,0)+IF(F412=Q417,E412,0)</f>
        <v>0</v>
      </c>
      <c r="S417">
        <f>IF(M410=Q417,L410,0)+IF(M411=Q417,L411,0)+IF(M412=Q417,L412,0)+IF(Q417=M407,L407,0)+IF(M408=Q417,L408,0)+IF(M409=Q417,L409,0)</f>
        <v>0</v>
      </c>
      <c r="T417">
        <f>IF(F415=Q417,E415,0)+IF(F416=Q417,E416,0)+IF(F417=Q417,E417,0)+IF(Q417=F418,E418,0)+IF(F419=Q417,E419,0)+IF(F420=Q417,E420,0)</f>
        <v>0</v>
      </c>
      <c r="U417">
        <f>IF(M415=Q417,L415,0)+IF(M416=Q417,L416,0)+IF(M417=Q417,L417,0)+IF(Q417=M418,L418,0)+IF(M419=Q417,L419,0)+IF(M420=Q417,L420,0)</f>
        <v>0</v>
      </c>
      <c r="V417">
        <f>IF(F423=Q417,E423,0)+IF(F424=Q417,E424,0)+IF(F425=Q417,E425,0)+IF(Q417=F426,E426,0)+IF(F427=Q417,E427,0)+IF(F428=Q417,E428,0)</f>
        <v>0</v>
      </c>
      <c r="W417" s="63">
        <f t="shared" si="70"/>
        <v>0</v>
      </c>
      <c r="AB417" t="s">
        <v>269</v>
      </c>
      <c r="AC417">
        <f>(SUM(B415:B421))</f>
        <v>0</v>
      </c>
    </row>
    <row r="418" spans="1:29" hidden="1" outlineLevel="1" x14ac:dyDescent="0.25">
      <c r="A418" s="69" t="s">
        <v>106</v>
      </c>
      <c r="B418" s="96"/>
      <c r="C418" s="96"/>
      <c r="D418" s="102"/>
      <c r="E418" s="103"/>
      <c r="F418" s="38"/>
      <c r="H418" s="69" t="s">
        <v>106</v>
      </c>
      <c r="I418" s="96"/>
      <c r="J418" s="96"/>
      <c r="K418" s="102"/>
      <c r="L418" s="103"/>
      <c r="M418" s="38"/>
      <c r="P418" s="72"/>
      <c r="Q418" s="73" t="s">
        <v>501</v>
      </c>
      <c r="R418" s="72">
        <f>IF(F408=Q418,E408,0)+IF(F409=Q418,E409,0)+IF(F410=Q418,E410,0)+IF(Q418=F411,E411,0)+IF(F412=Q418,E412,0)+IF(F407=Q418,E407,0)</f>
        <v>0</v>
      </c>
      <c r="S418" s="72">
        <f>IF(M410=Q418,L410,0)+IF(M411=Q418,L411,0)+IF(M412=Q418,L412,0)+IF(Q418=M407,L407,0)+IF(M408=Q418,L408,0)+IF(M409=Q418,L409,0)</f>
        <v>0</v>
      </c>
      <c r="T418" s="72">
        <f>IF(F415=Q418,E415,0)+IF(F416=Q418,E416,0)+IF(F417=Q418,E417,0)+IF(Q418=F418,E418,0)+IF(F419=Q418,E419,0)+IF(F420=Q418,E420,0)</f>
        <v>0</v>
      </c>
      <c r="U418" s="72">
        <f>IF(M415=Q418,L415,0)+IF(M416=Q418,L416,0)+IF(M417=Q418,L417,0)+IF(Q418=M418,L418,0)+IF(M419=Q418,L419,0)+IF(M420=Q418,L420,0)</f>
        <v>0</v>
      </c>
      <c r="V418" s="72">
        <f>IF(F423=Q418,E423,0)+IF(F424=Q418,E424,0)+IF(F425=Q418,E425,0)+IF(Q418=F426,E426,0)+IF(F427=Q418,E427,0)+IF(F428=Q418,E428,0)</f>
        <v>0</v>
      </c>
      <c r="W418" s="74">
        <f t="shared" si="70"/>
        <v>0</v>
      </c>
      <c r="AB418" t="s">
        <v>270</v>
      </c>
      <c r="AC418">
        <f>(SUM(I415:I421))</f>
        <v>0</v>
      </c>
    </row>
    <row r="419" spans="1:29" hidden="1" outlineLevel="1" x14ac:dyDescent="0.25">
      <c r="A419" s="69" t="s">
        <v>107</v>
      </c>
      <c r="B419" s="96"/>
      <c r="C419" s="96"/>
      <c r="D419" s="102"/>
      <c r="E419" s="103"/>
      <c r="F419" s="38"/>
      <c r="H419" s="69" t="s">
        <v>107</v>
      </c>
      <c r="I419" s="96"/>
      <c r="J419" s="96"/>
      <c r="K419" s="102"/>
      <c r="L419" s="103"/>
      <c r="M419" s="38"/>
      <c r="Q419" s="75" t="s">
        <v>169</v>
      </c>
      <c r="R419" s="2" t="e">
        <f>IF(M404="Règlement HC",K404*10%,0)</f>
        <v>#N/A</v>
      </c>
      <c r="S419" s="2" t="e">
        <f>IF(M404="Règlement HC",K404*10%,0)</f>
        <v>#N/A</v>
      </c>
      <c r="T419" s="2" t="e">
        <f>IF(M404="Règlement HC",K404*10%,0)</f>
        <v>#N/A</v>
      </c>
      <c r="U419" s="2" t="e">
        <f>IF(M404="Règlement HC",K404*10%,0)</f>
        <v>#N/A</v>
      </c>
      <c r="V419" s="2" t="e">
        <f>IF(M404="Règlement HC",K404*10%,0)</f>
        <v>#N/A</v>
      </c>
      <c r="W419" s="76"/>
      <c r="AB419" t="s">
        <v>271</v>
      </c>
      <c r="AC419">
        <f>(SUM(B423:B429))</f>
        <v>0</v>
      </c>
    </row>
    <row r="420" spans="1:29" hidden="1" outlineLevel="1" x14ac:dyDescent="0.25">
      <c r="A420" s="69" t="s">
        <v>108</v>
      </c>
      <c r="B420" s="96"/>
      <c r="C420" s="96"/>
      <c r="D420" s="102"/>
      <c r="E420" s="103"/>
      <c r="F420" s="38"/>
      <c r="H420" s="69" t="s">
        <v>108</v>
      </c>
      <c r="I420" s="96"/>
      <c r="J420" s="96"/>
      <c r="K420" s="102"/>
      <c r="L420" s="103"/>
      <c r="M420" s="38"/>
      <c r="Q420" s="75" t="s">
        <v>175</v>
      </c>
      <c r="R420" s="2" t="e">
        <f>IF(M404="Règlement HC",SUM(B407:B413)-K404,0)</f>
        <v>#N/A</v>
      </c>
      <c r="S420" s="2" t="e">
        <f>IF(M404="Règlement HC",SUM(I407:I413)-K404,0)</f>
        <v>#N/A</v>
      </c>
      <c r="T420" s="2" t="e">
        <f>IF(M404="Règlement HC",SUM(B415:B421)-K404,0)</f>
        <v>#N/A</v>
      </c>
      <c r="U420" s="2" t="e">
        <f>IF(M404="Règlement HC",SUM(I415:I421)-K404,0)</f>
        <v>#N/A</v>
      </c>
      <c r="V420" s="2" t="e">
        <f>IF(M404="Règlement HC",SUM(B423:B429)-K404,0)</f>
        <v>#N/A</v>
      </c>
      <c r="W420" s="63" t="e">
        <f>SUM((IF(R420&gt;0,R420,0)+(IF(S420&gt;0,S420,0)+(IF(T420&gt;0,T420,0)+(IF(U420&gt;0,U420,0)+(IF(V420&gt;0,V420,0)))))))</f>
        <v>#N/A</v>
      </c>
      <c r="AA420" t="s">
        <v>313</v>
      </c>
      <c r="AB420" t="s">
        <v>314</v>
      </c>
      <c r="AC420" t="e">
        <f>W424</f>
        <v>#N/A</v>
      </c>
    </row>
    <row r="421" spans="1:29" ht="15.75" hidden="1" outlineLevel="1" thickBot="1" x14ac:dyDescent="0.3">
      <c r="A421" s="70" t="s">
        <v>109</v>
      </c>
      <c r="B421" s="97"/>
      <c r="C421" s="97"/>
      <c r="D421" s="71"/>
      <c r="E421" s="104"/>
      <c r="F421" s="38"/>
      <c r="H421" s="70" t="s">
        <v>109</v>
      </c>
      <c r="I421" s="97"/>
      <c r="J421" s="97"/>
      <c r="K421" s="71"/>
      <c r="L421" s="104"/>
      <c r="M421" s="39"/>
      <c r="P421" t="s">
        <v>170</v>
      </c>
      <c r="Q421" s="10" t="s">
        <v>162</v>
      </c>
      <c r="R421" t="e">
        <f>IF(R420&gt;=R419,R419,R420)</f>
        <v>#N/A</v>
      </c>
      <c r="S421" t="e">
        <f>IF(S420&gt;=S419,S419,S420)</f>
        <v>#N/A</v>
      </c>
      <c r="T421" t="e">
        <f>IF(T420&gt;=T419,T419,T420)</f>
        <v>#N/A</v>
      </c>
      <c r="U421" t="e">
        <f>IF(U420&gt;=U419,U419,U420)</f>
        <v>#N/A</v>
      </c>
      <c r="V421" t="e">
        <f>IF(V420&gt;=V419,V419,V420)</f>
        <v>#N/A</v>
      </c>
      <c r="W421" s="63" t="e">
        <f>SUM((IF(R421&gt;0,R421,0)+(IF(S421&gt;0,S421,0)+(IF(T421&gt;0,T421,0)+(IF(U421&gt;0,U421,0)+(IF(V421&gt;0,V421,0)))))))</f>
        <v>#N/A</v>
      </c>
    </row>
    <row r="422" spans="1:29" ht="15.75" hidden="1" outlineLevel="1" thickBot="1" x14ac:dyDescent="0.3">
      <c r="A422" s="64" t="str">
        <f>A389</f>
        <v>Ne pas saisir</v>
      </c>
      <c r="B422" s="65" t="e">
        <f>B406</f>
        <v>#N/A</v>
      </c>
      <c r="C422" s="65" t="str">
        <f>C406</f>
        <v>Férié</v>
      </c>
      <c r="D422" s="66" t="e">
        <f>D406</f>
        <v>#N/A</v>
      </c>
      <c r="E422" s="66" t="e">
        <f>E406</f>
        <v>#N/A</v>
      </c>
      <c r="F422" s="67" t="str">
        <f>F406</f>
        <v>Type absence</v>
      </c>
      <c r="H422" s="77" t="s">
        <v>136</v>
      </c>
      <c r="I422" s="78" t="e">
        <f>B406</f>
        <v>#N/A</v>
      </c>
      <c r="J422" s="78" t="str">
        <f>C406</f>
        <v>Férié</v>
      </c>
      <c r="K422" s="79" t="e">
        <f>D406</f>
        <v>#N/A</v>
      </c>
      <c r="L422" s="80" t="e">
        <f>E406</f>
        <v>#N/A</v>
      </c>
      <c r="M422" s="49"/>
      <c r="P422" t="s">
        <v>170</v>
      </c>
      <c r="Q422" s="10" t="s">
        <v>163</v>
      </c>
      <c r="R422" t="e">
        <f>R420-R421</f>
        <v>#N/A</v>
      </c>
      <c r="S422" t="e">
        <f>S420-S421</f>
        <v>#N/A</v>
      </c>
      <c r="T422" t="e">
        <f>T420-T421</f>
        <v>#N/A</v>
      </c>
      <c r="U422" t="e">
        <f>U420-U421</f>
        <v>#N/A</v>
      </c>
      <c r="V422" t="e">
        <f>V420-V421</f>
        <v>#N/A</v>
      </c>
      <c r="W422" s="63" t="e">
        <f t="shared" ref="W422:W427" si="71">SUM(R422:V422)</f>
        <v>#N/A</v>
      </c>
    </row>
    <row r="423" spans="1:29" hidden="1" outlineLevel="1" x14ac:dyDescent="0.25">
      <c r="A423" s="69" t="s">
        <v>103</v>
      </c>
      <c r="B423" s="95"/>
      <c r="C423" s="95"/>
      <c r="D423" s="106"/>
      <c r="E423" s="105"/>
      <c r="F423" s="101"/>
      <c r="H423" s="81" t="s">
        <v>103</v>
      </c>
      <c r="I423" s="82">
        <f t="shared" ref="I423:I428" si="72">B407+I407+B415+I415+B423</f>
        <v>0</v>
      </c>
      <c r="J423" s="82">
        <f t="shared" ref="J423:J428" si="73">C407+J407+C415+J415+C423</f>
        <v>0</v>
      </c>
      <c r="K423" s="83">
        <f t="shared" ref="K423:K428" si="74">D407+K407+D415+K415+D423</f>
        <v>0</v>
      </c>
      <c r="L423" s="84">
        <f t="shared" ref="L423:L428" si="75">E407+L407+E415+L415+E423</f>
        <v>0</v>
      </c>
      <c r="M423" s="303" t="s">
        <v>177</v>
      </c>
      <c r="N423" s="304"/>
      <c r="O423" s="304"/>
      <c r="Q423" s="10" t="s">
        <v>164</v>
      </c>
      <c r="R423" t="e">
        <f>IF(AND(K404="non",(SUM(B407:B413)&gt;U403)),SUM(B407:B413)-U403,0)</f>
        <v>#N/A</v>
      </c>
      <c r="S423" t="e">
        <f>IF(AND(K404="non",(SUM(I407:I413)&gt;U403)),SUM(I407:I413)-U403,0)</f>
        <v>#N/A</v>
      </c>
      <c r="T423" t="e">
        <f>IF(AND(K404="non",(SUM(B415:B421)&gt;U403)),SUM(B415:B421)-U403,0)</f>
        <v>#N/A</v>
      </c>
      <c r="U423" t="e">
        <f>IF(AND(K404="non",(SUM(I415:I421)&gt;U403)),SUM(I415:I421)-U403,0)</f>
        <v>#N/A</v>
      </c>
      <c r="V423" t="e">
        <f>IF(AND(K404="non",(SUM(B423:B429)&gt;U403)),SUM(B423:B429)-U403,0)</f>
        <v>#N/A</v>
      </c>
      <c r="W423" s="63" t="e">
        <f t="shared" si="71"/>
        <v>#N/A</v>
      </c>
    </row>
    <row r="424" spans="1:29" hidden="1" outlineLevel="1" x14ac:dyDescent="0.25">
      <c r="A424" s="69" t="s">
        <v>104</v>
      </c>
      <c r="B424" s="96"/>
      <c r="C424" s="96"/>
      <c r="D424" s="102"/>
      <c r="E424" s="103"/>
      <c r="F424" s="38"/>
      <c r="H424" s="81" t="s">
        <v>104</v>
      </c>
      <c r="I424" s="88">
        <f t="shared" si="72"/>
        <v>0</v>
      </c>
      <c r="J424" s="88">
        <f t="shared" si="73"/>
        <v>0</v>
      </c>
      <c r="K424" s="89">
        <f t="shared" si="74"/>
        <v>0</v>
      </c>
      <c r="L424" s="90">
        <f t="shared" si="75"/>
        <v>0</v>
      </c>
      <c r="M424" s="49"/>
      <c r="P424" t="s">
        <v>167</v>
      </c>
      <c r="Q424" s="10" t="s">
        <v>165</v>
      </c>
      <c r="R424" t="e">
        <f>IF(H405="Cadre",0,SUM(C407:C413))</f>
        <v>#N/A</v>
      </c>
      <c r="S424" t="e">
        <f>IF(H405="Cadre",0,SUM(J407:J413))</f>
        <v>#N/A</v>
      </c>
      <c r="T424" t="e">
        <f>IF(H405="Cadre",0,SUM(C415:C421))</f>
        <v>#N/A</v>
      </c>
      <c r="U424" t="e">
        <f>IF(H405="Cadre",0,SUM(J415:J421))</f>
        <v>#N/A</v>
      </c>
      <c r="V424" t="e">
        <f>IF(H405="Cadre",0,SUM(C423:C429))</f>
        <v>#N/A</v>
      </c>
      <c r="W424" s="63" t="e">
        <f t="shared" si="71"/>
        <v>#N/A</v>
      </c>
    </row>
    <row r="425" spans="1:29" hidden="1" outlineLevel="1" x14ac:dyDescent="0.25">
      <c r="A425" s="69" t="s">
        <v>105</v>
      </c>
      <c r="B425" s="96"/>
      <c r="C425" s="96"/>
      <c r="D425" s="102"/>
      <c r="E425" s="103"/>
      <c r="F425" s="38"/>
      <c r="H425" s="81" t="s">
        <v>105</v>
      </c>
      <c r="I425" s="88">
        <f t="shared" si="72"/>
        <v>0</v>
      </c>
      <c r="J425" s="88">
        <f t="shared" si="73"/>
        <v>0</v>
      </c>
      <c r="K425" s="89">
        <f t="shared" si="74"/>
        <v>0</v>
      </c>
      <c r="L425" s="90">
        <f t="shared" si="75"/>
        <v>0</v>
      </c>
      <c r="M425" s="49"/>
      <c r="P425" t="s">
        <v>168</v>
      </c>
      <c r="Q425" s="10" t="s">
        <v>165</v>
      </c>
      <c r="R425" t="e">
        <f>IF(H405="Cadre",((SUM(C407:C413)/2)*5),0)</f>
        <v>#N/A</v>
      </c>
      <c r="S425" t="e">
        <f>IF(H405="Cadre",(SUM(J407:J413)/2*5),0)</f>
        <v>#N/A</v>
      </c>
      <c r="T425" t="e">
        <f>IF(H405="Cadre",(SUM(C415:C421)/2*5),0)</f>
        <v>#N/A</v>
      </c>
      <c r="U425" t="e">
        <f>IF(H405="Cadre",(SUM(J415:J421)/2*5),0)</f>
        <v>#N/A</v>
      </c>
      <c r="V425" t="e">
        <f>IF(H405="Cadre",(SUM(C423:C429)/2*5),0)</f>
        <v>#N/A</v>
      </c>
      <c r="W425" s="63" t="e">
        <f t="shared" si="71"/>
        <v>#N/A</v>
      </c>
    </row>
    <row r="426" spans="1:29" hidden="1" outlineLevel="1" x14ac:dyDescent="0.25">
      <c r="A426" s="69" t="s">
        <v>106</v>
      </c>
      <c r="B426" s="96"/>
      <c r="C426" s="96"/>
      <c r="D426" s="102"/>
      <c r="E426" s="103"/>
      <c r="F426" s="38"/>
      <c r="H426" s="81" t="s">
        <v>106</v>
      </c>
      <c r="I426" s="88">
        <f t="shared" si="72"/>
        <v>0</v>
      </c>
      <c r="J426" s="88">
        <f t="shared" si="73"/>
        <v>0</v>
      </c>
      <c r="K426" s="89">
        <f t="shared" si="74"/>
        <v>0</v>
      </c>
      <c r="L426" s="90">
        <f t="shared" si="75"/>
        <v>0</v>
      </c>
      <c r="M426" s="49"/>
      <c r="P426" t="s">
        <v>166</v>
      </c>
      <c r="Q426" s="10" t="s">
        <v>159</v>
      </c>
      <c r="R426" t="e">
        <f>IF(H405="Employé",B413,0)</f>
        <v>#N/A</v>
      </c>
      <c r="S426" t="e">
        <f>IF(H405="Employé",I413,0)</f>
        <v>#N/A</v>
      </c>
      <c r="T426" t="e">
        <f>IF(H405="Employé",B421,0)</f>
        <v>#N/A</v>
      </c>
      <c r="U426" t="e">
        <f>IF(H405="Employé",I421,0)</f>
        <v>#N/A</v>
      </c>
      <c r="V426" t="e">
        <f>IF(H405="Employé",B429,0)</f>
        <v>#N/A</v>
      </c>
      <c r="W426" s="63" t="e">
        <f t="shared" si="71"/>
        <v>#N/A</v>
      </c>
    </row>
    <row r="427" spans="1:29" hidden="1" outlineLevel="1" x14ac:dyDescent="0.25">
      <c r="A427" s="69" t="s">
        <v>107</v>
      </c>
      <c r="B427" s="96"/>
      <c r="C427" s="96"/>
      <c r="D427" s="102"/>
      <c r="E427" s="103"/>
      <c r="F427" s="38"/>
      <c r="H427" s="81" t="s">
        <v>107</v>
      </c>
      <c r="I427" s="88">
        <f t="shared" si="72"/>
        <v>0</v>
      </c>
      <c r="J427" s="88">
        <f t="shared" si="73"/>
        <v>0</v>
      </c>
      <c r="K427" s="89">
        <f t="shared" si="74"/>
        <v>0</v>
      </c>
      <c r="L427" s="90">
        <f t="shared" si="75"/>
        <v>0</v>
      </c>
      <c r="M427" s="303" t="s">
        <v>178</v>
      </c>
      <c r="N427" s="304"/>
      <c r="O427" s="304"/>
      <c r="P427" t="s">
        <v>297</v>
      </c>
      <c r="Q427" s="10" t="s">
        <v>159</v>
      </c>
      <c r="R427" t="e">
        <f>IF(H405="Cadre",IF(B413=2,5,0),0)</f>
        <v>#N/A</v>
      </c>
      <c r="S427" t="e">
        <f>IF(H405="Cadre",IF(I413=2,5,0),0)</f>
        <v>#N/A</v>
      </c>
      <c r="T427" t="e">
        <f>IF(H405="Cadre",IF(B421=2,5,0),0)</f>
        <v>#N/A</v>
      </c>
      <c r="U427" t="e">
        <f>IF(H405="Cadre",IF(I421=2,5,0),0)</f>
        <v>#N/A</v>
      </c>
      <c r="V427" t="e">
        <f>IF(H405="Cadre",IF(B429=2,5,0),0)</f>
        <v>#N/A</v>
      </c>
      <c r="W427" s="63" t="e">
        <f t="shared" si="71"/>
        <v>#N/A</v>
      </c>
    </row>
    <row r="428" spans="1:29" hidden="1" outlineLevel="1" x14ac:dyDescent="0.25">
      <c r="A428" s="69" t="s">
        <v>108</v>
      </c>
      <c r="B428" s="96"/>
      <c r="C428" s="96"/>
      <c r="D428" s="102"/>
      <c r="E428" s="103"/>
      <c r="F428" s="38"/>
      <c r="H428" s="81" t="s">
        <v>108</v>
      </c>
      <c r="I428" s="88">
        <f t="shared" si="72"/>
        <v>0</v>
      </c>
      <c r="J428" s="88">
        <f t="shared" si="73"/>
        <v>0</v>
      </c>
      <c r="K428" s="89">
        <f t="shared" si="74"/>
        <v>0</v>
      </c>
      <c r="L428" s="90">
        <f t="shared" si="75"/>
        <v>0</v>
      </c>
      <c r="M428" s="49"/>
      <c r="P428" t="s">
        <v>171</v>
      </c>
      <c r="Q428" s="10" t="s">
        <v>172</v>
      </c>
      <c r="R428" s="2"/>
      <c r="S428" s="2"/>
      <c r="T428" s="2"/>
      <c r="U428" s="2"/>
      <c r="V428" s="2"/>
      <c r="W428" s="91" t="e">
        <f>IF(AND(K404="non",H405="Employé"),SUM(I423:I429)+(SUM(W405:W418)-W401),(SUM(I423:I429)-W420)+(SUM(W405:W418)-W401))</f>
        <v>#N/A</v>
      </c>
    </row>
    <row r="429" spans="1:29" ht="15.75" hidden="1" outlineLevel="1" thickBot="1" x14ac:dyDescent="0.3">
      <c r="A429" s="70" t="s">
        <v>109</v>
      </c>
      <c r="B429" s="97"/>
      <c r="C429" s="97"/>
      <c r="D429" s="71"/>
      <c r="E429" s="104"/>
      <c r="F429" s="39"/>
      <c r="H429" s="92" t="s">
        <v>109</v>
      </c>
      <c r="I429" s="93">
        <f>(B413+I413+B421+I421+B429)</f>
        <v>0</v>
      </c>
      <c r="J429" s="93">
        <f>(C413+J413+C421+J421+C429)</f>
        <v>0</v>
      </c>
      <c r="K429" s="71">
        <f>(D413+K413+D421+K421+D429)</f>
        <v>0</v>
      </c>
      <c r="L429" s="94">
        <f>(E413+L413+E421+L421+E429)</f>
        <v>0</v>
      </c>
      <c r="M429" s="49"/>
      <c r="P429" t="s">
        <v>176</v>
      </c>
      <c r="Q429" s="10" t="s">
        <v>172</v>
      </c>
      <c r="R429" s="2"/>
      <c r="S429" s="2"/>
      <c r="T429" s="2"/>
      <c r="U429" s="2"/>
      <c r="V429" s="2"/>
      <c r="W429" s="91" t="e">
        <f>IF(H405="Cadre",((SUM(I423:I429)+SUM(W405:W418)-W407-W408)/2),0)</f>
        <v>#N/A</v>
      </c>
    </row>
    <row r="430" spans="1:29" ht="15" customHeight="1" collapsed="1" x14ac:dyDescent="0.25">
      <c r="D430" s="302" t="s">
        <v>298</v>
      </c>
      <c r="E430" s="302"/>
      <c r="F430" s="302"/>
      <c r="G430" s="302"/>
      <c r="H430" s="302"/>
      <c r="I430" s="302"/>
      <c r="J430" s="302"/>
      <c r="K430" s="302"/>
      <c r="L430" s="42" t="s">
        <v>290</v>
      </c>
      <c r="N430" s="43"/>
      <c r="O430" s="43" t="s">
        <v>179</v>
      </c>
      <c r="P430" s="15" t="s">
        <v>157</v>
      </c>
      <c r="AA430" s="15" t="s">
        <v>157</v>
      </c>
    </row>
    <row r="431" spans="1:29" hidden="1" outlineLevel="1" x14ac:dyDescent="0.25">
      <c r="D431" s="302"/>
      <c r="E431" s="302"/>
      <c r="F431" s="302"/>
      <c r="G431" s="302"/>
      <c r="H431" s="302"/>
      <c r="I431" s="302"/>
      <c r="J431" s="302"/>
      <c r="K431" s="302"/>
      <c r="N431" s="43"/>
      <c r="O431" s="43" t="s">
        <v>180</v>
      </c>
      <c r="AC431" t="s">
        <v>201</v>
      </c>
    </row>
    <row r="432" spans="1:29" hidden="1" outlineLevel="1" x14ac:dyDescent="0.25">
      <c r="D432" s="302"/>
      <c r="E432" s="302"/>
      <c r="F432" s="302"/>
      <c r="G432" s="302"/>
      <c r="H432" s="302"/>
      <c r="I432" s="302"/>
      <c r="J432" s="302"/>
      <c r="K432" s="302"/>
      <c r="N432" s="44"/>
      <c r="O432" s="44" t="s">
        <v>181</v>
      </c>
      <c r="AA432" s="15" t="s">
        <v>200</v>
      </c>
      <c r="AC432" s="2" t="str">
        <f>I434</f>
        <v>Juin</v>
      </c>
    </row>
    <row r="433" spans="1:29" hidden="1" outlineLevel="1" x14ac:dyDescent="0.25">
      <c r="A433" s="45" t="s">
        <v>3</v>
      </c>
      <c r="B433" s="46">
        <f>'Synthèse Horaires'!$B$4</f>
        <v>2026</v>
      </c>
      <c r="C433" s="47"/>
      <c r="D433" s="48" t="s">
        <v>1</v>
      </c>
      <c r="E433" s="46">
        <f>'Synthèse Horaires'!$D$4</f>
        <v>0</v>
      </c>
      <c r="F433" s="49"/>
      <c r="G433" s="49"/>
      <c r="H433" s="48" t="s">
        <v>2</v>
      </c>
      <c r="I433" s="47">
        <f>'Synthèse Horaires'!$I$4</f>
        <v>0</v>
      </c>
      <c r="J433" s="50"/>
      <c r="K433" s="50"/>
      <c r="N433" s="44"/>
      <c r="O433" s="44" t="s">
        <v>202</v>
      </c>
      <c r="V433" s="10" t="s">
        <v>174</v>
      </c>
      <c r="W433" s="51" t="e">
        <f>IF(K437="non",SUM(K456:K462)*(35/6),SUM(K456:K462)*(K437/6))</f>
        <v>#N/A</v>
      </c>
      <c r="AB433" t="s">
        <v>6</v>
      </c>
      <c r="AC433" s="14">
        <f>B437</f>
        <v>0</v>
      </c>
    </row>
    <row r="434" spans="1:29" hidden="1" outlineLevel="1" x14ac:dyDescent="0.25">
      <c r="A434" s="45" t="s">
        <v>10</v>
      </c>
      <c r="B434" s="49"/>
      <c r="C434" s="49"/>
      <c r="D434" s="50" t="str">
        <f>'Synthèse Horaires'!$C$6</f>
        <v>01 juin 2026 au 31 mai 2027.</v>
      </c>
      <c r="E434" s="2"/>
      <c r="H434" s="48" t="s">
        <v>205</v>
      </c>
      <c r="I434" s="47" t="str">
        <f>'Synthèse Horaires'!$I$5</f>
        <v>Juin</v>
      </c>
      <c r="N434" s="44"/>
      <c r="O434" s="44" t="s">
        <v>203</v>
      </c>
      <c r="V434" s="10" t="s">
        <v>173</v>
      </c>
      <c r="W434">
        <f>W440+W441</f>
        <v>0</v>
      </c>
      <c r="AB434" t="s">
        <v>57</v>
      </c>
      <c r="AC434" s="14" t="e">
        <f>B438</f>
        <v>#N/A</v>
      </c>
    </row>
    <row r="435" spans="1:29" hidden="1" outlineLevel="1" x14ac:dyDescent="0.25">
      <c r="AB435" t="s">
        <v>211</v>
      </c>
      <c r="AC435" s="14" t="e">
        <f>H438</f>
        <v>#N/A</v>
      </c>
    </row>
    <row r="436" spans="1:29" hidden="1" outlineLevel="1" x14ac:dyDescent="0.25">
      <c r="A436" s="4" t="s">
        <v>58</v>
      </c>
      <c r="B436" s="4"/>
      <c r="C436" s="4"/>
      <c r="D436" s="4"/>
      <c r="E436" s="4"/>
      <c r="F436" s="4"/>
      <c r="G436" s="4"/>
      <c r="H436" s="4"/>
      <c r="P436" s="53" t="s">
        <v>6</v>
      </c>
      <c r="Q436" s="2">
        <f>B437</f>
        <v>0</v>
      </c>
      <c r="T436" s="10" t="s">
        <v>76</v>
      </c>
      <c r="U436" s="2" t="e">
        <f>VLOOKUP(B437,'Base Matricule Siège'!$B$12:$H$1000,4,FALSE)</f>
        <v>#N/A</v>
      </c>
      <c r="AA436" t="s">
        <v>215</v>
      </c>
      <c r="AB436" t="s">
        <v>207</v>
      </c>
      <c r="AC436" s="14" t="e">
        <f>IF(AC435="Cadre",0,W461)</f>
        <v>#N/A</v>
      </c>
    </row>
    <row r="437" spans="1:29" hidden="1" outlineLevel="1" x14ac:dyDescent="0.25">
      <c r="A437" s="49" t="s">
        <v>18</v>
      </c>
      <c r="B437" s="113">
        <v>0</v>
      </c>
      <c r="E437" s="49"/>
      <c r="G437" s="57" t="s">
        <v>317</v>
      </c>
      <c r="H437" s="58" t="e">
        <f>VLOOKUP(B437,'Base Matricule Siège'!$B$13:$H$1000,7,FALSE)</f>
        <v>#N/A</v>
      </c>
      <c r="J437" s="10" t="s">
        <v>161</v>
      </c>
      <c r="K437" s="58" t="e">
        <f>IF((VLOOKUP('MASQUE COLLABORATEUR'!B437,'Base Matricule Siège'!$B$13:$E$1000,4,FALSE)&lt;'Base Matricule Siège'!$G$5),(VLOOKUP('MASQUE COLLABORATEUR'!B437,'Base Matricule Siège'!$B$13:$E$1000,4,FALSE)),"non")</f>
        <v>#N/A</v>
      </c>
      <c r="L437" s="114" t="s">
        <v>340</v>
      </c>
      <c r="M437" s="115" t="e">
        <f>IF(K437="non","0",VLOOKUP(B437,'Base Matricule Siège'!$B$13:$S$1000,18,FALSE))</f>
        <v>#N/A</v>
      </c>
      <c r="R437" t="s">
        <v>151</v>
      </c>
      <c r="S437" t="s">
        <v>152</v>
      </c>
      <c r="T437" t="s">
        <v>153</v>
      </c>
      <c r="U437" t="s">
        <v>154</v>
      </c>
      <c r="V437" t="s">
        <v>155</v>
      </c>
      <c r="W437" s="59" t="s">
        <v>156</v>
      </c>
      <c r="AB437" t="s">
        <v>11</v>
      </c>
      <c r="AC437" s="14" t="e">
        <f>W462</f>
        <v>#N/A</v>
      </c>
    </row>
    <row r="438" spans="1:29" ht="15.75" hidden="1" outlineLevel="1" thickBot="1" x14ac:dyDescent="0.3">
      <c r="A438" s="49" t="s">
        <v>59</v>
      </c>
      <c r="B438" s="2" t="e">
        <f>VLOOKUP(B437,'Base Matricule Siège'!$B$13:$C$1000,2,FALSE)</f>
        <v>#N/A</v>
      </c>
      <c r="C438" s="2"/>
      <c r="D438" s="2"/>
      <c r="G438" s="57" t="s">
        <v>158</v>
      </c>
      <c r="H438" s="58" t="e">
        <f>VLOOKUP(B437,'Base Matricule Siège'!$B$13:$G$1000,6,FALSE)</f>
        <v>#N/A</v>
      </c>
      <c r="P438" s="10" t="s">
        <v>142</v>
      </c>
      <c r="Q438" s="10" t="s">
        <v>149</v>
      </c>
      <c r="R438">
        <f>IF(F440=Q438,E440,0)+IF(F441=Q438,E441,0)+IF(F442=Q438,E442,0)+IF(Q438=F443,E443,0)+IF(F444=Q438,E444,0)+IF(F445=Q438,E445,0)</f>
        <v>0</v>
      </c>
      <c r="S438">
        <f>IF(M440=Q438,L440,0)+IF(M441=Q438,L441,0)+IF(M442=Q438,L442,0)+IF(Q438=M443,L443,0)+IF(M444=Q438,L444,0)+IF(M445=Q438,L445,0)</f>
        <v>0</v>
      </c>
      <c r="T438">
        <f>IF(F448=Q438,E448,0)+IF(F449=Q438,E449,0)+IF(F450=Q438,E450,0)+IF(Q438=F451,E451,0)+IF(F452=Q438,E452,0)+IF(F453=Q438,E453,0)</f>
        <v>0</v>
      </c>
      <c r="U438">
        <f>IF(M448=Q438,L448,0)+IF(M449=Q438,L449,0)+IF(M450=Q438,L450,0)+IF(Q438=M451,L451,0)+IF(M452=Q438,L452,0)+IF(M453=Q438,L453,0)</f>
        <v>0</v>
      </c>
      <c r="V438">
        <f>IF(F456=Q438,E456,0)+IF(F457=Q438,E457,0)+IF(F458=Q438,E458,0)+IF(Q438=F459,E459,0)+IF(F460=Q438,E460,0)+IF(F461=Q438,E461,0)</f>
        <v>0</v>
      </c>
      <c r="W438" s="63">
        <f>SUM(R438:V438)</f>
        <v>0</v>
      </c>
      <c r="AB438" t="s">
        <v>208</v>
      </c>
      <c r="AC438" s="14">
        <f>SUM(K456:K462)*2</f>
        <v>0</v>
      </c>
    </row>
    <row r="439" spans="1:29" ht="15.75" hidden="1" outlineLevel="1" thickBot="1" x14ac:dyDescent="0.3">
      <c r="A439" s="64" t="str">
        <f>A406</f>
        <v>Semaine 23</v>
      </c>
      <c r="B439" s="65" t="e">
        <f>IF(H438="Cadre","Demi J. Réalisées","H. Réalisées")</f>
        <v>#N/A</v>
      </c>
      <c r="C439" s="65" t="s">
        <v>141</v>
      </c>
      <c r="D439" s="66" t="e">
        <f>IF(H438="Cadre","CP en Demi J.","CP en jours")</f>
        <v>#N/A</v>
      </c>
      <c r="E439" s="66" t="e">
        <f>IF(H438="Cadre","Abs. En Demi J.","Absence en H.")</f>
        <v>#N/A</v>
      </c>
      <c r="F439" s="67" t="s">
        <v>110</v>
      </c>
      <c r="H439" s="64" t="str">
        <f>H406</f>
        <v>Semaine 24</v>
      </c>
      <c r="I439" s="65" t="e">
        <f>B439</f>
        <v>#N/A</v>
      </c>
      <c r="J439" s="65" t="str">
        <f>C439</f>
        <v>Férié</v>
      </c>
      <c r="K439" s="66" t="e">
        <f>D439</f>
        <v>#N/A</v>
      </c>
      <c r="L439" s="66" t="e">
        <f>E439</f>
        <v>#N/A</v>
      </c>
      <c r="M439" s="67" t="str">
        <f>F439</f>
        <v>Type absence</v>
      </c>
      <c r="Q439" s="10" t="s">
        <v>143</v>
      </c>
      <c r="R439">
        <f>IF(F440=Q439,E440,0)+IF(F441=Q439,E441,0)+IF(F442=Q439,E442,0)+IF(Q439=F443,E443,0)+IF(F445=Q439,E444,0)+IF(F444=Q439,E445,0)</f>
        <v>0</v>
      </c>
      <c r="S439">
        <f>IF(M441=Q439,L441,0)+IF(M442=Q439,L442,0)+IF(M443=Q439,L443,0)+IF(Q439=M444,L444,0)+IF(M445=Q439,L445,0)+IF(M440=Q439,L440,0)</f>
        <v>0</v>
      </c>
      <c r="T439">
        <f>IF(F448=Q439,E448,0)+IF(F449=Q439,E449,0)+IF(F450=Q439,E450,0)+IF(Q439=F451,E451,0)+IF(F452=Q439,E452,0)+IF(F453=Q439,E453,0)</f>
        <v>0</v>
      </c>
      <c r="U439">
        <f>IF(M448=Q439,L448,0)+IF(M449=Q439,L449,0)+IF(M450=Q439,L450,0)+IF(Q439=M451,L451,0)+IF(M452=Q439,L452,0)+IF(M453=Q439,L453,0)</f>
        <v>0</v>
      </c>
      <c r="V439">
        <f>IF(F456=Q439,E456,0)+IF(F457=Q439,E457,0)+IF(F458=Q439,E458,0)+IF(Q439=F459,E459,0)+IF(F460=Q439,E460,0)+IF(F461=Q439,E461,0)</f>
        <v>0</v>
      </c>
      <c r="W439" s="63">
        <f t="shared" ref="W439:W451" si="76">SUM(R439:V439)</f>
        <v>0</v>
      </c>
      <c r="AB439" t="s">
        <v>8</v>
      </c>
      <c r="AC439" s="14"/>
    </row>
    <row r="440" spans="1:29" hidden="1" outlineLevel="1" x14ac:dyDescent="0.25">
      <c r="A440" s="68" t="s">
        <v>103</v>
      </c>
      <c r="B440" s="98"/>
      <c r="C440" s="98"/>
      <c r="D440" s="99"/>
      <c r="E440" s="100"/>
      <c r="F440" s="101"/>
      <c r="H440" s="69" t="s">
        <v>103</v>
      </c>
      <c r="I440" s="95"/>
      <c r="J440" s="95"/>
      <c r="K440" s="106"/>
      <c r="L440" s="105"/>
      <c r="M440" s="101"/>
      <c r="Q440" s="10" t="s">
        <v>144</v>
      </c>
      <c r="R440">
        <f>IF(F442=Q440,E442,0)+IF(F443=Q440,E443,0)+IF(F444=Q440,E444,0)+IF(Q440=F445,E445,0)+IF(F440=Q440,E440,0)+IF(F441=Q440,E441,0)</f>
        <v>0</v>
      </c>
      <c r="S440">
        <f>IF(M442=Q440,L442,0)+IF(M443=Q440,L443,0)+IF(M444=Q440,L444,0)+IF(Q440=M445,L445,0)+IF(M440=Q440,L440,0)+IF(M441=Q440,L441,0)</f>
        <v>0</v>
      </c>
      <c r="T440">
        <f>IF(F448=Q440,E448,0)+IF(F449=Q440,E449,0)+IF(F450=Q440,E450,0)+IF(Q440=F451,E451,0)+IF(F452=Q440,E452,0)+IF(F453=Q440,E453,0)</f>
        <v>0</v>
      </c>
      <c r="U440">
        <f>IF(M448=Q440,L448,0)+IF(M449=Q440,L449,0)+IF(M450=Q440,L450,0)+IF(Q440=M451,L451,0)+IF(M452=Q440,L452,0)+IF(M453=Q440,L453,0)</f>
        <v>0</v>
      </c>
      <c r="V440">
        <f>IF(F456=Q440,E456,0)+IF(F457=Q440,E457,0)+IF(F458=Q440,E458,0)+IF(Q440=F459,E459,0)+IF(F460=Q440,E460,0)+IF(F461=Q440,E461,0)</f>
        <v>0</v>
      </c>
      <c r="W440" s="63">
        <f t="shared" si="76"/>
        <v>0</v>
      </c>
      <c r="AB440" t="s">
        <v>209</v>
      </c>
      <c r="AC440" s="14">
        <f>W440</f>
        <v>0</v>
      </c>
    </row>
    <row r="441" spans="1:29" hidden="1" outlineLevel="1" x14ac:dyDescent="0.25">
      <c r="A441" s="69" t="s">
        <v>104</v>
      </c>
      <c r="B441" s="96"/>
      <c r="C441" s="96"/>
      <c r="D441" s="102"/>
      <c r="E441" s="103"/>
      <c r="F441" s="38"/>
      <c r="H441" s="69" t="s">
        <v>104</v>
      </c>
      <c r="I441" s="96"/>
      <c r="J441" s="96"/>
      <c r="K441" s="102"/>
      <c r="L441" s="103"/>
      <c r="M441" s="38"/>
      <c r="Q441" s="10" t="s">
        <v>145</v>
      </c>
      <c r="R441">
        <f>IF(F443=Q441,E443,0)+IF(F444=Q441,E444,0)+IF(F445=Q441,E445,0)+IF(Q441=F440,E440,0)+IF(F441=Q441,E441,0)+IF(F442=Q441,E442,0)</f>
        <v>0</v>
      </c>
      <c r="S441">
        <f>IF(M443=Q441,L443,0)+IF(M444=Q441,L444,0)+IF(M445=Q441,L445,0)+IF(Q441=M440,L440,0)+IF(M441=Q441,L441,0)+IF(M442=Q441,L442,0)</f>
        <v>0</v>
      </c>
      <c r="T441">
        <f>IF(F448=Q441,$E448,0)+IF(F449=Q441,E449,0)+IF(F450=Q441,E450,0)+IF(Q441=F451,E451,0)+IF(F452=Q441,E452,0)+IF(F453=Q441,E453,0)</f>
        <v>0</v>
      </c>
      <c r="U441">
        <f>IF(M448=Q441,L448,0)+IF(M449=Q441,L449,0)+IF(M450=Q441,L450,0)+IF(Q441=M451,L451,0)+IF(M452=Q441,L452,0)+IF(M453=Q441,L453,0)</f>
        <v>0</v>
      </c>
      <c r="V441">
        <f>IF(F456=Q441,E456,0)+IF(F457=Q441,E457,0)+IF(F458=Q441,E458,0)+IF(Q441=F459,E459,0)+IF(F460=Q441,E460,0)+IF(F461=Q441,E461,0)</f>
        <v>0</v>
      </c>
      <c r="W441" s="63">
        <f t="shared" si="76"/>
        <v>0</v>
      </c>
      <c r="AB441" t="s">
        <v>210</v>
      </c>
      <c r="AC441" s="14">
        <f>SUM(W438:W451)-W440</f>
        <v>0</v>
      </c>
    </row>
    <row r="442" spans="1:29" hidden="1" outlineLevel="1" x14ac:dyDescent="0.25">
      <c r="A442" s="69" t="s">
        <v>105</v>
      </c>
      <c r="B442" s="96"/>
      <c r="C442" s="96"/>
      <c r="D442" s="102"/>
      <c r="E442" s="103"/>
      <c r="F442" s="38"/>
      <c r="H442" s="69" t="s">
        <v>105</v>
      </c>
      <c r="I442" s="96"/>
      <c r="J442" s="96"/>
      <c r="K442" s="102"/>
      <c r="L442" s="103"/>
      <c r="M442" s="38"/>
      <c r="Q442" s="10" t="s">
        <v>212</v>
      </c>
      <c r="R442">
        <f>IF(F444=Q442,E444,0)+IF(F445=Q442,E445,0)+IF(F440=Q442,E440,0)+IF(Q442=F441,E441,0)+IF(F442=Q442,E442,0)+IF(F443=Q442,E443,0)</f>
        <v>0</v>
      </c>
      <c r="S442">
        <f>IF(M443=Q442,L443,0)+IF(M444=Q442,L444,0)+IF(M445=Q442,L445,0)+IF(Q442=M440,L440,0)+IF(M441=Q442,L441,0)+IF(M442=Q442,L442,0)</f>
        <v>0</v>
      </c>
      <c r="T442">
        <f>IF(F448=Q442,E448,0)+IF(F449=Q442,E449,0)+IF(F450=Q442,E450,0)+IF(Q442=F451,E451,0)+IF(F452=Q442,E452,0)+IF(F453=Q442,E453,0)</f>
        <v>0</v>
      </c>
      <c r="U442">
        <f>IF(M448=Q442,L448,0)+IF(M449=Q442,L449,0)+IF(M450=Q442,L450,0)+IF(Q442=M451,L451,0)+IF(M452=Q442,L452,0)+IF(M453=Q442,L453,0)</f>
        <v>0</v>
      </c>
      <c r="V442">
        <f>IF(F456=Q442,E456,0)+IF(F457=Q442,E457,0)+IF(F458=Q442,E458,0)+IF(Q442=F459,E459,0)+IF(F460=Q442,E460,0)+IF(F461=Q442,E461,0)</f>
        <v>0</v>
      </c>
      <c r="W442" s="63">
        <f t="shared" si="76"/>
        <v>0</v>
      </c>
      <c r="AA442" t="s">
        <v>214</v>
      </c>
      <c r="AB442" t="s">
        <v>213</v>
      </c>
      <c r="AC442" s="14" t="e">
        <f>IF(AC435="Cadre",(W442/2),(W442/7))</f>
        <v>#N/A</v>
      </c>
    </row>
    <row r="443" spans="1:29" hidden="1" outlineLevel="1" x14ac:dyDescent="0.25">
      <c r="A443" s="69" t="s">
        <v>106</v>
      </c>
      <c r="B443" s="96"/>
      <c r="C443" s="96"/>
      <c r="D443" s="102"/>
      <c r="E443" s="103"/>
      <c r="F443" s="38"/>
      <c r="H443" s="69" t="s">
        <v>106</v>
      </c>
      <c r="I443" s="96"/>
      <c r="J443" s="96"/>
      <c r="K443" s="102"/>
      <c r="L443" s="103"/>
      <c r="M443" s="38"/>
      <c r="Q443" s="10" t="s">
        <v>146</v>
      </c>
      <c r="R443">
        <f>IF(F445=Q443,E445,0)+IF(F440=Q443,E440,0)+IF(F441=Q443,E441,0)+IF(Q443=F442,E442,0)+IF(F443=Q443,E443,0)+IF(F444=Q443,E444,0)</f>
        <v>0</v>
      </c>
      <c r="S443">
        <f>IF(M443=Q443,L443,0)+IF(M444=Q443,L444,0)+IF(M445=Q443,L445,0)+IF(Q443=M440,$L$11,0)+IF(M441=Q443,L441,0)+IF(M442=Q443,L442,0)</f>
        <v>0</v>
      </c>
      <c r="T443">
        <f>IF(F448=Q443,E448,0)+IF(F449=Q443,E449,0)+IF(F450=Q443,E450,0)+IF(Q443=F451,E451,0)+IF(F452=Q443,E452,0)+IF(F453=Q443,E453,0)</f>
        <v>0</v>
      </c>
      <c r="U443">
        <f>IF(M448=Q443,L448,0)+IF(M449=Q443,L449,0)+IF(M450=Q443,L450,0)+IF(Q443=M451,L451,0)+IF(M452=Q443,L452,0)+IF(M453=Q443,L453,0)</f>
        <v>0</v>
      </c>
      <c r="V443">
        <f>IF(F456=Q443,E456,0)+IF(F457=Q443,E457,0)+IF(F458=Q443,E458,0)+IF(Q443=F459,E459,0)+IF(F460=Q443,E460,0)+IF(F461=Q443,E461,0)</f>
        <v>0</v>
      </c>
      <c r="W443" s="63">
        <f t="shared" si="76"/>
        <v>0</v>
      </c>
      <c r="AA443" t="s">
        <v>216</v>
      </c>
      <c r="AB443" t="s">
        <v>217</v>
      </c>
      <c r="AC443" s="14" t="e">
        <f>W455+W456</f>
        <v>#N/A</v>
      </c>
    </row>
    <row r="444" spans="1:29" hidden="1" outlineLevel="1" x14ac:dyDescent="0.25">
      <c r="A444" s="69" t="s">
        <v>107</v>
      </c>
      <c r="B444" s="96"/>
      <c r="C444" s="96"/>
      <c r="D444" s="102"/>
      <c r="E444" s="103"/>
      <c r="F444" s="38"/>
      <c r="H444" s="69" t="s">
        <v>107</v>
      </c>
      <c r="I444" s="96"/>
      <c r="J444" s="96"/>
      <c r="K444" s="102"/>
      <c r="L444" s="103"/>
      <c r="M444" s="38"/>
      <c r="Q444" s="10" t="s">
        <v>499</v>
      </c>
      <c r="R444">
        <f>IF(F440=Q444,E440,0)+IF(F441=Q444,E441,0)+IF(F442=Q444,E442,0)+IF(Q444=F443,E443,0)+IF(F444=Q444,E444,0)+IF(F445=Q444,E445,0)</f>
        <v>0</v>
      </c>
      <c r="S444">
        <f>IF(M443=Q444,L443,0)+IF(M444=Q444,L444,0)+IF(M445=Q444,L445,0)+IF(Q444=M440,L440,0)+IF(M441=Q444,L441,0)+IF(M442=Q444,L442,0)</f>
        <v>0</v>
      </c>
      <c r="T444">
        <f>IF(F448=Q444,E448,0)+IF(F449=Q444,E449,0)+IF(F450=Q444,E450,0)+IF(Q444=F451,E451,0)+IF(F452=Q444,E452,0)+IF(F453=Q444,E453,0)</f>
        <v>0</v>
      </c>
      <c r="U444">
        <f>IF(M448=Q444,L448,0)+IF(M449=Q444,L449,0)+IF(M450=Q444,L450,0)+IF(Q444=M451,L451,0)+IF(M452=Q444,L452,0)+IF(M453=Q444,L453,0)</f>
        <v>0</v>
      </c>
      <c r="V444">
        <f>IF(F456=Q444,E456,0)+IF(F457=Q444,E457,0)+IF(F458=Q444,E458,0)+IF(Q444=F459,E459,0)+IF(F460=Q444,E460,0)+IF(F461=Q444,E461,0)</f>
        <v>0</v>
      </c>
      <c r="W444" s="63">
        <f t="shared" si="76"/>
        <v>0</v>
      </c>
      <c r="AA444" t="s">
        <v>218</v>
      </c>
      <c r="AB444" t="s">
        <v>219</v>
      </c>
      <c r="AC444" s="14" t="e">
        <f>W454</f>
        <v>#N/A</v>
      </c>
    </row>
    <row r="445" spans="1:29" hidden="1" outlineLevel="1" x14ac:dyDescent="0.25">
      <c r="A445" s="69" t="s">
        <v>108</v>
      </c>
      <c r="B445" s="96"/>
      <c r="C445" s="96"/>
      <c r="D445" s="102"/>
      <c r="E445" s="103"/>
      <c r="F445" s="38"/>
      <c r="H445" s="69" t="s">
        <v>108</v>
      </c>
      <c r="I445" s="96"/>
      <c r="J445" s="96"/>
      <c r="K445" s="102"/>
      <c r="L445" s="103"/>
      <c r="M445" s="38"/>
      <c r="Q445" s="10" t="s">
        <v>147</v>
      </c>
      <c r="R445">
        <f>IF(F441=Q445,E441,0)+IF(F442=Q445,E442,0)+IF(F443=Q445,E443,0)+IF(Q445=F444,E444,0)+IF(F445=Q445,E445,0)+IF(F440=Q445,E440,0)</f>
        <v>0</v>
      </c>
      <c r="S445">
        <f>IF(M443=Q445,L443,0)+IF(M444=Q445,L444,0)+IF(M445=Q445,L445,0)+IF(Q445=M440,L440,0)+IF(M441=Q445,L441,0)+IF(M442=Q445,L442,0)</f>
        <v>0</v>
      </c>
      <c r="T445">
        <f>IF(F448=Q445,E448,0)+IF(F449=Q445,E449,0)+IF(F450=Q445,E450,0)+IF(Q445=F451,E451,0)+IF(F452=Q445,E452,0)+IF(F453=Q445,E453,0)</f>
        <v>0</v>
      </c>
      <c r="U445">
        <f>IF(M448=Q445,L448,0)+IF(M449=Q445,L449,0)+IF(M450=Q445,L450,0)+IF(Q445=M451,L451,0)+IF(M452=Q445,L452,0)+IF(M453=Q445,L453,0)</f>
        <v>0</v>
      </c>
      <c r="V445">
        <f>IF(F456=Q445,E456,0)+IF(F457=Q445,E457,0)+IF(F458=Q445,E458,0)+IF(Q445=F459,E459,0)+IF(F460=Q445,E460,0)+IF(F461=Q445,E461,0)</f>
        <v>0</v>
      </c>
      <c r="W445" s="63">
        <f t="shared" si="76"/>
        <v>0</v>
      </c>
      <c r="AA445" t="s">
        <v>166</v>
      </c>
      <c r="AB445" t="s">
        <v>220</v>
      </c>
      <c r="AC445" s="14" t="e">
        <f>W459</f>
        <v>#N/A</v>
      </c>
    </row>
    <row r="446" spans="1:29" ht="15.75" hidden="1" outlineLevel="1" thickBot="1" x14ac:dyDescent="0.3">
      <c r="A446" s="70" t="s">
        <v>109</v>
      </c>
      <c r="B446" s="97"/>
      <c r="C446" s="97"/>
      <c r="D446" s="71"/>
      <c r="E446" s="104"/>
      <c r="F446" s="38"/>
      <c r="H446" s="70" t="s">
        <v>109</v>
      </c>
      <c r="I446" s="97"/>
      <c r="J446" s="97"/>
      <c r="K446" s="71"/>
      <c r="L446" s="104"/>
      <c r="M446" s="38"/>
      <c r="Q446" s="10" t="s">
        <v>500</v>
      </c>
      <c r="R446">
        <f>IF(F442=Q446,E442,0)+IF(F443=Q446,E443,0)+IF(F444=Q446,E444,0)+IF(Q446=F445,E445,0)+IF(F440=Q446,E440,0)+IF(F441=Q446,E441,0)</f>
        <v>0</v>
      </c>
      <c r="S446">
        <f>IF(M443=Q446,L443,0)+IF(M444=Q446,L444,0)+IF(M445=Q446,L445,0)+IF(Q446=M440,L440,0)+IF(M441=Q446,L441,0)+IF(M442=Q446,L442,0)</f>
        <v>0</v>
      </c>
      <c r="T446">
        <f>IF(F448=Q446,E448,0)+IF(F449=Q446,E449,0)+IF(F450=Q446,E450,0)+IF(Q446=F451,E451,0)+IF(F452=Q446,E452,0)+IF(F453=Q446,E453,0)</f>
        <v>0</v>
      </c>
      <c r="U446">
        <f>IF(M448=Q446,L448,0)+IF(M449=Q446,L449,0)+IF(M450=Q446,L450,0)+IF(Q446=M451,L451,0)+IF(M452=Q446,L452,0)+IF(M453=Q446,L453,0)</f>
        <v>0</v>
      </c>
      <c r="V446">
        <f>IF(F456=Q446,E456,0)+IF(F457=Q446,E457,0)+IF(F458=Q446,E458,0)+IF(Q446=F459,E459,0)+IF(F460=Q446,E460,0)+IF(F461=Q446,E461,0)</f>
        <v>0</v>
      </c>
      <c r="W446" s="63">
        <f t="shared" si="76"/>
        <v>0</v>
      </c>
      <c r="AA446" t="s">
        <v>222</v>
      </c>
      <c r="AB446" t="s">
        <v>220</v>
      </c>
      <c r="AC446" s="14" t="e">
        <f>W460</f>
        <v>#N/A</v>
      </c>
    </row>
    <row r="447" spans="1:29" ht="15.75" hidden="1" outlineLevel="1" thickBot="1" x14ac:dyDescent="0.3">
      <c r="A447" s="64" t="str">
        <f>A414</f>
        <v>Ne pas saisir</v>
      </c>
      <c r="B447" s="65" t="e">
        <f>B439</f>
        <v>#N/A</v>
      </c>
      <c r="C447" s="65" t="str">
        <f>C439</f>
        <v>Férié</v>
      </c>
      <c r="D447" s="66" t="e">
        <f>D439</f>
        <v>#N/A</v>
      </c>
      <c r="E447" s="66" t="e">
        <f>E439</f>
        <v>#N/A</v>
      </c>
      <c r="F447" s="67" t="str">
        <f>F439</f>
        <v>Type absence</v>
      </c>
      <c r="H447" s="64" t="str">
        <f>H414</f>
        <v>Ne pas saisir</v>
      </c>
      <c r="I447" s="65" t="e">
        <f>B439</f>
        <v>#N/A</v>
      </c>
      <c r="J447" s="65" t="str">
        <f>C439</f>
        <v>Férié</v>
      </c>
      <c r="K447" s="66" t="e">
        <f>D439</f>
        <v>#N/A</v>
      </c>
      <c r="L447" s="66" t="e">
        <f>E439</f>
        <v>#N/A</v>
      </c>
      <c r="M447" s="67" t="str">
        <f>F439</f>
        <v>Type absence</v>
      </c>
      <c r="Q447" s="10" t="s">
        <v>148</v>
      </c>
      <c r="R447">
        <f>IF(F443=Q447,E443,0)+IF(F444=Q447,E444,0)+IF(F445=Q447,E445,0)+IF(Q447=F440,E440,0)+IF(F441=Q447,E441,0)+IF(F442=Q447,E442,0)</f>
        <v>0</v>
      </c>
      <c r="S447">
        <f>IF(M443=Q447,L443,0)+IF(M444=Q447,L444,0)+IF(M445=Q447,L445,0)+IF(Q447=M440,L440,0)+IF(M441=Q447,L441,0)+IF(M442=Q447,L442,0)</f>
        <v>0</v>
      </c>
      <c r="T447">
        <f>IF(F448=Q447,E448,0)+IF(F449=Q447,E449,0)+IF(F450=Q447,E450,0)+IF(Q447=F451,E451,0)+IF(F452=Q447,E452,0)+IF(F453=Q447,E453,0)</f>
        <v>0</v>
      </c>
      <c r="U447">
        <f>IF(M448=Q447,L448,0)+IF(M449=Q447,L449,0)+IF(M450=Q447,L450,0)+IF(Q447=M451,L451,0)+IF(M452=Q447,L452,0)+IF(M453=Q447,L453,0)</f>
        <v>0</v>
      </c>
      <c r="V447">
        <f>IF(F456=Q447,E456,0)+IF(F457=Q447,E457,0)+IF(F458=Q447,E458,0)+IF(Q447=F459,E459,0)+IF(F460=Q447,E460,0)+IF(F461=Q447,E461,0)</f>
        <v>0</v>
      </c>
      <c r="W447" s="63">
        <f t="shared" si="76"/>
        <v>0</v>
      </c>
      <c r="AA447" t="s">
        <v>223</v>
      </c>
      <c r="AB447" t="s">
        <v>224</v>
      </c>
      <c r="AC447" s="14" t="e">
        <f>W458</f>
        <v>#N/A</v>
      </c>
    </row>
    <row r="448" spans="1:29" hidden="1" outlineLevel="1" x14ac:dyDescent="0.25">
      <c r="A448" s="69" t="s">
        <v>103</v>
      </c>
      <c r="B448" s="95"/>
      <c r="C448" s="95"/>
      <c r="D448" s="106"/>
      <c r="E448" s="105"/>
      <c r="F448" s="101"/>
      <c r="H448" s="69" t="s">
        <v>103</v>
      </c>
      <c r="I448" s="95"/>
      <c r="J448" s="95"/>
      <c r="K448" s="106"/>
      <c r="L448" s="105"/>
      <c r="M448" s="101"/>
      <c r="Q448" s="10" t="s">
        <v>150</v>
      </c>
      <c r="R448">
        <f>IF(F444=Q448,E444,0)+IF(F445=Q448,E445,0)+IF(F440=Q448,E440,0)+IF(Q448=F441,E441,0)+IF(F442=Q448,E442,0)+IF(F443=Q448,E443,0)</f>
        <v>0</v>
      </c>
      <c r="S448">
        <f>IF(M443=Q448,L443,0)+IF(M444=Q448,L444,0)+IF(M445=Q448,L445,0)+IF(Q448=M440,L440,0)+IF(M441=Q448,L441,0)+IF(M442=Q448,L442,0)</f>
        <v>0</v>
      </c>
      <c r="T448">
        <f>IF(F448=Q448,E448,0)+IF(F449=Q448,E449,0)+IF(F450=Q448,E450,0)+IF(Q448=F451,E451,0)+IF(F452=Q448,E452,0)+IF(F453=Q448,E453,0)</f>
        <v>0</v>
      </c>
      <c r="U448">
        <f>IF(M448=Q448,L448,0)+IF(M449=Q448,L449,0)+IF(M450=Q448,L450,0)+IF(Q448=M451,L451,0)+IF(M452=Q448,L452,0)+IF(M453=Q448,L453,0)</f>
        <v>0</v>
      </c>
      <c r="V448">
        <f>IF(F456=Q448,E456,0)+IF(F457=Q448,E457,0)+IF(F458=Q448,E458,0)+IF(Q448=F459,E459,0)+IF(F460=Q448,E460,0)+IF(F461=Q448,E461,0)</f>
        <v>0</v>
      </c>
      <c r="W448" s="63">
        <f t="shared" si="76"/>
        <v>0</v>
      </c>
      <c r="AB448" t="s">
        <v>267</v>
      </c>
      <c r="AC448">
        <f>(SUM(B440:B446))</f>
        <v>0</v>
      </c>
    </row>
    <row r="449" spans="1:29" hidden="1" outlineLevel="1" x14ac:dyDescent="0.25">
      <c r="A449" s="69" t="s">
        <v>104</v>
      </c>
      <c r="B449" s="96"/>
      <c r="C449" s="96"/>
      <c r="D449" s="102"/>
      <c r="E449" s="103"/>
      <c r="F449" s="38"/>
      <c r="H449" s="69" t="s">
        <v>104</v>
      </c>
      <c r="I449" s="96"/>
      <c r="J449" s="96"/>
      <c r="K449" s="102"/>
      <c r="L449" s="103"/>
      <c r="M449" s="38"/>
      <c r="Q449" s="10" t="s">
        <v>502</v>
      </c>
      <c r="R449">
        <f>IF(F445=Q449,E445,0)+IF(F440=Q449,E440,0)+IF(F441=Q449,E441,0)+IF(Q449=F442,E442,0)+IF(F443=Q449,E443,0)+IF(F444=Q449,E444,0)</f>
        <v>0</v>
      </c>
      <c r="S449">
        <f>IF(M443=Q449,L443,0)+IF(M444=Q449,L444,0)+IF(M445=Q449,L445,0)+IF(Q449=M440,L440,0)+IF(M441=Q449,L441,0)+IF(M442=Q449,L442,0)</f>
        <v>0</v>
      </c>
      <c r="T449">
        <f>IF(F448=Q449,E448,0)+IF(F449=Q449,E449,0)+IF(F450=Q449,E450,0)+IF(Q449=F451,E451,0)+IF(F452=Q449,E452,0)+IF(F453=Q449,E453,0)</f>
        <v>0</v>
      </c>
      <c r="U449">
        <f>IF(M448=Q449,L448,0)+IF(M449=Q449,L449,0)+IF(M450=Q449,L450,0)+IF(Q449=M451,L451,0)+IF(M452=Q449,L452,0)+IF(M453=Q449,L453,0)</f>
        <v>0</v>
      </c>
      <c r="V449">
        <f>IF(F456=Q449,E456,0)+IF(F457=Q449,E457,0)+IF(F458=Q449,E458,0)+IF(Q449=F459,E459,0)+IF(F460=Q449,E460,0)+IF(F461=Q449,E461,0)</f>
        <v>0</v>
      </c>
      <c r="W449" s="63">
        <f t="shared" si="76"/>
        <v>0</v>
      </c>
      <c r="AB449" t="s">
        <v>268</v>
      </c>
      <c r="AC449">
        <f>(SUM(I440:I446))</f>
        <v>0</v>
      </c>
    </row>
    <row r="450" spans="1:29" hidden="1" outlineLevel="1" x14ac:dyDescent="0.25">
      <c r="A450" s="69" t="s">
        <v>105</v>
      </c>
      <c r="B450" s="96"/>
      <c r="C450" s="96"/>
      <c r="D450" s="102"/>
      <c r="E450" s="103"/>
      <c r="F450" s="38"/>
      <c r="H450" s="69" t="s">
        <v>105</v>
      </c>
      <c r="I450" s="96"/>
      <c r="J450" s="96"/>
      <c r="K450" s="102"/>
      <c r="L450" s="103"/>
      <c r="M450" s="38"/>
      <c r="Q450" s="10" t="s">
        <v>498</v>
      </c>
      <c r="R450">
        <f>IF(F440=Q450,E440,0)+IF(F441=Q450,E441,0)+IF(F442=Q450,E442,0)+IF(Q450=F443,E443,0)+IF(F444=Q450,E444,0)+IF(F445=Q450,E445,0)</f>
        <v>0</v>
      </c>
      <c r="S450">
        <f>IF(M443=Q450,L443,0)+IF(M444=Q450,L444,0)+IF(M445=Q450,L445,0)+IF(Q450=M440,L440,0)+IF(M441=Q450,L441,0)+IF(M442=Q450,L442,0)</f>
        <v>0</v>
      </c>
      <c r="T450">
        <f>IF(F448=Q450,E448,0)+IF(F449=Q450,E449,0)+IF(F450=Q450,E450,0)+IF(Q450=F451,E451,0)+IF(F452=Q450,E452,0)+IF(F453=Q450,E453,0)</f>
        <v>0</v>
      </c>
      <c r="U450">
        <f>IF(M448=Q450,L448,0)+IF(M449=Q450,L449,0)+IF(M450=Q450,L450,0)+IF(Q450=M451,L451,0)+IF(M452=Q450,L452,0)+IF(M453=Q450,L453,0)</f>
        <v>0</v>
      </c>
      <c r="V450">
        <f>IF(F456=Q450,E456,0)+IF(F457=Q450,E457,0)+IF(F458=Q450,E458,0)+IF(Q450=F459,E459,0)+IF(F460=Q450,E460,0)+IF(F461=Q450,E461,0)</f>
        <v>0</v>
      </c>
      <c r="W450" s="63">
        <f t="shared" si="76"/>
        <v>0</v>
      </c>
      <c r="AB450" t="s">
        <v>269</v>
      </c>
      <c r="AC450">
        <f>(SUM(B448:B454))</f>
        <v>0</v>
      </c>
    </row>
    <row r="451" spans="1:29" hidden="1" outlineLevel="1" x14ac:dyDescent="0.25">
      <c r="A451" s="69" t="s">
        <v>106</v>
      </c>
      <c r="B451" s="96"/>
      <c r="C451" s="96"/>
      <c r="D451" s="102"/>
      <c r="E451" s="103"/>
      <c r="F451" s="38"/>
      <c r="H451" s="69" t="s">
        <v>106</v>
      </c>
      <c r="I451" s="96"/>
      <c r="J451" s="96"/>
      <c r="K451" s="102"/>
      <c r="L451" s="103"/>
      <c r="M451" s="38"/>
      <c r="P451" s="72"/>
      <c r="Q451" s="73" t="s">
        <v>501</v>
      </c>
      <c r="R451" s="72">
        <f>IF(F441=Q451,E441,0)+IF(F442=Q451,E442,0)+IF(F443=Q451,E443,0)+IF(Q451=F444,E444,0)+IF(F445=Q451,E445,0)+IF(F440=Q451,E440,0)</f>
        <v>0</v>
      </c>
      <c r="S451" s="72">
        <f>IF(M443=Q451,L443,0)+IF(M444=Q451,L444,0)+IF(M445=Q451,L445,0)+IF(Q451=M440,L440,0)+IF(M441=Q451,L441,0)+IF(M442=Q451,L442,0)</f>
        <v>0</v>
      </c>
      <c r="T451" s="72">
        <f>IF(F448=Q451,E448,0)+IF(F449=Q451,E449,0)+IF(F450=Q451,E450,0)+IF(Q451=F451,E451,0)+IF(F452=Q451,E452,0)+IF(F453=Q451,E453,0)</f>
        <v>0</v>
      </c>
      <c r="U451" s="72">
        <f>IF(M448=Q451,L448,0)+IF(M449=Q451,L449,0)+IF(M450=Q451,L450,0)+IF(Q451=M451,L451,0)+IF(M452=Q451,L452,0)+IF(M453=Q451,L453,0)</f>
        <v>0</v>
      </c>
      <c r="V451" s="72">
        <f>IF(F456=Q451,E456,0)+IF(F457=Q451,E457,0)+IF(F458=Q451,E458,0)+IF(Q451=F459,E459,0)+IF(F460=Q451,E460,0)+IF(F461=Q451,E461,0)</f>
        <v>0</v>
      </c>
      <c r="W451" s="74">
        <f t="shared" si="76"/>
        <v>0</v>
      </c>
      <c r="AB451" t="s">
        <v>270</v>
      </c>
      <c r="AC451">
        <f>(SUM(I448:I454))</f>
        <v>0</v>
      </c>
    </row>
    <row r="452" spans="1:29" hidden="1" outlineLevel="1" x14ac:dyDescent="0.25">
      <c r="A452" s="69" t="s">
        <v>107</v>
      </c>
      <c r="B452" s="96"/>
      <c r="C452" s="96"/>
      <c r="D452" s="102"/>
      <c r="E452" s="103"/>
      <c r="F452" s="38"/>
      <c r="H452" s="69" t="s">
        <v>107</v>
      </c>
      <c r="I452" s="96"/>
      <c r="J452" s="96"/>
      <c r="K452" s="102"/>
      <c r="L452" s="103"/>
      <c r="M452" s="38"/>
      <c r="Q452" s="75" t="s">
        <v>169</v>
      </c>
      <c r="R452" s="2" t="e">
        <f>IF(M437="Règlement HC",K437*10%,0)</f>
        <v>#N/A</v>
      </c>
      <c r="S452" s="2" t="e">
        <f>IF(M437="Règlement HC",K437*10%,0)</f>
        <v>#N/A</v>
      </c>
      <c r="T452" s="2" t="e">
        <f>IF(M437="Règlement HC",K437*10%,0)</f>
        <v>#N/A</v>
      </c>
      <c r="U452" s="2" t="e">
        <f>IF(M437="Règlement HC",K437*10%,0)</f>
        <v>#N/A</v>
      </c>
      <c r="V452" s="2" t="e">
        <f>IF(M437="Règlement HC",K437*10%,0)</f>
        <v>#N/A</v>
      </c>
      <c r="W452" s="76"/>
      <c r="AB452" t="s">
        <v>271</v>
      </c>
      <c r="AC452">
        <f>(SUM(B456:B462))</f>
        <v>0</v>
      </c>
    </row>
    <row r="453" spans="1:29" hidden="1" outlineLevel="1" x14ac:dyDescent="0.25">
      <c r="A453" s="69" t="s">
        <v>108</v>
      </c>
      <c r="B453" s="96"/>
      <c r="C453" s="96"/>
      <c r="D453" s="102"/>
      <c r="E453" s="103"/>
      <c r="F453" s="38"/>
      <c r="H453" s="69" t="s">
        <v>108</v>
      </c>
      <c r="I453" s="96"/>
      <c r="J453" s="96"/>
      <c r="K453" s="102"/>
      <c r="L453" s="103"/>
      <c r="M453" s="38"/>
      <c r="Q453" s="75" t="s">
        <v>175</v>
      </c>
      <c r="R453" s="2" t="e">
        <f>IF(M437="Règlement HC",SUM(B440:B446)-K437,0)</f>
        <v>#N/A</v>
      </c>
      <c r="S453" s="2" t="e">
        <f>IF(M437="Règlement HC",SUM(I440:I446)-K437,0)</f>
        <v>#N/A</v>
      </c>
      <c r="T453" s="2" t="e">
        <f>IF(M437="Règlement HC",SUM(B448:B454)-K437,0)</f>
        <v>#N/A</v>
      </c>
      <c r="U453" s="2" t="e">
        <f>IF(M437="Règlement HC",SUM(I448:I454)-K437,0)</f>
        <v>#N/A</v>
      </c>
      <c r="V453" s="2" t="e">
        <f>IF(M437="Règlement HC",SUM(B456:B462)-K437,0)</f>
        <v>#N/A</v>
      </c>
      <c r="W453" s="63" t="e">
        <f>SUM((IF(R453&gt;0,R453,0)+(IF(S453&gt;0,S453,0)+(IF(T453&gt;0,T453,0)+(IF(U453&gt;0,U453,0)+(IF(V453&gt;0,V453,0)))))))</f>
        <v>#N/A</v>
      </c>
      <c r="AA453" t="s">
        <v>313</v>
      </c>
      <c r="AB453" t="s">
        <v>314</v>
      </c>
      <c r="AC453" t="e">
        <f>W457</f>
        <v>#N/A</v>
      </c>
    </row>
    <row r="454" spans="1:29" ht="15.75" hidden="1" outlineLevel="1" thickBot="1" x14ac:dyDescent="0.3">
      <c r="A454" s="70" t="s">
        <v>109</v>
      </c>
      <c r="B454" s="97"/>
      <c r="C454" s="97"/>
      <c r="D454" s="71"/>
      <c r="E454" s="104"/>
      <c r="F454" s="38"/>
      <c r="H454" s="70" t="s">
        <v>109</v>
      </c>
      <c r="I454" s="97"/>
      <c r="J454" s="97"/>
      <c r="K454" s="71"/>
      <c r="L454" s="104"/>
      <c r="M454" s="39"/>
      <c r="P454" t="s">
        <v>170</v>
      </c>
      <c r="Q454" s="10" t="s">
        <v>162</v>
      </c>
      <c r="R454" t="e">
        <f>IF(R453&gt;=R452,R452,R453)</f>
        <v>#N/A</v>
      </c>
      <c r="S454" t="e">
        <f>IF(S453&gt;=S452,S452,S453)</f>
        <v>#N/A</v>
      </c>
      <c r="T454" t="e">
        <f>IF(T453&gt;=T452,T452,T453)</f>
        <v>#N/A</v>
      </c>
      <c r="U454" t="e">
        <f>IF(U453&gt;=U452,U452,U453)</f>
        <v>#N/A</v>
      </c>
      <c r="V454" t="e">
        <f>IF(V453&gt;=V452,V452,V453)</f>
        <v>#N/A</v>
      </c>
      <c r="W454" s="63" t="e">
        <f>SUM((IF(R454&gt;0,R454,0)+(IF(S454&gt;0,S454,0)+(IF(T454&gt;0,T454,0)+(IF(U454&gt;0,U454,0)+(IF(V454&gt;0,V454,0)))))))</f>
        <v>#N/A</v>
      </c>
    </row>
    <row r="455" spans="1:29" ht="15.75" hidden="1" outlineLevel="1" thickBot="1" x14ac:dyDescent="0.3">
      <c r="A455" s="64" t="str">
        <f>A422</f>
        <v>Ne pas saisir</v>
      </c>
      <c r="B455" s="65" t="e">
        <f>B439</f>
        <v>#N/A</v>
      </c>
      <c r="C455" s="65" t="str">
        <f>C439</f>
        <v>Férié</v>
      </c>
      <c r="D455" s="66" t="e">
        <f>D439</f>
        <v>#N/A</v>
      </c>
      <c r="E455" s="66" t="e">
        <f>E439</f>
        <v>#N/A</v>
      </c>
      <c r="F455" s="67" t="str">
        <f>F439</f>
        <v>Type absence</v>
      </c>
      <c r="H455" s="77" t="s">
        <v>136</v>
      </c>
      <c r="I455" s="78" t="e">
        <f>B439</f>
        <v>#N/A</v>
      </c>
      <c r="J455" s="78" t="str">
        <f>C439</f>
        <v>Férié</v>
      </c>
      <c r="K455" s="79" t="e">
        <f>D439</f>
        <v>#N/A</v>
      </c>
      <c r="L455" s="80" t="e">
        <f>E439</f>
        <v>#N/A</v>
      </c>
      <c r="M455" s="49"/>
      <c r="P455" t="s">
        <v>170</v>
      </c>
      <c r="Q455" s="10" t="s">
        <v>163</v>
      </c>
      <c r="R455" t="e">
        <f>R453-R454</f>
        <v>#N/A</v>
      </c>
      <c r="S455" t="e">
        <f>S453-S454</f>
        <v>#N/A</v>
      </c>
      <c r="T455" t="e">
        <f>T453-T454</f>
        <v>#N/A</v>
      </c>
      <c r="U455" t="e">
        <f>U453-U454</f>
        <v>#N/A</v>
      </c>
      <c r="V455" t="e">
        <f>V453-V454</f>
        <v>#N/A</v>
      </c>
      <c r="W455" s="63" t="e">
        <f t="shared" ref="W455:W460" si="77">SUM(R455:V455)</f>
        <v>#N/A</v>
      </c>
    </row>
    <row r="456" spans="1:29" hidden="1" outlineLevel="1" x14ac:dyDescent="0.25">
      <c r="A456" s="69" t="s">
        <v>103</v>
      </c>
      <c r="B456" s="95"/>
      <c r="C456" s="95"/>
      <c r="D456" s="106"/>
      <c r="E456" s="105"/>
      <c r="F456" s="101"/>
      <c r="H456" s="81" t="s">
        <v>103</v>
      </c>
      <c r="I456" s="82">
        <f t="shared" ref="I456:I461" si="78">B440+I440+B448+I448+B456</f>
        <v>0</v>
      </c>
      <c r="J456" s="82">
        <f t="shared" ref="J456:J461" si="79">C440+J440+C448+J448+C456</f>
        <v>0</v>
      </c>
      <c r="K456" s="83">
        <f t="shared" ref="K456:K461" si="80">D440+K440+D448+K448+D456</f>
        <v>0</v>
      </c>
      <c r="L456" s="84">
        <f t="shared" ref="L456:L461" si="81">E440+L440+E448+L448+E456</f>
        <v>0</v>
      </c>
      <c r="M456" s="303" t="s">
        <v>177</v>
      </c>
      <c r="N456" s="304"/>
      <c r="O456" s="304"/>
      <c r="Q456" s="10" t="s">
        <v>164</v>
      </c>
      <c r="R456" t="e">
        <f>IF(AND(K437="non",(SUM(B440:B446)&gt;U436)),SUM(B440:B446)-U436,0)</f>
        <v>#N/A</v>
      </c>
      <c r="S456" t="e">
        <f>IF(AND(K437="non",(SUM(I440:I446)&gt;U436)),SUM(I440:I446)-U436,0)</f>
        <v>#N/A</v>
      </c>
      <c r="T456" t="e">
        <f>IF(AND(K437="non",(SUM(B448:B454)&gt;U436)),SUM(B448:B454)-U436,0)</f>
        <v>#N/A</v>
      </c>
      <c r="U456" t="e">
        <f>IF(AND(K437="non",(SUM(I448:I454)&gt;U436)),SUM(I448:I454)-U436,0)</f>
        <v>#N/A</v>
      </c>
      <c r="V456" t="e">
        <f>IF(AND(K437="non",(SUM(B456:B462)&gt;U436)),SUM(B456:B462)-U436,0)</f>
        <v>#N/A</v>
      </c>
      <c r="W456" s="63" t="e">
        <f t="shared" si="77"/>
        <v>#N/A</v>
      </c>
    </row>
    <row r="457" spans="1:29" hidden="1" outlineLevel="1" x14ac:dyDescent="0.25">
      <c r="A457" s="69" t="s">
        <v>104</v>
      </c>
      <c r="B457" s="96"/>
      <c r="C457" s="96"/>
      <c r="D457" s="102"/>
      <c r="E457" s="103"/>
      <c r="F457" s="38"/>
      <c r="H457" s="81" t="s">
        <v>104</v>
      </c>
      <c r="I457" s="88">
        <f t="shared" si="78"/>
        <v>0</v>
      </c>
      <c r="J457" s="88">
        <f t="shared" si="79"/>
        <v>0</v>
      </c>
      <c r="K457" s="89">
        <f t="shared" si="80"/>
        <v>0</v>
      </c>
      <c r="L457" s="90">
        <f t="shared" si="81"/>
        <v>0</v>
      </c>
      <c r="M457" s="49"/>
      <c r="P457" t="s">
        <v>167</v>
      </c>
      <c r="Q457" s="10" t="s">
        <v>165</v>
      </c>
      <c r="R457" t="e">
        <f>IF(H438="Cadre",0,SUM(C440:C446))</f>
        <v>#N/A</v>
      </c>
      <c r="S457" t="e">
        <f>IF(H438="Cadre",0,SUM(J440:J446))</f>
        <v>#N/A</v>
      </c>
      <c r="T457" t="e">
        <f>IF(H438="Cadre",0,SUM(C448:C454))</f>
        <v>#N/A</v>
      </c>
      <c r="U457" t="e">
        <f>IF(H438="Cadre",0,SUM(J448:J454))</f>
        <v>#N/A</v>
      </c>
      <c r="V457" t="e">
        <f>IF(H438="Cadre",0,SUM(C456:C462))</f>
        <v>#N/A</v>
      </c>
      <c r="W457" s="63" t="e">
        <f t="shared" si="77"/>
        <v>#N/A</v>
      </c>
    </row>
    <row r="458" spans="1:29" hidden="1" outlineLevel="1" x14ac:dyDescent="0.25">
      <c r="A458" s="69" t="s">
        <v>105</v>
      </c>
      <c r="B458" s="96"/>
      <c r="C458" s="96"/>
      <c r="D458" s="102"/>
      <c r="E458" s="103"/>
      <c r="F458" s="38"/>
      <c r="H458" s="81" t="s">
        <v>105</v>
      </c>
      <c r="I458" s="88">
        <f t="shared" si="78"/>
        <v>0</v>
      </c>
      <c r="J458" s="88">
        <f t="shared" si="79"/>
        <v>0</v>
      </c>
      <c r="K458" s="89">
        <f t="shared" si="80"/>
        <v>0</v>
      </c>
      <c r="L458" s="90">
        <f t="shared" si="81"/>
        <v>0</v>
      </c>
      <c r="M458" s="49"/>
      <c r="P458" t="s">
        <v>168</v>
      </c>
      <c r="Q458" s="10" t="s">
        <v>165</v>
      </c>
      <c r="R458" t="e">
        <f>IF(H438="Cadre",((SUM(C440:C446)/2)*5),0)</f>
        <v>#N/A</v>
      </c>
      <c r="S458" t="e">
        <f>IF(H438="Cadre",(SUM(J440:J446)/2*5),0)</f>
        <v>#N/A</v>
      </c>
      <c r="T458" t="e">
        <f>IF(H438="Cadre",(SUM(C448:C454)/2*5),0)</f>
        <v>#N/A</v>
      </c>
      <c r="U458" t="e">
        <f>IF(H438="Cadre",(SUM(J448:J454)/2*5),0)</f>
        <v>#N/A</v>
      </c>
      <c r="V458" t="e">
        <f>IF(H438="Cadre",(SUM(C456:C462)/2*5),0)</f>
        <v>#N/A</v>
      </c>
      <c r="W458" s="63" t="e">
        <f t="shared" si="77"/>
        <v>#N/A</v>
      </c>
    </row>
    <row r="459" spans="1:29" hidden="1" outlineLevel="1" x14ac:dyDescent="0.25">
      <c r="A459" s="69" t="s">
        <v>106</v>
      </c>
      <c r="B459" s="96"/>
      <c r="C459" s="96"/>
      <c r="D459" s="102"/>
      <c r="E459" s="103"/>
      <c r="F459" s="38"/>
      <c r="H459" s="81" t="s">
        <v>106</v>
      </c>
      <c r="I459" s="88">
        <f t="shared" si="78"/>
        <v>0</v>
      </c>
      <c r="J459" s="88">
        <f t="shared" si="79"/>
        <v>0</v>
      </c>
      <c r="K459" s="89">
        <f t="shared" si="80"/>
        <v>0</v>
      </c>
      <c r="L459" s="90">
        <f t="shared" si="81"/>
        <v>0</v>
      </c>
      <c r="M459" s="49"/>
      <c r="P459" t="s">
        <v>166</v>
      </c>
      <c r="Q459" s="10" t="s">
        <v>159</v>
      </c>
      <c r="R459" t="e">
        <f>IF(H438="Employé",B446,0)</f>
        <v>#N/A</v>
      </c>
      <c r="S459" t="e">
        <f>IF(H438="Employé",I446,0)</f>
        <v>#N/A</v>
      </c>
      <c r="T459" t="e">
        <f>IF(H438="Employé",B454,0)</f>
        <v>#N/A</v>
      </c>
      <c r="U459" t="e">
        <f>IF(H438="Employé",I454,0)</f>
        <v>#N/A</v>
      </c>
      <c r="V459" t="e">
        <f>IF(H438="Employé",B462,0)</f>
        <v>#N/A</v>
      </c>
      <c r="W459" s="63" t="e">
        <f t="shared" si="77"/>
        <v>#N/A</v>
      </c>
    </row>
    <row r="460" spans="1:29" hidden="1" outlineLevel="1" x14ac:dyDescent="0.25">
      <c r="A460" s="69" t="s">
        <v>107</v>
      </c>
      <c r="B460" s="96"/>
      <c r="C460" s="96"/>
      <c r="D460" s="102"/>
      <c r="E460" s="103"/>
      <c r="F460" s="38"/>
      <c r="H460" s="81" t="s">
        <v>107</v>
      </c>
      <c r="I460" s="88">
        <f t="shared" si="78"/>
        <v>0</v>
      </c>
      <c r="J460" s="88">
        <f t="shared" si="79"/>
        <v>0</v>
      </c>
      <c r="K460" s="89">
        <f t="shared" si="80"/>
        <v>0</v>
      </c>
      <c r="L460" s="90">
        <f t="shared" si="81"/>
        <v>0</v>
      </c>
      <c r="M460" s="303" t="s">
        <v>178</v>
      </c>
      <c r="N460" s="304"/>
      <c r="O460" s="304"/>
      <c r="P460" t="s">
        <v>297</v>
      </c>
      <c r="Q460" s="10" t="s">
        <v>159</v>
      </c>
      <c r="R460" t="e">
        <f>IF(H438="Cadre",IF(B446=2,5,0),0)</f>
        <v>#N/A</v>
      </c>
      <c r="S460" t="e">
        <f>IF(H438="Cadre",IF(I446=2,5,0),0)</f>
        <v>#N/A</v>
      </c>
      <c r="T460" t="e">
        <f>IF(H438="Cadre",IF(B454=2,5,0),0)</f>
        <v>#N/A</v>
      </c>
      <c r="U460" t="e">
        <f>IF(H438="Cadre",IF(I454=2,5,0),0)</f>
        <v>#N/A</v>
      </c>
      <c r="V460" t="e">
        <f>IF(H438="Cadre",IF(B462=2,5,0),0)</f>
        <v>#N/A</v>
      </c>
      <c r="W460" s="63" t="e">
        <f t="shared" si="77"/>
        <v>#N/A</v>
      </c>
    </row>
    <row r="461" spans="1:29" hidden="1" outlineLevel="1" x14ac:dyDescent="0.25">
      <c r="A461" s="69" t="s">
        <v>108</v>
      </c>
      <c r="B461" s="96"/>
      <c r="C461" s="96"/>
      <c r="D461" s="102"/>
      <c r="E461" s="103"/>
      <c r="F461" s="38"/>
      <c r="H461" s="81" t="s">
        <v>108</v>
      </c>
      <c r="I461" s="88">
        <f t="shared" si="78"/>
        <v>0</v>
      </c>
      <c r="J461" s="88">
        <f t="shared" si="79"/>
        <v>0</v>
      </c>
      <c r="K461" s="89">
        <f t="shared" si="80"/>
        <v>0</v>
      </c>
      <c r="L461" s="90">
        <f t="shared" si="81"/>
        <v>0</v>
      </c>
      <c r="M461" s="49"/>
      <c r="P461" t="s">
        <v>171</v>
      </c>
      <c r="Q461" s="10" t="s">
        <v>172</v>
      </c>
      <c r="R461" s="2"/>
      <c r="S461" s="2"/>
      <c r="T461" s="2"/>
      <c r="U461" s="2"/>
      <c r="V461" s="2"/>
      <c r="W461" s="91" t="e">
        <f>IF(AND(K437="non",H438="Employé"),SUM(I456:I462)+(SUM(W438:W451)-W434),(SUM(I456:I462)-W453)+(SUM(W438:W451)-W434))</f>
        <v>#N/A</v>
      </c>
    </row>
    <row r="462" spans="1:29" ht="15.75" hidden="1" outlineLevel="1" thickBot="1" x14ac:dyDescent="0.3">
      <c r="A462" s="70" t="s">
        <v>109</v>
      </c>
      <c r="B462" s="97"/>
      <c r="C462" s="97"/>
      <c r="D462" s="71"/>
      <c r="E462" s="104"/>
      <c r="F462" s="39"/>
      <c r="H462" s="92" t="s">
        <v>109</v>
      </c>
      <c r="I462" s="93">
        <f>(B446+I446+B454+I454+B462)</f>
        <v>0</v>
      </c>
      <c r="J462" s="93">
        <f>(C446+J446+C454+J454+C462)</f>
        <v>0</v>
      </c>
      <c r="K462" s="71">
        <f>(D446+K446+D454+K454+D462)</f>
        <v>0</v>
      </c>
      <c r="L462" s="94">
        <f>(E446+L446+E454+L454+E462)</f>
        <v>0</v>
      </c>
      <c r="M462" s="49"/>
      <c r="P462" t="s">
        <v>176</v>
      </c>
      <c r="Q462" s="10" t="s">
        <v>172</v>
      </c>
      <c r="R462" s="2"/>
      <c r="S462" s="2"/>
      <c r="T462" s="2"/>
      <c r="U462" s="2"/>
      <c r="V462" s="2"/>
      <c r="W462" s="91" t="e">
        <f>IF(H438="Cadre",((SUM(I456:I462)+SUM(W438:W451)-W440-W441)/2),0)</f>
        <v>#N/A</v>
      </c>
    </row>
    <row r="463" spans="1:29" ht="15" customHeight="1" collapsed="1" x14ac:dyDescent="0.25">
      <c r="D463" s="302" t="s">
        <v>298</v>
      </c>
      <c r="E463" s="302"/>
      <c r="F463" s="302"/>
      <c r="G463" s="302"/>
      <c r="H463" s="302"/>
      <c r="I463" s="302"/>
      <c r="J463" s="302"/>
      <c r="K463" s="302"/>
      <c r="L463" s="42" t="s">
        <v>291</v>
      </c>
      <c r="N463" s="43"/>
      <c r="O463" s="43" t="s">
        <v>179</v>
      </c>
      <c r="P463" s="15" t="s">
        <v>157</v>
      </c>
      <c r="AA463" s="15" t="s">
        <v>157</v>
      </c>
    </row>
    <row r="464" spans="1:29" hidden="1" outlineLevel="1" x14ac:dyDescent="0.25">
      <c r="D464" s="302"/>
      <c r="E464" s="302"/>
      <c r="F464" s="302"/>
      <c r="G464" s="302"/>
      <c r="H464" s="302"/>
      <c r="I464" s="302"/>
      <c r="J464" s="302"/>
      <c r="K464" s="302"/>
      <c r="N464" s="43"/>
      <c r="O464" s="43" t="s">
        <v>180</v>
      </c>
      <c r="AC464" t="s">
        <v>201</v>
      </c>
    </row>
    <row r="465" spans="1:29" hidden="1" outlineLevel="1" x14ac:dyDescent="0.25">
      <c r="D465" s="302"/>
      <c r="E465" s="302"/>
      <c r="F465" s="302"/>
      <c r="G465" s="302"/>
      <c r="H465" s="302"/>
      <c r="I465" s="302"/>
      <c r="J465" s="302"/>
      <c r="K465" s="302"/>
      <c r="N465" s="44"/>
      <c r="O465" s="44" t="s">
        <v>181</v>
      </c>
      <c r="AA465" s="15" t="s">
        <v>200</v>
      </c>
      <c r="AC465" s="2" t="str">
        <f>I467</f>
        <v>Juin</v>
      </c>
    </row>
    <row r="466" spans="1:29" hidden="1" outlineLevel="1" x14ac:dyDescent="0.25">
      <c r="A466" s="45" t="s">
        <v>3</v>
      </c>
      <c r="B466" s="46">
        <f>'Synthèse Horaires'!$B$4</f>
        <v>2026</v>
      </c>
      <c r="C466" s="47"/>
      <c r="D466" s="48" t="s">
        <v>1</v>
      </c>
      <c r="E466" s="46">
        <f>'Synthèse Horaires'!$D$4</f>
        <v>0</v>
      </c>
      <c r="F466" s="49"/>
      <c r="G466" s="49"/>
      <c r="H466" s="48" t="s">
        <v>2</v>
      </c>
      <c r="I466" s="47">
        <f>'Synthèse Horaires'!$I$4</f>
        <v>0</v>
      </c>
      <c r="J466" s="50"/>
      <c r="K466" s="50"/>
      <c r="N466" s="44"/>
      <c r="O466" s="44" t="s">
        <v>202</v>
      </c>
      <c r="V466" s="10" t="s">
        <v>174</v>
      </c>
      <c r="W466" s="51" t="e">
        <f>IF(K470="non",SUM(K489:K495)*(35/6),SUM(K489:K495)*(K470/6))</f>
        <v>#N/A</v>
      </c>
      <c r="AB466" t="s">
        <v>6</v>
      </c>
      <c r="AC466" s="14">
        <f>B470</f>
        <v>0</v>
      </c>
    </row>
    <row r="467" spans="1:29" hidden="1" outlineLevel="1" x14ac:dyDescent="0.25">
      <c r="A467" s="45" t="s">
        <v>10</v>
      </c>
      <c r="B467" s="49"/>
      <c r="C467" s="49"/>
      <c r="D467" s="50" t="str">
        <f>'Synthèse Horaires'!$C$6</f>
        <v>01 juin 2026 au 31 mai 2027.</v>
      </c>
      <c r="E467" s="2"/>
      <c r="H467" s="48" t="s">
        <v>205</v>
      </c>
      <c r="I467" s="47" t="str">
        <f>'Synthèse Horaires'!$I$5</f>
        <v>Juin</v>
      </c>
      <c r="N467" s="44"/>
      <c r="O467" s="44" t="s">
        <v>203</v>
      </c>
      <c r="V467" s="10" t="s">
        <v>173</v>
      </c>
      <c r="W467">
        <f>W473+W474</f>
        <v>0</v>
      </c>
      <c r="AB467" t="s">
        <v>57</v>
      </c>
      <c r="AC467" s="14" t="e">
        <f>B471</f>
        <v>#N/A</v>
      </c>
    </row>
    <row r="468" spans="1:29" hidden="1" outlineLevel="1" x14ac:dyDescent="0.25">
      <c r="AB468" t="s">
        <v>211</v>
      </c>
      <c r="AC468" s="14" t="e">
        <f>H471</f>
        <v>#N/A</v>
      </c>
    </row>
    <row r="469" spans="1:29" hidden="1" outlineLevel="1" x14ac:dyDescent="0.25">
      <c r="A469" s="4" t="s">
        <v>58</v>
      </c>
      <c r="B469" s="4"/>
      <c r="C469" s="4"/>
      <c r="D469" s="4"/>
      <c r="E469" s="4"/>
      <c r="F469" s="4"/>
      <c r="G469" s="4"/>
      <c r="H469" s="4"/>
      <c r="P469" s="53" t="s">
        <v>6</v>
      </c>
      <c r="Q469" s="2">
        <f>B470</f>
        <v>0</v>
      </c>
      <c r="T469" s="10" t="s">
        <v>76</v>
      </c>
      <c r="U469" s="2" t="e">
        <f>VLOOKUP(B470,'Base Matricule Siège'!$B$12:$H$1000,4,FALSE)</f>
        <v>#N/A</v>
      </c>
      <c r="AA469" t="s">
        <v>215</v>
      </c>
      <c r="AB469" t="s">
        <v>207</v>
      </c>
      <c r="AC469" s="14" t="e">
        <f>IF(AC468="Cadre",0,W494)</f>
        <v>#N/A</v>
      </c>
    </row>
    <row r="470" spans="1:29" hidden="1" outlineLevel="1" x14ac:dyDescent="0.25">
      <c r="A470" s="49" t="s">
        <v>18</v>
      </c>
      <c r="B470" s="113">
        <v>0</v>
      </c>
      <c r="E470" s="49"/>
      <c r="G470" s="57" t="s">
        <v>317</v>
      </c>
      <c r="H470" s="58" t="e">
        <f>VLOOKUP(B470,'Base Matricule Siège'!$B$13:$H$1000,7,FALSE)</f>
        <v>#N/A</v>
      </c>
      <c r="J470" s="10" t="s">
        <v>161</v>
      </c>
      <c r="K470" s="58" t="e">
        <f>IF((VLOOKUP('MASQUE COLLABORATEUR'!B470,'Base Matricule Siège'!$B$13:$E$1000,4,FALSE)&lt;'Base Matricule Siège'!$G$5),(VLOOKUP('MASQUE COLLABORATEUR'!B470,'Base Matricule Siège'!$B$13:$E$1000,4,FALSE)),"non")</f>
        <v>#N/A</v>
      </c>
      <c r="L470" s="114" t="s">
        <v>340</v>
      </c>
      <c r="M470" s="115" t="e">
        <f>IF(K470="non","0",VLOOKUP(B470,'Base Matricule Siège'!$B$13:$S$1000,18,FALSE))</f>
        <v>#N/A</v>
      </c>
      <c r="R470" t="s">
        <v>151</v>
      </c>
      <c r="S470" t="s">
        <v>152</v>
      </c>
      <c r="T470" t="s">
        <v>153</v>
      </c>
      <c r="U470" t="s">
        <v>154</v>
      </c>
      <c r="V470" t="s">
        <v>155</v>
      </c>
      <c r="W470" s="59" t="s">
        <v>156</v>
      </c>
      <c r="AB470" t="s">
        <v>11</v>
      </c>
      <c r="AC470" s="14" t="e">
        <f>W495</f>
        <v>#N/A</v>
      </c>
    </row>
    <row r="471" spans="1:29" ht="15.75" hidden="1" outlineLevel="1" thickBot="1" x14ac:dyDescent="0.3">
      <c r="A471" s="49" t="s">
        <v>59</v>
      </c>
      <c r="B471" s="2" t="e">
        <f>VLOOKUP(B470,'Base Matricule Siège'!$B$13:$C$1000,2,FALSE)</f>
        <v>#N/A</v>
      </c>
      <c r="C471" s="2"/>
      <c r="D471" s="2"/>
      <c r="G471" s="57" t="s">
        <v>158</v>
      </c>
      <c r="H471" s="58" t="e">
        <f>VLOOKUP(B470,'Base Matricule Siège'!$B$13:$G$1000,6,FALSE)</f>
        <v>#N/A</v>
      </c>
      <c r="P471" s="10" t="s">
        <v>142</v>
      </c>
      <c r="Q471" s="10" t="s">
        <v>149</v>
      </c>
      <c r="R471">
        <f>IF(F473=Q471,E473,0)+IF(F474=Q471,E474,0)+IF(F475=Q471,E475,0)+IF(Q471=F476,E476,0)+IF(F477=Q471,E477,0)+IF(F478=Q471,E478,0)</f>
        <v>0</v>
      </c>
      <c r="S471">
        <f>IF(M473=Q471,L473,0)+IF(M474=Q471,L474,0)+IF(M475=Q471,L475,0)+IF(Q471=M476,L476,0)+IF(M477=Q471,L477,0)+IF(M478=Q471,L478,0)</f>
        <v>0</v>
      </c>
      <c r="T471">
        <f>IF(F481=Q471,E481,0)+IF(F482=Q471,E482,0)+IF(F483=Q471,E483,0)+IF(Q471=F484,E484,0)+IF(F485=Q471,E485,0)+IF(F486=Q471,E486,0)</f>
        <v>0</v>
      </c>
      <c r="U471">
        <f>IF(M481=Q471,L481,0)+IF(M482=Q471,L482,0)+IF(M483=Q471,L483,0)+IF(Q471=M484,L484,0)+IF(M485=Q471,L485,0)+IF(M486=Q471,L486,0)</f>
        <v>0</v>
      </c>
      <c r="V471">
        <f>IF(F489=Q471,E489,0)+IF(F490=Q471,E490,0)+IF(F491=Q471,E491,0)+IF(Q471=F492,E492,0)+IF(F493=Q471,E493,0)+IF(F494=Q471,E494,0)</f>
        <v>0</v>
      </c>
      <c r="W471" s="63">
        <f>SUM(R471:V471)</f>
        <v>0</v>
      </c>
      <c r="AB471" t="s">
        <v>208</v>
      </c>
      <c r="AC471" s="14">
        <f>SUM(K489:K495)*2</f>
        <v>0</v>
      </c>
    </row>
    <row r="472" spans="1:29" ht="15.75" hidden="1" outlineLevel="1" thickBot="1" x14ac:dyDescent="0.3">
      <c r="A472" s="64" t="str">
        <f>A439</f>
        <v>Semaine 23</v>
      </c>
      <c r="B472" s="65" t="e">
        <f>IF(H471="Cadre","Demi J. Réalisées","H. Réalisées")</f>
        <v>#N/A</v>
      </c>
      <c r="C472" s="65" t="s">
        <v>141</v>
      </c>
      <c r="D472" s="66" t="e">
        <f>IF(H471="Cadre","CP en Demi J.","CP en jours")</f>
        <v>#N/A</v>
      </c>
      <c r="E472" s="66" t="e">
        <f>IF(H471="Cadre","Abs. En Demi J.","Absence en H.")</f>
        <v>#N/A</v>
      </c>
      <c r="F472" s="67" t="s">
        <v>110</v>
      </c>
      <c r="H472" s="64" t="str">
        <f>H439</f>
        <v>Semaine 24</v>
      </c>
      <c r="I472" s="65" t="e">
        <f>B472</f>
        <v>#N/A</v>
      </c>
      <c r="J472" s="65" t="str">
        <f>C472</f>
        <v>Férié</v>
      </c>
      <c r="K472" s="66" t="e">
        <f>D472</f>
        <v>#N/A</v>
      </c>
      <c r="L472" s="66" t="e">
        <f>E472</f>
        <v>#N/A</v>
      </c>
      <c r="M472" s="67" t="str">
        <f>F472</f>
        <v>Type absence</v>
      </c>
      <c r="Q472" s="10" t="s">
        <v>143</v>
      </c>
      <c r="R472">
        <f>IF(F473=Q472,E473,0)+IF(F474=Q472,E474,0)+IF(F475=Q472,E475,0)+IF(Q472=F476,E476,0)+IF(F478=Q472,E477,0)+IF(F477=Q472,E478,0)</f>
        <v>0</v>
      </c>
      <c r="S472">
        <f>IF(M474=Q472,L474,0)+IF(M475=Q472,L475,0)+IF(M476=Q472,L476,0)+IF(Q472=M477,L477,0)+IF(M478=Q472,L478,0)+IF(M473=Q472,L473,0)</f>
        <v>0</v>
      </c>
      <c r="T472">
        <f>IF(F481=Q472,E481,0)+IF(F482=Q472,E482,0)+IF(F483=Q472,E483,0)+IF(Q472=F484,E484,0)+IF(F485=Q472,E485,0)+IF(F486=Q472,E486,0)</f>
        <v>0</v>
      </c>
      <c r="U472">
        <f>IF(M481=Q472,L481,0)+IF(M482=Q472,L482,0)+IF(M483=Q472,L483,0)+IF(Q472=M484,L484,0)+IF(M485=Q472,L485,0)+IF(M486=Q472,L486,0)</f>
        <v>0</v>
      </c>
      <c r="V472">
        <f>IF(F489=Q472,E489,0)+IF(F490=Q472,E490,0)+IF(F491=Q472,E491,0)+IF(Q472=F492,E492,0)+IF(F493=Q472,E493,0)+IF(F494=Q472,E494,0)</f>
        <v>0</v>
      </c>
      <c r="W472" s="63">
        <f t="shared" ref="W472:W484" si="82">SUM(R472:V472)</f>
        <v>0</v>
      </c>
      <c r="AB472" t="s">
        <v>8</v>
      </c>
      <c r="AC472" s="14"/>
    </row>
    <row r="473" spans="1:29" hidden="1" outlineLevel="1" x14ac:dyDescent="0.25">
      <c r="A473" s="68" t="s">
        <v>103</v>
      </c>
      <c r="B473" s="98"/>
      <c r="C473" s="98"/>
      <c r="D473" s="99"/>
      <c r="E473" s="100"/>
      <c r="F473" s="101"/>
      <c r="H473" s="69" t="s">
        <v>103</v>
      </c>
      <c r="I473" s="95"/>
      <c r="J473" s="95"/>
      <c r="K473" s="106"/>
      <c r="L473" s="105"/>
      <c r="M473" s="101"/>
      <c r="Q473" s="10" t="s">
        <v>144</v>
      </c>
      <c r="R473">
        <f>IF(F475=Q473,E475,0)+IF(F476=Q473,E476,0)+IF(F477=Q473,E477,0)+IF(Q473=F478,E478,0)+IF(F473=Q473,E473,0)+IF(F474=Q473,E474,0)</f>
        <v>0</v>
      </c>
      <c r="S473">
        <f>IF(M475=Q473,L475,0)+IF(M476=Q473,L476,0)+IF(M477=Q473,L477,0)+IF(Q473=M478,L478,0)+IF(M473=Q473,L473,0)+IF(M474=Q473,L474,0)</f>
        <v>0</v>
      </c>
      <c r="T473">
        <f>IF(F481=Q473,E481,0)+IF(F482=Q473,E482,0)+IF(F483=Q473,E483,0)+IF(Q473=F484,E484,0)+IF(F485=Q473,E485,0)+IF(F486=Q473,E486,0)</f>
        <v>0</v>
      </c>
      <c r="U473">
        <f>IF(M481=Q473,L481,0)+IF(M482=Q473,L482,0)+IF(M483=Q473,L483,0)+IF(Q473=M484,L484,0)+IF(M485=Q473,L485,0)+IF(M486=Q473,L486,0)</f>
        <v>0</v>
      </c>
      <c r="V473">
        <f>IF(F489=Q473,E489,0)+IF(F490=Q473,E490,0)+IF(F491=Q473,E491,0)+IF(Q473=F492,E492,0)+IF(F493=Q473,E493,0)+IF(F494=Q473,E494,0)</f>
        <v>0</v>
      </c>
      <c r="W473" s="63">
        <f t="shared" si="82"/>
        <v>0</v>
      </c>
      <c r="AB473" t="s">
        <v>209</v>
      </c>
      <c r="AC473" s="14">
        <f>W473</f>
        <v>0</v>
      </c>
    </row>
    <row r="474" spans="1:29" hidden="1" outlineLevel="1" x14ac:dyDescent="0.25">
      <c r="A474" s="69" t="s">
        <v>104</v>
      </c>
      <c r="B474" s="96"/>
      <c r="C474" s="96"/>
      <c r="D474" s="102"/>
      <c r="E474" s="103"/>
      <c r="F474" s="38"/>
      <c r="H474" s="69" t="s">
        <v>104</v>
      </c>
      <c r="I474" s="96"/>
      <c r="J474" s="96"/>
      <c r="K474" s="102"/>
      <c r="L474" s="103"/>
      <c r="M474" s="38"/>
      <c r="Q474" s="10" t="s">
        <v>145</v>
      </c>
      <c r="R474">
        <f>IF(F476=Q474,E476,0)+IF(F477=Q474,E477,0)+IF(F478=Q474,E478,0)+IF(Q474=F473,E473,0)+IF(F474=Q474,E474,0)+IF(F475=Q474,E475,0)</f>
        <v>0</v>
      </c>
      <c r="S474">
        <f>IF(M476=Q474,L476,0)+IF(M477=Q474,L477,0)+IF(M478=Q474,L478,0)+IF(Q474=M473,L473,0)+IF(M474=Q474,L474,0)+IF(M475=Q474,L475,0)</f>
        <v>0</v>
      </c>
      <c r="T474">
        <f>IF(F481=Q474,$E481,0)+IF(F482=Q474,E482,0)+IF(F483=Q474,E483,0)+IF(Q474=F484,E484,0)+IF(F485=Q474,E485,0)+IF(F486=Q474,E486,0)</f>
        <v>0</v>
      </c>
      <c r="U474">
        <f>IF(M481=Q474,L481,0)+IF(M482=Q474,L482,0)+IF(M483=Q474,L483,0)+IF(Q474=M484,L484,0)+IF(M485=Q474,L485,0)+IF(M486=Q474,L486,0)</f>
        <v>0</v>
      </c>
      <c r="V474">
        <f>IF(F489=Q474,E489,0)+IF(F490=Q474,E490,0)+IF(F491=Q474,E491,0)+IF(Q474=F492,E492,0)+IF(F493=Q474,E493,0)+IF(F494=Q474,E494,0)</f>
        <v>0</v>
      </c>
      <c r="W474" s="63">
        <f t="shared" si="82"/>
        <v>0</v>
      </c>
      <c r="AB474" t="s">
        <v>210</v>
      </c>
      <c r="AC474" s="14">
        <f>SUM(W471:W484)-W473</f>
        <v>0</v>
      </c>
    </row>
    <row r="475" spans="1:29" hidden="1" outlineLevel="1" x14ac:dyDescent="0.25">
      <c r="A475" s="69" t="s">
        <v>105</v>
      </c>
      <c r="B475" s="96"/>
      <c r="C475" s="96"/>
      <c r="D475" s="102"/>
      <c r="E475" s="103"/>
      <c r="F475" s="38"/>
      <c r="H475" s="69" t="s">
        <v>105</v>
      </c>
      <c r="I475" s="96"/>
      <c r="J475" s="96"/>
      <c r="K475" s="102"/>
      <c r="L475" s="103"/>
      <c r="M475" s="38"/>
      <c r="Q475" s="10" t="s">
        <v>212</v>
      </c>
      <c r="R475">
        <f>IF(F477=Q475,E477,0)+IF(F478=Q475,E478,0)+IF(F473=Q475,E473,0)+IF(Q475=F474,E474,0)+IF(F475=Q475,E475,0)+IF(F476=Q475,E476,0)</f>
        <v>0</v>
      </c>
      <c r="S475">
        <f>IF(M476=Q475,L476,0)+IF(M477=Q475,L477,0)+IF(M478=Q475,L478,0)+IF(Q475=M473,L473,0)+IF(M474=Q475,L474,0)+IF(M475=Q475,L475,0)</f>
        <v>0</v>
      </c>
      <c r="T475">
        <f>IF(F481=Q475,E481,0)+IF(F482=Q475,E482,0)+IF(F483=Q475,E483,0)+IF(Q475=F484,E484,0)+IF(F485=Q475,E485,0)+IF(F486=Q475,E486,0)</f>
        <v>0</v>
      </c>
      <c r="U475">
        <f>IF(M481=Q475,L481,0)+IF(M482=Q475,L482,0)+IF(M483=Q475,L483,0)+IF(Q475=M484,L484,0)+IF(M485=Q475,L485,0)+IF(M486=Q475,L486,0)</f>
        <v>0</v>
      </c>
      <c r="V475">
        <f>IF(F489=Q475,E489,0)+IF(F490=Q475,E490,0)+IF(F491=Q475,E491,0)+IF(Q475=F492,E492,0)+IF(F493=Q475,E493,0)+IF(F494=Q475,E494,0)</f>
        <v>0</v>
      </c>
      <c r="W475" s="63">
        <f t="shared" si="82"/>
        <v>0</v>
      </c>
      <c r="AA475" t="s">
        <v>214</v>
      </c>
      <c r="AB475" t="s">
        <v>213</v>
      </c>
      <c r="AC475" s="14" t="e">
        <f>IF(AC468="Cadre",(W475/2),(W475/7))</f>
        <v>#N/A</v>
      </c>
    </row>
    <row r="476" spans="1:29" hidden="1" outlineLevel="1" x14ac:dyDescent="0.25">
      <c r="A476" s="69" t="s">
        <v>106</v>
      </c>
      <c r="B476" s="96"/>
      <c r="C476" s="96"/>
      <c r="D476" s="102"/>
      <c r="E476" s="103"/>
      <c r="F476" s="38"/>
      <c r="H476" s="69" t="s">
        <v>106</v>
      </c>
      <c r="I476" s="96"/>
      <c r="J476" s="96"/>
      <c r="K476" s="102"/>
      <c r="L476" s="103"/>
      <c r="M476" s="38"/>
      <c r="Q476" s="10" t="s">
        <v>146</v>
      </c>
      <c r="R476">
        <f>IF(F478=Q476,E478,0)+IF(F473=Q476,E473,0)+IF(F474=Q476,E474,0)+IF(Q476=F475,E475,0)+IF(F476=Q476,E476,0)+IF(F477=Q476,E477,0)</f>
        <v>0</v>
      </c>
      <c r="S476">
        <f>IF(M476=Q476,L476,0)+IF(M477=Q476,L477,0)+IF(M478=Q476,L478,0)+IF(Q476=M473,$L$11,0)+IF(M474=Q476,L474,0)+IF(M475=Q476,L475,0)</f>
        <v>0</v>
      </c>
      <c r="T476">
        <f>IF(F481=Q476,E481,0)+IF(F482=Q476,E482,0)+IF(F483=Q476,E483,0)+IF(Q476=F484,E484,0)+IF(F485=Q476,E485,0)+IF(F486=Q476,E486,0)</f>
        <v>0</v>
      </c>
      <c r="U476">
        <f>IF(M481=Q476,L481,0)+IF(M482=Q476,L482,0)+IF(M483=Q476,L483,0)+IF(Q476=M484,L484,0)+IF(M485=Q476,L485,0)+IF(M486=Q476,L486,0)</f>
        <v>0</v>
      </c>
      <c r="V476">
        <f>IF(F489=Q476,E489,0)+IF(F490=Q476,E490,0)+IF(F491=Q476,E491,0)+IF(Q476=F492,E492,0)+IF(F493=Q476,E493,0)+IF(F494=Q476,E494,0)</f>
        <v>0</v>
      </c>
      <c r="W476" s="63">
        <f t="shared" si="82"/>
        <v>0</v>
      </c>
      <c r="AA476" t="s">
        <v>216</v>
      </c>
      <c r="AB476" t="s">
        <v>217</v>
      </c>
      <c r="AC476" s="14" t="e">
        <f>W488+W489</f>
        <v>#N/A</v>
      </c>
    </row>
    <row r="477" spans="1:29" hidden="1" outlineLevel="1" x14ac:dyDescent="0.25">
      <c r="A477" s="69" t="s">
        <v>107</v>
      </c>
      <c r="B477" s="96"/>
      <c r="C477" s="96"/>
      <c r="D477" s="102"/>
      <c r="E477" s="103"/>
      <c r="F477" s="38"/>
      <c r="H477" s="69" t="s">
        <v>107</v>
      </c>
      <c r="I477" s="96"/>
      <c r="J477" s="96"/>
      <c r="K477" s="102"/>
      <c r="L477" s="103"/>
      <c r="M477" s="38"/>
      <c r="Q477" s="10" t="s">
        <v>499</v>
      </c>
      <c r="R477">
        <f>IF(F473=Q477,E473,0)+IF(F474=Q477,E474,0)+IF(F475=Q477,E475,0)+IF(Q477=F476,E476,0)+IF(F477=Q477,E477,0)+IF(F478=Q477,E478,0)</f>
        <v>0</v>
      </c>
      <c r="S477">
        <f>IF(M476=Q477,L476,0)+IF(M477=Q477,L477,0)+IF(M478=Q477,L478,0)+IF(Q477=M473,L473,0)+IF(M474=Q477,L474,0)+IF(M475=Q477,L475,0)</f>
        <v>0</v>
      </c>
      <c r="T477">
        <f>IF(F481=Q477,E481,0)+IF(F482=Q477,E482,0)+IF(F483=Q477,E483,0)+IF(Q477=F484,E484,0)+IF(F485=Q477,E485,0)+IF(F486=Q477,E486,0)</f>
        <v>0</v>
      </c>
      <c r="U477">
        <f>IF(M481=Q477,L481,0)+IF(M482=Q477,L482,0)+IF(M483=Q477,L483,0)+IF(Q477=M484,L484,0)+IF(M485=Q477,L485,0)+IF(M486=Q477,L486,0)</f>
        <v>0</v>
      </c>
      <c r="V477">
        <f>IF(F489=Q477,E489,0)+IF(F490=Q477,E490,0)+IF(F491=Q477,E491,0)+IF(Q477=F492,E492,0)+IF(F493=Q477,E493,0)+IF(F494=Q477,E494,0)</f>
        <v>0</v>
      </c>
      <c r="W477" s="63">
        <f t="shared" si="82"/>
        <v>0</v>
      </c>
      <c r="AA477" t="s">
        <v>218</v>
      </c>
      <c r="AB477" t="s">
        <v>219</v>
      </c>
      <c r="AC477" s="14" t="e">
        <f>W487</f>
        <v>#N/A</v>
      </c>
    </row>
    <row r="478" spans="1:29" hidden="1" outlineLevel="1" x14ac:dyDescent="0.25">
      <c r="A478" s="69" t="s">
        <v>108</v>
      </c>
      <c r="B478" s="96"/>
      <c r="C478" s="96"/>
      <c r="D478" s="102"/>
      <c r="E478" s="103"/>
      <c r="F478" s="38"/>
      <c r="H478" s="69" t="s">
        <v>108</v>
      </c>
      <c r="I478" s="96"/>
      <c r="J478" s="96"/>
      <c r="K478" s="102"/>
      <c r="L478" s="103"/>
      <c r="M478" s="38"/>
      <c r="Q478" s="10" t="s">
        <v>147</v>
      </c>
      <c r="R478">
        <f>IF(F474=Q478,E474,0)+IF(F475=Q478,E475,0)+IF(F476=Q478,E476,0)+IF(Q478=F477,E477,0)+IF(F478=Q478,E478,0)+IF(F473=Q478,E473,0)</f>
        <v>0</v>
      </c>
      <c r="S478">
        <f>IF(M476=Q478,L476,0)+IF(M477=Q478,L477,0)+IF(M478=Q478,L478,0)+IF(Q478=M473,L473,0)+IF(M474=Q478,L474,0)+IF(M475=Q478,L475,0)</f>
        <v>0</v>
      </c>
      <c r="T478">
        <f>IF(F481=Q478,E481,0)+IF(F482=Q478,E482,0)+IF(F483=Q478,E483,0)+IF(Q478=F484,E484,0)+IF(F485=Q478,E485,0)+IF(F486=Q478,E486,0)</f>
        <v>0</v>
      </c>
      <c r="U478">
        <f>IF(M481=Q478,L481,0)+IF(M482=Q478,L482,0)+IF(M483=Q478,L483,0)+IF(Q478=M484,L484,0)+IF(M485=Q478,L485,0)+IF(M486=Q478,L486,0)</f>
        <v>0</v>
      </c>
      <c r="V478">
        <f>IF(F489=Q478,E489,0)+IF(F490=Q478,E490,0)+IF(F491=Q478,E491,0)+IF(Q478=F492,E492,0)+IF(F493=Q478,E493,0)+IF(F494=Q478,E494,0)</f>
        <v>0</v>
      </c>
      <c r="W478" s="63">
        <f t="shared" si="82"/>
        <v>0</v>
      </c>
      <c r="AA478" t="s">
        <v>166</v>
      </c>
      <c r="AB478" t="s">
        <v>220</v>
      </c>
      <c r="AC478" s="14" t="e">
        <f>W492</f>
        <v>#N/A</v>
      </c>
    </row>
    <row r="479" spans="1:29" ht="15.75" hidden="1" outlineLevel="1" thickBot="1" x14ac:dyDescent="0.3">
      <c r="A479" s="70" t="s">
        <v>109</v>
      </c>
      <c r="B479" s="97"/>
      <c r="C479" s="97"/>
      <c r="D479" s="71"/>
      <c r="E479" s="104"/>
      <c r="F479" s="38"/>
      <c r="H479" s="70" t="s">
        <v>109</v>
      </c>
      <c r="I479" s="97"/>
      <c r="J479" s="97"/>
      <c r="K479" s="71"/>
      <c r="L479" s="104"/>
      <c r="M479" s="38"/>
      <c r="Q479" s="10" t="s">
        <v>500</v>
      </c>
      <c r="R479">
        <f>IF(F475=Q479,E475,0)+IF(F476=Q479,E476,0)+IF(F477=Q479,E477,0)+IF(Q479=F478,E478,0)+IF(F473=Q479,E473,0)+IF(F474=Q479,E474,0)</f>
        <v>0</v>
      </c>
      <c r="S479">
        <f>IF(M476=Q479,L476,0)+IF(M477=Q479,L477,0)+IF(M478=Q479,L478,0)+IF(Q479=M473,L473,0)+IF(M474=Q479,L474,0)+IF(M475=Q479,L475,0)</f>
        <v>0</v>
      </c>
      <c r="T479">
        <f>IF(F481=Q479,E481,0)+IF(F482=Q479,E482,0)+IF(F483=Q479,E483,0)+IF(Q479=F484,E484,0)+IF(F485=Q479,E485,0)+IF(F486=Q479,E486,0)</f>
        <v>0</v>
      </c>
      <c r="U479">
        <f>IF(M481=Q479,L481,0)+IF(M482=Q479,L482,0)+IF(M483=Q479,L483,0)+IF(Q479=M484,L484,0)+IF(M485=Q479,L485,0)+IF(M486=Q479,L486,0)</f>
        <v>0</v>
      </c>
      <c r="V479">
        <f>IF(F489=Q479,E489,0)+IF(F490=Q479,E490,0)+IF(F491=Q479,E491,0)+IF(Q479=F492,E492,0)+IF(F493=Q479,E493,0)+IF(F494=Q479,E494,0)</f>
        <v>0</v>
      </c>
      <c r="W479" s="63">
        <f t="shared" si="82"/>
        <v>0</v>
      </c>
      <c r="AA479" t="s">
        <v>222</v>
      </c>
      <c r="AB479" t="s">
        <v>220</v>
      </c>
      <c r="AC479" s="14" t="e">
        <f>W493</f>
        <v>#N/A</v>
      </c>
    </row>
    <row r="480" spans="1:29" ht="15.75" hidden="1" outlineLevel="1" thickBot="1" x14ac:dyDescent="0.3">
      <c r="A480" s="64" t="str">
        <f>A447</f>
        <v>Ne pas saisir</v>
      </c>
      <c r="B480" s="65" t="e">
        <f>B472</f>
        <v>#N/A</v>
      </c>
      <c r="C480" s="65" t="str">
        <f>C472</f>
        <v>Férié</v>
      </c>
      <c r="D480" s="66" t="e">
        <f>D472</f>
        <v>#N/A</v>
      </c>
      <c r="E480" s="66" t="e">
        <f>E472</f>
        <v>#N/A</v>
      </c>
      <c r="F480" s="67" t="str">
        <f>F472</f>
        <v>Type absence</v>
      </c>
      <c r="H480" s="64" t="str">
        <f>H447</f>
        <v>Ne pas saisir</v>
      </c>
      <c r="I480" s="65" t="e">
        <f>B472</f>
        <v>#N/A</v>
      </c>
      <c r="J480" s="65" t="str">
        <f>C472</f>
        <v>Férié</v>
      </c>
      <c r="K480" s="66" t="e">
        <f>D472</f>
        <v>#N/A</v>
      </c>
      <c r="L480" s="66" t="e">
        <f>E472</f>
        <v>#N/A</v>
      </c>
      <c r="M480" s="67" t="str">
        <f>F472</f>
        <v>Type absence</v>
      </c>
      <c r="Q480" s="10" t="s">
        <v>148</v>
      </c>
      <c r="R480">
        <f>IF(F476=Q480,E476,0)+IF(F477=Q480,E477,0)+IF(F478=Q480,E478,0)+IF(Q480=F473,E473,0)+IF(F474=Q480,E474,0)+IF(F475=Q480,E475,0)</f>
        <v>0</v>
      </c>
      <c r="S480">
        <f>IF(M476=Q480,L476,0)+IF(M477=Q480,L477,0)+IF(M478=Q480,L478,0)+IF(Q480=M473,L473,0)+IF(M474=Q480,L474,0)+IF(M475=Q480,L475,0)</f>
        <v>0</v>
      </c>
      <c r="T480">
        <f>IF(F481=Q480,E481,0)+IF(F482=Q480,E482,0)+IF(F483=Q480,E483,0)+IF(Q480=F484,E484,0)+IF(F485=Q480,E485,0)+IF(F486=Q480,E486,0)</f>
        <v>0</v>
      </c>
      <c r="U480">
        <f>IF(M481=Q480,L481,0)+IF(M482=Q480,L482,0)+IF(M483=Q480,L483,0)+IF(Q480=M484,L484,0)+IF(M485=Q480,L485,0)+IF(M486=Q480,L486,0)</f>
        <v>0</v>
      </c>
      <c r="V480">
        <f>IF(F489=Q480,E489,0)+IF(F490=Q480,E490,0)+IF(F491=Q480,E491,0)+IF(Q480=F492,E492,0)+IF(F493=Q480,E493,0)+IF(F494=Q480,E494,0)</f>
        <v>0</v>
      </c>
      <c r="W480" s="63">
        <f t="shared" si="82"/>
        <v>0</v>
      </c>
      <c r="AA480" t="s">
        <v>223</v>
      </c>
      <c r="AB480" t="s">
        <v>224</v>
      </c>
      <c r="AC480" s="14" t="e">
        <f>W491</f>
        <v>#N/A</v>
      </c>
    </row>
    <row r="481" spans="1:29" hidden="1" outlineLevel="1" x14ac:dyDescent="0.25">
      <c r="A481" s="69" t="s">
        <v>103</v>
      </c>
      <c r="B481" s="95"/>
      <c r="C481" s="95"/>
      <c r="D481" s="106"/>
      <c r="E481" s="105"/>
      <c r="F481" s="101"/>
      <c r="H481" s="69" t="s">
        <v>103</v>
      </c>
      <c r="I481" s="95"/>
      <c r="J481" s="95"/>
      <c r="K481" s="106"/>
      <c r="L481" s="105"/>
      <c r="M481" s="101"/>
      <c r="Q481" s="10" t="s">
        <v>150</v>
      </c>
      <c r="R481">
        <f>IF(F477=Q481,E477,0)+IF(F478=Q481,E478,0)+IF(F473=Q481,E473,0)+IF(Q481=F474,E474,0)+IF(F475=Q481,E475,0)+IF(F476=Q481,E476,0)</f>
        <v>0</v>
      </c>
      <c r="S481">
        <f>IF(M476=Q481,L476,0)+IF(M477=Q481,L477,0)+IF(M478=Q481,L478,0)+IF(Q481=M473,L473,0)+IF(M474=Q481,L474,0)+IF(M475=Q481,L475,0)</f>
        <v>0</v>
      </c>
      <c r="T481">
        <f>IF(F481=Q481,E481,0)+IF(F482=Q481,E482,0)+IF(F483=Q481,E483,0)+IF(Q481=F484,E484,0)+IF(F485=Q481,E485,0)+IF(F486=Q481,E486,0)</f>
        <v>0</v>
      </c>
      <c r="U481">
        <f>IF(M481=Q481,L481,0)+IF(M482=Q481,L482,0)+IF(M483=Q481,L483,0)+IF(Q481=M484,L484,0)+IF(M485=Q481,L485,0)+IF(M486=Q481,L486,0)</f>
        <v>0</v>
      </c>
      <c r="V481">
        <f>IF(F489=Q481,E489,0)+IF(F490=Q481,E490,0)+IF(F491=Q481,E491,0)+IF(Q481=F492,E492,0)+IF(F493=Q481,E493,0)+IF(F494=Q481,E494,0)</f>
        <v>0</v>
      </c>
      <c r="W481" s="63">
        <f t="shared" si="82"/>
        <v>0</v>
      </c>
      <c r="AB481" t="s">
        <v>267</v>
      </c>
      <c r="AC481">
        <f>(SUM(B473:B479))</f>
        <v>0</v>
      </c>
    </row>
    <row r="482" spans="1:29" hidden="1" outlineLevel="1" x14ac:dyDescent="0.25">
      <c r="A482" s="69" t="s">
        <v>104</v>
      </c>
      <c r="B482" s="96"/>
      <c r="C482" s="96"/>
      <c r="D482" s="102"/>
      <c r="E482" s="103"/>
      <c r="F482" s="38"/>
      <c r="H482" s="69" t="s">
        <v>104</v>
      </c>
      <c r="I482" s="96"/>
      <c r="J482" s="96"/>
      <c r="K482" s="102"/>
      <c r="L482" s="103"/>
      <c r="M482" s="38"/>
      <c r="Q482" s="10" t="s">
        <v>502</v>
      </c>
      <c r="R482">
        <f>IF(F478=Q482,E478,0)+IF(F473=Q482,E473,0)+IF(F474=Q482,E474,0)+IF(Q482=F475,E475,0)+IF(F476=Q482,E476,0)+IF(F477=Q482,E477,0)</f>
        <v>0</v>
      </c>
      <c r="S482">
        <f>IF(M476=Q482,L476,0)+IF(M477=Q482,L477,0)+IF(M478=Q482,L478,0)+IF(Q482=M473,L473,0)+IF(M474=Q482,L474,0)+IF(M475=Q482,L475,0)</f>
        <v>0</v>
      </c>
      <c r="T482">
        <f>IF(F481=Q482,E481,0)+IF(F482=Q482,E482,0)+IF(F483=Q482,E483,0)+IF(Q482=F484,E484,0)+IF(F485=Q482,E485,0)+IF(F486=Q482,E486,0)</f>
        <v>0</v>
      </c>
      <c r="U482">
        <f>IF(M481=Q482,L481,0)+IF(M482=Q482,L482,0)+IF(M483=Q482,L483,0)+IF(Q482=M484,L484,0)+IF(M485=Q482,L485,0)+IF(M486=Q482,L486,0)</f>
        <v>0</v>
      </c>
      <c r="V482">
        <f>IF(F489=Q482,E489,0)+IF(F490=Q482,E490,0)+IF(F491=Q482,E491,0)+IF(Q482=F492,E492,0)+IF(F493=Q482,E493,0)+IF(F494=Q482,E494,0)</f>
        <v>0</v>
      </c>
      <c r="W482" s="63">
        <f t="shared" si="82"/>
        <v>0</v>
      </c>
      <c r="AB482" t="s">
        <v>268</v>
      </c>
      <c r="AC482">
        <f>(SUM(I473:I479))</f>
        <v>0</v>
      </c>
    </row>
    <row r="483" spans="1:29" hidden="1" outlineLevel="1" x14ac:dyDescent="0.25">
      <c r="A483" s="69" t="s">
        <v>105</v>
      </c>
      <c r="B483" s="96"/>
      <c r="C483" s="96"/>
      <c r="D483" s="102"/>
      <c r="E483" s="103"/>
      <c r="F483" s="38"/>
      <c r="H483" s="69" t="s">
        <v>105</v>
      </c>
      <c r="I483" s="96"/>
      <c r="J483" s="96"/>
      <c r="K483" s="102"/>
      <c r="L483" s="103"/>
      <c r="M483" s="38"/>
      <c r="Q483" s="10" t="s">
        <v>498</v>
      </c>
      <c r="R483">
        <f>IF(F473=Q483,E473,0)+IF(F474=Q483,E474,0)+IF(F475=Q483,E475,0)+IF(Q483=F476,E476,0)+IF(F477=Q483,E477,0)+IF(F478=Q483,E478,0)</f>
        <v>0</v>
      </c>
      <c r="S483">
        <f>IF(M476=Q483,L476,0)+IF(M477=Q483,L477,0)+IF(M478=Q483,L478,0)+IF(Q483=M473,L473,0)+IF(M474=Q483,L474,0)+IF(M475=Q483,L475,0)</f>
        <v>0</v>
      </c>
      <c r="T483">
        <f>IF(F481=Q483,E481,0)+IF(F482=Q483,E482,0)+IF(F483=Q483,E483,0)+IF(Q483=F484,E484,0)+IF(F485=Q483,E485,0)+IF(F486=Q483,E486,0)</f>
        <v>0</v>
      </c>
      <c r="U483">
        <f>IF(M481=Q483,L481,0)+IF(M482=Q483,L482,0)+IF(M483=Q483,L483,0)+IF(Q483=M484,L484,0)+IF(M485=Q483,L485,0)+IF(M486=Q483,L486,0)</f>
        <v>0</v>
      </c>
      <c r="V483">
        <f>IF(F489=Q483,E489,0)+IF(F490=Q483,E490,0)+IF(F491=Q483,E491,0)+IF(Q483=F492,E492,0)+IF(F493=Q483,E493,0)+IF(F494=Q483,E494,0)</f>
        <v>0</v>
      </c>
      <c r="W483" s="63">
        <f t="shared" si="82"/>
        <v>0</v>
      </c>
      <c r="AB483" t="s">
        <v>269</v>
      </c>
      <c r="AC483">
        <f>(SUM(B481:B487))</f>
        <v>0</v>
      </c>
    </row>
    <row r="484" spans="1:29" hidden="1" outlineLevel="1" x14ac:dyDescent="0.25">
      <c r="A484" s="69" t="s">
        <v>106</v>
      </c>
      <c r="B484" s="96"/>
      <c r="C484" s="96"/>
      <c r="D484" s="102"/>
      <c r="E484" s="103"/>
      <c r="F484" s="38"/>
      <c r="H484" s="69" t="s">
        <v>106</v>
      </c>
      <c r="I484" s="96"/>
      <c r="J484" s="96"/>
      <c r="K484" s="102"/>
      <c r="L484" s="103"/>
      <c r="M484" s="38"/>
      <c r="P484" s="72"/>
      <c r="Q484" s="73" t="s">
        <v>501</v>
      </c>
      <c r="R484" s="72">
        <f>IF(F474=Q484,E474,0)+IF(F475=Q484,E475,0)+IF(F476=Q484,E476,0)+IF(Q484=F477,E477,0)+IF(F478=Q484,E478,0)+IF(F473=Q484,E473,0)</f>
        <v>0</v>
      </c>
      <c r="S484" s="72">
        <f>IF(M476=Q484,L476,0)+IF(M477=Q484,L477,0)+IF(M478=Q484,L478,0)+IF(Q484=M473,L473,0)+IF(M474=Q484,L474,0)+IF(M475=Q484,L475,0)</f>
        <v>0</v>
      </c>
      <c r="T484" s="72">
        <f>IF(F481=Q484,E481,0)+IF(F482=Q484,E482,0)+IF(F483=Q484,E483,0)+IF(Q484=F484,E484,0)+IF(F485=Q484,E485,0)+IF(F486=Q484,E486,0)</f>
        <v>0</v>
      </c>
      <c r="U484" s="72">
        <f>IF(M481=Q484,L481,0)+IF(M482=Q484,L482,0)+IF(M483=Q484,L483,0)+IF(Q484=M484,L484,0)+IF(M485=Q484,L485,0)+IF(M486=Q484,L486,0)</f>
        <v>0</v>
      </c>
      <c r="V484" s="72">
        <f>IF(F489=Q484,E489,0)+IF(F490=Q484,E490,0)+IF(F491=Q484,E491,0)+IF(Q484=F492,E492,0)+IF(F493=Q484,E493,0)+IF(F494=Q484,E494,0)</f>
        <v>0</v>
      </c>
      <c r="W484" s="74">
        <f t="shared" si="82"/>
        <v>0</v>
      </c>
      <c r="AB484" t="s">
        <v>270</v>
      </c>
      <c r="AC484">
        <f>(SUM(I481:I487))</f>
        <v>0</v>
      </c>
    </row>
    <row r="485" spans="1:29" hidden="1" outlineLevel="1" x14ac:dyDescent="0.25">
      <c r="A485" s="69" t="s">
        <v>107</v>
      </c>
      <c r="B485" s="96"/>
      <c r="C485" s="96"/>
      <c r="D485" s="102"/>
      <c r="E485" s="103"/>
      <c r="F485" s="38"/>
      <c r="H485" s="69" t="s">
        <v>107</v>
      </c>
      <c r="I485" s="96"/>
      <c r="J485" s="96"/>
      <c r="K485" s="102"/>
      <c r="L485" s="103"/>
      <c r="M485" s="38"/>
      <c r="Q485" s="75" t="s">
        <v>169</v>
      </c>
      <c r="R485" s="2" t="e">
        <f>IF(M470="Règlement HC",K470*10%,0)</f>
        <v>#N/A</v>
      </c>
      <c r="S485" s="2" t="e">
        <f>IF(M470="Règlement HC",K470*10%,0)</f>
        <v>#N/A</v>
      </c>
      <c r="T485" s="2" t="e">
        <f>IF(M470="Règlement HC",K470*10%,0)</f>
        <v>#N/A</v>
      </c>
      <c r="U485" s="2" t="e">
        <f>IF(M470="Règlement HC",K470*10%,0)</f>
        <v>#N/A</v>
      </c>
      <c r="V485" s="2" t="e">
        <f>IF(M470="Règlement HC",K470*10%,0)</f>
        <v>#N/A</v>
      </c>
      <c r="W485" s="76"/>
      <c r="AB485" t="s">
        <v>271</v>
      </c>
      <c r="AC485">
        <f>(SUM(B489:B495))</f>
        <v>0</v>
      </c>
    </row>
    <row r="486" spans="1:29" hidden="1" outlineLevel="1" x14ac:dyDescent="0.25">
      <c r="A486" s="69" t="s">
        <v>108</v>
      </c>
      <c r="B486" s="96"/>
      <c r="C486" s="96"/>
      <c r="D486" s="102"/>
      <c r="E486" s="103"/>
      <c r="F486" s="38"/>
      <c r="H486" s="69" t="s">
        <v>108</v>
      </c>
      <c r="I486" s="96"/>
      <c r="J486" s="96"/>
      <c r="K486" s="102"/>
      <c r="L486" s="103"/>
      <c r="M486" s="38"/>
      <c r="Q486" s="75" t="s">
        <v>175</v>
      </c>
      <c r="R486" s="2" t="e">
        <f>IF(M470="Règlement HC",SUM(B473:B479)-K470,0)</f>
        <v>#N/A</v>
      </c>
      <c r="S486" s="2" t="e">
        <f>IF(M470="Règlement HC",SUM(I473:I479)-K470,0)</f>
        <v>#N/A</v>
      </c>
      <c r="T486" s="2" t="e">
        <f>IF(M470="Règlement HC",SUM(B481:B487)-K470,0)</f>
        <v>#N/A</v>
      </c>
      <c r="U486" s="2" t="e">
        <f>IF(M470="Règlement HC",SUM(I481:I487)-K470,0)</f>
        <v>#N/A</v>
      </c>
      <c r="V486" s="2" t="e">
        <f>IF(M470="Règlement HC",SUM(B489:B495)-K470,0)</f>
        <v>#N/A</v>
      </c>
      <c r="W486" s="63" t="e">
        <f>SUM((IF(R486&gt;0,R486,0)+(IF(S486&gt;0,S486,0)+(IF(T486&gt;0,T486,0)+(IF(U486&gt;0,U486,0)+(IF(V486&gt;0,V486,0)))))))</f>
        <v>#N/A</v>
      </c>
      <c r="AA486" t="s">
        <v>313</v>
      </c>
      <c r="AB486" t="s">
        <v>314</v>
      </c>
      <c r="AC486" t="e">
        <f>W490</f>
        <v>#N/A</v>
      </c>
    </row>
    <row r="487" spans="1:29" ht="15.75" hidden="1" outlineLevel="1" thickBot="1" x14ac:dyDescent="0.3">
      <c r="A487" s="70" t="s">
        <v>109</v>
      </c>
      <c r="B487" s="97"/>
      <c r="C487" s="97"/>
      <c r="D487" s="71"/>
      <c r="E487" s="104"/>
      <c r="F487" s="38"/>
      <c r="H487" s="70" t="s">
        <v>109</v>
      </c>
      <c r="I487" s="97"/>
      <c r="J487" s="97"/>
      <c r="K487" s="71"/>
      <c r="L487" s="104"/>
      <c r="M487" s="39"/>
      <c r="P487" t="s">
        <v>170</v>
      </c>
      <c r="Q487" s="10" t="s">
        <v>162</v>
      </c>
      <c r="R487" t="e">
        <f>IF(R486&gt;=R485,R485,R486)</f>
        <v>#N/A</v>
      </c>
      <c r="S487" t="e">
        <f>IF(S486&gt;=S485,S485,S486)</f>
        <v>#N/A</v>
      </c>
      <c r="T487" t="e">
        <f>IF(T486&gt;=T485,T485,T486)</f>
        <v>#N/A</v>
      </c>
      <c r="U487" t="e">
        <f>IF(U486&gt;=U485,U485,U486)</f>
        <v>#N/A</v>
      </c>
      <c r="V487" t="e">
        <f>IF(V486&gt;=V485,V485,V486)</f>
        <v>#N/A</v>
      </c>
      <c r="W487" s="63" t="e">
        <f>SUM((IF(R487&gt;0,R487,0)+(IF(S487&gt;0,S487,0)+(IF(T487&gt;0,T487,0)+(IF(U487&gt;0,U487,0)+(IF(V487&gt;0,V487,0)))))))</f>
        <v>#N/A</v>
      </c>
    </row>
    <row r="488" spans="1:29" ht="15.75" hidden="1" outlineLevel="1" thickBot="1" x14ac:dyDescent="0.3">
      <c r="A488" s="64" t="str">
        <f>A455</f>
        <v>Ne pas saisir</v>
      </c>
      <c r="B488" s="65" t="e">
        <f>B472</f>
        <v>#N/A</v>
      </c>
      <c r="C488" s="65" t="str">
        <f>C472</f>
        <v>Férié</v>
      </c>
      <c r="D488" s="66" t="e">
        <f>D472</f>
        <v>#N/A</v>
      </c>
      <c r="E488" s="66" t="e">
        <f>E472</f>
        <v>#N/A</v>
      </c>
      <c r="F488" s="67" t="str">
        <f>F472</f>
        <v>Type absence</v>
      </c>
      <c r="H488" s="77" t="s">
        <v>136</v>
      </c>
      <c r="I488" s="78" t="e">
        <f>B472</f>
        <v>#N/A</v>
      </c>
      <c r="J488" s="78" t="str">
        <f>C472</f>
        <v>Férié</v>
      </c>
      <c r="K488" s="79" t="e">
        <f>D472</f>
        <v>#N/A</v>
      </c>
      <c r="L488" s="80" t="e">
        <f>E472</f>
        <v>#N/A</v>
      </c>
      <c r="M488" s="49"/>
      <c r="P488" t="s">
        <v>170</v>
      </c>
      <c r="Q488" s="10" t="s">
        <v>163</v>
      </c>
      <c r="R488" t="e">
        <f>R486-R487</f>
        <v>#N/A</v>
      </c>
      <c r="S488" t="e">
        <f>S486-S487</f>
        <v>#N/A</v>
      </c>
      <c r="T488" t="e">
        <f>T486-T487</f>
        <v>#N/A</v>
      </c>
      <c r="U488" t="e">
        <f>U486-U487</f>
        <v>#N/A</v>
      </c>
      <c r="V488" t="e">
        <f>V486-V487</f>
        <v>#N/A</v>
      </c>
      <c r="W488" s="63" t="e">
        <f t="shared" ref="W488:W493" si="83">SUM(R488:V488)</f>
        <v>#N/A</v>
      </c>
    </row>
    <row r="489" spans="1:29" hidden="1" outlineLevel="1" x14ac:dyDescent="0.25">
      <c r="A489" s="69" t="s">
        <v>103</v>
      </c>
      <c r="B489" s="95"/>
      <c r="C489" s="95"/>
      <c r="D489" s="106"/>
      <c r="E489" s="105"/>
      <c r="F489" s="101"/>
      <c r="H489" s="81" t="s">
        <v>103</v>
      </c>
      <c r="I489" s="82">
        <f t="shared" ref="I489:I494" si="84">B473+I473+B481+I481+B489</f>
        <v>0</v>
      </c>
      <c r="J489" s="82">
        <f t="shared" ref="J489:J494" si="85">C473+J473+C481+J481+C489</f>
        <v>0</v>
      </c>
      <c r="K489" s="83">
        <f t="shared" ref="K489:K494" si="86">D473+K473+D481+K481+D489</f>
        <v>0</v>
      </c>
      <c r="L489" s="84">
        <f t="shared" ref="L489:L494" si="87">E473+L473+E481+L481+E489</f>
        <v>0</v>
      </c>
      <c r="M489" s="303" t="s">
        <v>177</v>
      </c>
      <c r="N489" s="304"/>
      <c r="O489" s="304"/>
      <c r="Q489" s="10" t="s">
        <v>164</v>
      </c>
      <c r="R489" t="e">
        <f>IF(AND(K470="non",(SUM(B473:B479)&gt;U469)),SUM(B473:B479)-U469,0)</f>
        <v>#N/A</v>
      </c>
      <c r="S489" t="e">
        <f>IF(AND(K470="non",(SUM(I473:I479)&gt;U469)),SUM(I473:I479)-U469,0)</f>
        <v>#N/A</v>
      </c>
      <c r="T489" t="e">
        <f>IF(AND(K470="non",(SUM(B481:B487)&gt;U469)),SUM(B481:B487)-U469,0)</f>
        <v>#N/A</v>
      </c>
      <c r="U489" t="e">
        <f>IF(AND(K470="non",(SUM(I481:I487)&gt;U469)),SUM(I481:I487)-U469,0)</f>
        <v>#N/A</v>
      </c>
      <c r="V489" t="e">
        <f>IF(AND(K470="non",(SUM(B489:B495)&gt;U469)),SUM(B489:B495)-U469,0)</f>
        <v>#N/A</v>
      </c>
      <c r="W489" s="63" t="e">
        <f t="shared" si="83"/>
        <v>#N/A</v>
      </c>
    </row>
    <row r="490" spans="1:29" hidden="1" outlineLevel="1" x14ac:dyDescent="0.25">
      <c r="A490" s="69" t="s">
        <v>104</v>
      </c>
      <c r="B490" s="96"/>
      <c r="C490" s="96"/>
      <c r="D490" s="102"/>
      <c r="E490" s="103"/>
      <c r="F490" s="38"/>
      <c r="H490" s="81" t="s">
        <v>104</v>
      </c>
      <c r="I490" s="88">
        <f t="shared" si="84"/>
        <v>0</v>
      </c>
      <c r="J490" s="88">
        <f t="shared" si="85"/>
        <v>0</v>
      </c>
      <c r="K490" s="89">
        <f t="shared" si="86"/>
        <v>0</v>
      </c>
      <c r="L490" s="90">
        <f t="shared" si="87"/>
        <v>0</v>
      </c>
      <c r="M490" s="49"/>
      <c r="P490" t="s">
        <v>167</v>
      </c>
      <c r="Q490" s="10" t="s">
        <v>165</v>
      </c>
      <c r="R490" t="e">
        <f>IF(H471="Cadre",0,SUM(C473:C479))</f>
        <v>#N/A</v>
      </c>
      <c r="S490" t="e">
        <f>IF(H471="Cadre",0,SUM(J473:J479))</f>
        <v>#N/A</v>
      </c>
      <c r="T490" t="e">
        <f>IF(H471="Cadre",0,SUM(C481:C487))</f>
        <v>#N/A</v>
      </c>
      <c r="U490" t="e">
        <f>IF(H471="Cadre",0,SUM(J481:J487))</f>
        <v>#N/A</v>
      </c>
      <c r="V490" t="e">
        <f>IF(H471="Cadre",0,SUM(C489:C495))</f>
        <v>#N/A</v>
      </c>
      <c r="W490" s="63" t="e">
        <f t="shared" si="83"/>
        <v>#N/A</v>
      </c>
    </row>
    <row r="491" spans="1:29" hidden="1" outlineLevel="1" x14ac:dyDescent="0.25">
      <c r="A491" s="69" t="s">
        <v>105</v>
      </c>
      <c r="B491" s="96"/>
      <c r="C491" s="96"/>
      <c r="D491" s="102"/>
      <c r="E491" s="103"/>
      <c r="F491" s="38"/>
      <c r="H491" s="81" t="s">
        <v>105</v>
      </c>
      <c r="I491" s="88">
        <f t="shared" si="84"/>
        <v>0</v>
      </c>
      <c r="J491" s="88">
        <f t="shared" si="85"/>
        <v>0</v>
      </c>
      <c r="K491" s="89">
        <f t="shared" si="86"/>
        <v>0</v>
      </c>
      <c r="L491" s="90">
        <f t="shared" si="87"/>
        <v>0</v>
      </c>
      <c r="M491" s="49"/>
      <c r="P491" t="s">
        <v>168</v>
      </c>
      <c r="Q491" s="10" t="s">
        <v>165</v>
      </c>
      <c r="R491" t="e">
        <f>IF(H471="Cadre",((SUM(C473:C479)/2)*5),0)</f>
        <v>#N/A</v>
      </c>
      <c r="S491" t="e">
        <f>IF(H471="Cadre",(SUM(J473:J479)/2*5),0)</f>
        <v>#N/A</v>
      </c>
      <c r="T491" t="e">
        <f>IF(H471="Cadre",(SUM(C481:C487)/2*5),0)</f>
        <v>#N/A</v>
      </c>
      <c r="U491" t="e">
        <f>IF(H471="Cadre",(SUM(J481:J487)/2*5),0)</f>
        <v>#N/A</v>
      </c>
      <c r="V491" t="e">
        <f>IF(H471="Cadre",(SUM(C489:C495)/2*5),0)</f>
        <v>#N/A</v>
      </c>
      <c r="W491" s="63" t="e">
        <f t="shared" si="83"/>
        <v>#N/A</v>
      </c>
    </row>
    <row r="492" spans="1:29" hidden="1" outlineLevel="1" x14ac:dyDescent="0.25">
      <c r="A492" s="69" t="s">
        <v>106</v>
      </c>
      <c r="B492" s="96"/>
      <c r="C492" s="96"/>
      <c r="D492" s="102"/>
      <c r="E492" s="103"/>
      <c r="F492" s="38"/>
      <c r="H492" s="81" t="s">
        <v>106</v>
      </c>
      <c r="I492" s="88">
        <f t="shared" si="84"/>
        <v>0</v>
      </c>
      <c r="J492" s="88">
        <f t="shared" si="85"/>
        <v>0</v>
      </c>
      <c r="K492" s="89">
        <f t="shared" si="86"/>
        <v>0</v>
      </c>
      <c r="L492" s="90">
        <f t="shared" si="87"/>
        <v>0</v>
      </c>
      <c r="M492" s="49"/>
      <c r="P492" t="s">
        <v>166</v>
      </c>
      <c r="Q492" s="10" t="s">
        <v>159</v>
      </c>
      <c r="R492" t="e">
        <f>IF(H471="Employé",B479,0)</f>
        <v>#N/A</v>
      </c>
      <c r="S492" t="e">
        <f>IF(H471="Employé",I479,0)</f>
        <v>#N/A</v>
      </c>
      <c r="T492" t="e">
        <f>IF(H471="Employé",B487,0)</f>
        <v>#N/A</v>
      </c>
      <c r="U492" t="e">
        <f>IF(H471="Employé",I487,0)</f>
        <v>#N/A</v>
      </c>
      <c r="V492" t="e">
        <f>IF(H471="Employé",B495,0)</f>
        <v>#N/A</v>
      </c>
      <c r="W492" s="63" t="e">
        <f t="shared" si="83"/>
        <v>#N/A</v>
      </c>
    </row>
    <row r="493" spans="1:29" hidden="1" outlineLevel="1" x14ac:dyDescent="0.25">
      <c r="A493" s="69" t="s">
        <v>107</v>
      </c>
      <c r="B493" s="96"/>
      <c r="C493" s="96"/>
      <c r="D493" s="102"/>
      <c r="E493" s="103"/>
      <c r="F493" s="38"/>
      <c r="H493" s="81" t="s">
        <v>107</v>
      </c>
      <c r="I493" s="88">
        <f t="shared" si="84"/>
        <v>0</v>
      </c>
      <c r="J493" s="88">
        <f t="shared" si="85"/>
        <v>0</v>
      </c>
      <c r="K493" s="89">
        <f t="shared" si="86"/>
        <v>0</v>
      </c>
      <c r="L493" s="90">
        <f t="shared" si="87"/>
        <v>0</v>
      </c>
      <c r="M493" s="303" t="s">
        <v>178</v>
      </c>
      <c r="N493" s="304"/>
      <c r="O493" s="304"/>
      <c r="P493" t="s">
        <v>297</v>
      </c>
      <c r="Q493" s="10" t="s">
        <v>159</v>
      </c>
      <c r="R493" t="e">
        <f>IF(H471="Cadre",IF(B479=2,5,0),0)</f>
        <v>#N/A</v>
      </c>
      <c r="S493" t="e">
        <f>IF(H471="Cadre",IF(I479=2,5,0),0)</f>
        <v>#N/A</v>
      </c>
      <c r="T493" t="e">
        <f>IF(H471="Cadre",IF(B487=2,5,0),0)</f>
        <v>#N/A</v>
      </c>
      <c r="U493" t="e">
        <f>IF(H471="Cadre",IF(I487=2,5,0),0)</f>
        <v>#N/A</v>
      </c>
      <c r="V493" t="e">
        <f>IF(H471="Cadre",IF(B495=2,5,0),0)</f>
        <v>#N/A</v>
      </c>
      <c r="W493" s="63" t="e">
        <f t="shared" si="83"/>
        <v>#N/A</v>
      </c>
    </row>
    <row r="494" spans="1:29" hidden="1" outlineLevel="1" x14ac:dyDescent="0.25">
      <c r="A494" s="69" t="s">
        <v>108</v>
      </c>
      <c r="B494" s="96"/>
      <c r="C494" s="96"/>
      <c r="D494" s="102"/>
      <c r="E494" s="103"/>
      <c r="F494" s="38"/>
      <c r="H494" s="81" t="s">
        <v>108</v>
      </c>
      <c r="I494" s="88">
        <f t="shared" si="84"/>
        <v>0</v>
      </c>
      <c r="J494" s="88">
        <f t="shared" si="85"/>
        <v>0</v>
      </c>
      <c r="K494" s="89">
        <f t="shared" si="86"/>
        <v>0</v>
      </c>
      <c r="L494" s="90">
        <f t="shared" si="87"/>
        <v>0</v>
      </c>
      <c r="M494" s="49"/>
      <c r="P494" t="s">
        <v>171</v>
      </c>
      <c r="Q494" s="10" t="s">
        <v>172</v>
      </c>
      <c r="R494" s="2"/>
      <c r="S494" s="2"/>
      <c r="T494" s="2"/>
      <c r="U494" s="2"/>
      <c r="V494" s="2"/>
      <c r="W494" s="91" t="e">
        <f>IF(AND(K470="non",H471="Employé"),SUM(I489:I495)+(SUM(W471:W484)-W467),(SUM(I489:I495)-W486)+(SUM(W471:W484)-W467))</f>
        <v>#N/A</v>
      </c>
    </row>
    <row r="495" spans="1:29" ht="15.75" hidden="1" outlineLevel="1" thickBot="1" x14ac:dyDescent="0.3">
      <c r="A495" s="70" t="s">
        <v>109</v>
      </c>
      <c r="B495" s="97"/>
      <c r="C495" s="97"/>
      <c r="D495" s="71"/>
      <c r="E495" s="104"/>
      <c r="F495" s="39"/>
      <c r="H495" s="92" t="s">
        <v>109</v>
      </c>
      <c r="I495" s="93">
        <f>(B479+I479+B487+I487+B495)</f>
        <v>0</v>
      </c>
      <c r="J495" s="93">
        <f>(C479+J479+C487+J487+C495)</f>
        <v>0</v>
      </c>
      <c r="K495" s="71">
        <f>(D479+K479+D487+K487+D495)</f>
        <v>0</v>
      </c>
      <c r="L495" s="94">
        <f>(E479+L479+E487+L487+E495)</f>
        <v>0</v>
      </c>
      <c r="M495" s="49"/>
      <c r="P495" t="s">
        <v>176</v>
      </c>
      <c r="Q495" s="10" t="s">
        <v>172</v>
      </c>
      <c r="R495" s="2"/>
      <c r="S495" s="2"/>
      <c r="T495" s="2"/>
      <c r="U495" s="2"/>
      <c r="V495" s="2"/>
      <c r="W495" s="91" t="e">
        <f>IF(H471="Cadre",((SUM(I489:I495)+SUM(W471:W484)-W473-W474)/2),0)</f>
        <v>#N/A</v>
      </c>
    </row>
    <row r="496" spans="1:29" ht="15" customHeight="1" collapsed="1" x14ac:dyDescent="0.25">
      <c r="D496" s="302" t="s">
        <v>298</v>
      </c>
      <c r="E496" s="302"/>
      <c r="F496" s="302"/>
      <c r="G496" s="302"/>
      <c r="H496" s="302"/>
      <c r="I496" s="302"/>
      <c r="J496" s="302"/>
      <c r="K496" s="302"/>
      <c r="L496" s="42" t="s">
        <v>292</v>
      </c>
      <c r="N496" s="43"/>
      <c r="O496" s="43" t="s">
        <v>179</v>
      </c>
      <c r="P496" s="15" t="s">
        <v>157</v>
      </c>
      <c r="AA496" s="15" t="s">
        <v>157</v>
      </c>
    </row>
    <row r="497" spans="1:29" hidden="1" outlineLevel="1" x14ac:dyDescent="0.25">
      <c r="D497" s="302"/>
      <c r="E497" s="302"/>
      <c r="F497" s="302"/>
      <c r="G497" s="302"/>
      <c r="H497" s="302"/>
      <c r="I497" s="302"/>
      <c r="J497" s="302"/>
      <c r="K497" s="302"/>
      <c r="N497" s="43"/>
      <c r="O497" s="43" t="s">
        <v>180</v>
      </c>
      <c r="AC497" t="s">
        <v>201</v>
      </c>
    </row>
    <row r="498" spans="1:29" hidden="1" outlineLevel="1" x14ac:dyDescent="0.25">
      <c r="D498" s="302"/>
      <c r="E498" s="302"/>
      <c r="F498" s="302"/>
      <c r="G498" s="302"/>
      <c r="H498" s="302"/>
      <c r="I498" s="302"/>
      <c r="J498" s="302"/>
      <c r="K498" s="302"/>
      <c r="N498" s="44"/>
      <c r="O498" s="44" t="s">
        <v>181</v>
      </c>
      <c r="AA498" s="15" t="s">
        <v>200</v>
      </c>
      <c r="AC498" s="2" t="str">
        <f>I500</f>
        <v>Juin</v>
      </c>
    </row>
    <row r="499" spans="1:29" hidden="1" outlineLevel="1" x14ac:dyDescent="0.25">
      <c r="A499" s="45" t="s">
        <v>3</v>
      </c>
      <c r="B499" s="46">
        <f>'Synthèse Horaires'!$B$4</f>
        <v>2026</v>
      </c>
      <c r="C499" s="47"/>
      <c r="D499" s="48" t="s">
        <v>1</v>
      </c>
      <c r="E499" s="46">
        <f>'Synthèse Horaires'!$D$4</f>
        <v>0</v>
      </c>
      <c r="F499" s="49"/>
      <c r="G499" s="49"/>
      <c r="H499" s="48" t="s">
        <v>2</v>
      </c>
      <c r="I499" s="47">
        <f>'Synthèse Horaires'!$I$4</f>
        <v>0</v>
      </c>
      <c r="J499" s="50"/>
      <c r="K499" s="50"/>
      <c r="N499" s="44"/>
      <c r="O499" s="44" t="s">
        <v>202</v>
      </c>
      <c r="V499" s="10" t="s">
        <v>174</v>
      </c>
      <c r="W499" s="51" t="e">
        <f>IF(K503="non",SUM(K522:K528)*(35/6),SUM(K522:K528)*(K503/6))</f>
        <v>#N/A</v>
      </c>
      <c r="AB499" t="s">
        <v>6</v>
      </c>
      <c r="AC499" s="14">
        <f>B503</f>
        <v>0</v>
      </c>
    </row>
    <row r="500" spans="1:29" hidden="1" outlineLevel="1" x14ac:dyDescent="0.25">
      <c r="A500" s="45" t="s">
        <v>10</v>
      </c>
      <c r="B500" s="49"/>
      <c r="C500" s="49"/>
      <c r="D500" s="50" t="str">
        <f>'Synthèse Horaires'!$C$6</f>
        <v>01 juin 2026 au 31 mai 2027.</v>
      </c>
      <c r="E500" s="2"/>
      <c r="H500" s="48" t="s">
        <v>205</v>
      </c>
      <c r="I500" s="47" t="str">
        <f>'Synthèse Horaires'!$I$5</f>
        <v>Juin</v>
      </c>
      <c r="N500" s="44"/>
      <c r="O500" s="44" t="s">
        <v>203</v>
      </c>
      <c r="V500" s="10" t="s">
        <v>173</v>
      </c>
      <c r="W500">
        <f>W506+W507</f>
        <v>0</v>
      </c>
      <c r="AB500" t="s">
        <v>57</v>
      </c>
      <c r="AC500" s="14" t="e">
        <f>B504</f>
        <v>#N/A</v>
      </c>
    </row>
    <row r="501" spans="1:29" hidden="1" outlineLevel="1" x14ac:dyDescent="0.25">
      <c r="AB501" t="s">
        <v>211</v>
      </c>
      <c r="AC501" s="14" t="e">
        <f>H504</f>
        <v>#N/A</v>
      </c>
    </row>
    <row r="502" spans="1:29" hidden="1" outlineLevel="1" x14ac:dyDescent="0.25">
      <c r="A502" s="4" t="s">
        <v>58</v>
      </c>
      <c r="B502" s="4"/>
      <c r="C502" s="4"/>
      <c r="D502" s="4"/>
      <c r="E502" s="4"/>
      <c r="F502" s="4"/>
      <c r="G502" s="4"/>
      <c r="H502" s="4"/>
      <c r="P502" s="53" t="s">
        <v>6</v>
      </c>
      <c r="Q502" s="2">
        <f>B503</f>
        <v>0</v>
      </c>
      <c r="T502" s="10" t="s">
        <v>76</v>
      </c>
      <c r="U502" s="2" t="e">
        <f>VLOOKUP(B503,'Base Matricule Siège'!$B$12:$H$1000,4,FALSE)</f>
        <v>#N/A</v>
      </c>
      <c r="AA502" t="s">
        <v>215</v>
      </c>
      <c r="AB502" t="s">
        <v>207</v>
      </c>
      <c r="AC502" s="14" t="e">
        <f>IF(AC501="Cadre",0,W527)</f>
        <v>#N/A</v>
      </c>
    </row>
    <row r="503" spans="1:29" hidden="1" outlineLevel="1" x14ac:dyDescent="0.25">
      <c r="A503" s="49" t="s">
        <v>18</v>
      </c>
      <c r="B503" s="113">
        <v>0</v>
      </c>
      <c r="E503" s="49"/>
      <c r="G503" s="57" t="s">
        <v>317</v>
      </c>
      <c r="H503" s="58" t="e">
        <f>VLOOKUP(B503,'Base Matricule Siège'!$B$13:$H$1000,7,FALSE)</f>
        <v>#N/A</v>
      </c>
      <c r="J503" s="10" t="s">
        <v>161</v>
      </c>
      <c r="K503" s="58" t="e">
        <f>IF((VLOOKUP('MASQUE COLLABORATEUR'!B503,'Base Matricule Siège'!$B$13:$E$1000,4,FALSE)&lt;'Base Matricule Siège'!$G$5),(VLOOKUP('MASQUE COLLABORATEUR'!B503,'Base Matricule Siège'!$B$13:$E$1000,4,FALSE)),"non")</f>
        <v>#N/A</v>
      </c>
      <c r="L503" s="114" t="s">
        <v>340</v>
      </c>
      <c r="M503" s="115" t="e">
        <f>IF(K503="non","0",VLOOKUP(B503,'Base Matricule Siège'!$B$13:$S$1000,18,FALSE))</f>
        <v>#N/A</v>
      </c>
      <c r="R503" t="s">
        <v>151</v>
      </c>
      <c r="S503" t="s">
        <v>152</v>
      </c>
      <c r="T503" t="s">
        <v>153</v>
      </c>
      <c r="U503" t="s">
        <v>154</v>
      </c>
      <c r="V503" t="s">
        <v>155</v>
      </c>
      <c r="W503" s="59" t="s">
        <v>156</v>
      </c>
      <c r="AB503" t="s">
        <v>11</v>
      </c>
      <c r="AC503" s="14" t="e">
        <f>W528</f>
        <v>#N/A</v>
      </c>
    </row>
    <row r="504" spans="1:29" ht="15.75" hidden="1" outlineLevel="1" thickBot="1" x14ac:dyDescent="0.3">
      <c r="A504" s="49" t="s">
        <v>59</v>
      </c>
      <c r="B504" s="2" t="e">
        <f>VLOOKUP(B503,'Base Matricule Siège'!$B$13:$C$1000,2,FALSE)</f>
        <v>#N/A</v>
      </c>
      <c r="C504" s="2"/>
      <c r="D504" s="2"/>
      <c r="G504" s="57" t="s">
        <v>158</v>
      </c>
      <c r="H504" s="58" t="e">
        <f>VLOOKUP(B503,'Base Matricule Siège'!$B$13:$G$1000,6,FALSE)</f>
        <v>#N/A</v>
      </c>
      <c r="P504" s="10" t="s">
        <v>142</v>
      </c>
      <c r="Q504" s="10" t="s">
        <v>149</v>
      </c>
      <c r="R504">
        <f>IF(F506=Q504,E506,0)+IF(F507=Q504,E507,0)+IF(F508=Q504,E508,0)+IF(Q504=F509,E509,0)+IF(F510=Q504,E510,0)+IF(F511=Q504,E511,0)</f>
        <v>0</v>
      </c>
      <c r="S504">
        <f>IF(M506=Q504,L506,0)+IF(M507=Q504,L507,0)+IF(M508=Q504,L508,0)+IF(Q504=M509,L509,0)+IF(M510=Q504,L510,0)+IF(M511=Q504,L511,0)</f>
        <v>0</v>
      </c>
      <c r="T504">
        <f>IF(F514=Q504,E514,0)+IF(F515=Q504,E515,0)+IF(F516=Q504,E516,0)+IF(Q504=F517,E517,0)+IF(F518=Q504,E518,0)+IF(F519=Q504,E519,0)</f>
        <v>0</v>
      </c>
      <c r="U504">
        <f>IF(M514=Q504,L514,0)+IF(M515=Q504,L515,0)+IF(M516=Q504,L516,0)+IF(Q504=M517,L517,0)+IF(M518=Q504,L518,0)+IF(M519=Q504,L519,0)</f>
        <v>0</v>
      </c>
      <c r="V504">
        <f>IF(F522=Q504,E522,0)+IF(F523=Q504,E523,0)+IF(F524=Q504,E524,0)+IF(Q504=F525,E525,0)+IF(F526=Q504,E526,0)+IF(F527=Q504,E527,0)</f>
        <v>0</v>
      </c>
      <c r="W504" s="63">
        <f>SUM(R504:V504)</f>
        <v>0</v>
      </c>
      <c r="AB504" t="s">
        <v>208</v>
      </c>
      <c r="AC504" s="14">
        <f>SUM(K522:K528)*2</f>
        <v>0</v>
      </c>
    </row>
    <row r="505" spans="1:29" ht="15.75" hidden="1" outlineLevel="1" thickBot="1" x14ac:dyDescent="0.3">
      <c r="A505" s="64" t="str">
        <f>A472</f>
        <v>Semaine 23</v>
      </c>
      <c r="B505" s="65" t="e">
        <f>IF(H504="Cadre","Demi J. Réalisées","H. Réalisées")</f>
        <v>#N/A</v>
      </c>
      <c r="C505" s="65" t="s">
        <v>141</v>
      </c>
      <c r="D505" s="66" t="e">
        <f>IF(H504="Cadre","CP en Demi J.","CP en jours")</f>
        <v>#N/A</v>
      </c>
      <c r="E505" s="66" t="e">
        <f>IF(H504="Cadre","Abs. En Demi J.","Absence en H.")</f>
        <v>#N/A</v>
      </c>
      <c r="F505" s="67" t="s">
        <v>110</v>
      </c>
      <c r="H505" s="64" t="str">
        <f>H472</f>
        <v>Semaine 24</v>
      </c>
      <c r="I505" s="65" t="e">
        <f>B505</f>
        <v>#N/A</v>
      </c>
      <c r="J505" s="65" t="str">
        <f>C505</f>
        <v>Férié</v>
      </c>
      <c r="K505" s="66" t="e">
        <f>D505</f>
        <v>#N/A</v>
      </c>
      <c r="L505" s="66" t="e">
        <f>E505</f>
        <v>#N/A</v>
      </c>
      <c r="M505" s="67" t="str">
        <f>F505</f>
        <v>Type absence</v>
      </c>
      <c r="Q505" s="10" t="s">
        <v>143</v>
      </c>
      <c r="R505">
        <f>IF(F506=Q505,E506,0)+IF(F507=Q505,E507,0)+IF(F508=Q505,E508,0)+IF(Q505=F509,E509,0)+IF(F511=Q505,E510,0)+IF(F510=Q505,E511,0)</f>
        <v>0</v>
      </c>
      <c r="S505">
        <f>IF(M507=Q505,L507,0)+IF(M508=Q505,L508,0)+IF(M509=Q505,L509,0)+IF(Q505=M510,L510,0)+IF(M511=Q505,L511,0)+IF(M506=Q505,L506,0)</f>
        <v>0</v>
      </c>
      <c r="T505">
        <f>IF(F514=Q505,E514,0)+IF(F515=Q505,E515,0)+IF(F516=Q505,E516,0)+IF(Q505=F517,E517,0)+IF(F518=Q505,E518,0)+IF(F519=Q505,E519,0)</f>
        <v>0</v>
      </c>
      <c r="U505">
        <f>IF(M514=Q505,L514,0)+IF(M515=Q505,L515,0)+IF(M516=Q505,L516,0)+IF(Q505=M517,L517,0)+IF(M518=Q505,L518,0)+IF(M519=Q505,L519,0)</f>
        <v>0</v>
      </c>
      <c r="V505">
        <f>IF(F522=Q505,E522,0)+IF(F523=Q505,E523,0)+IF(F524=Q505,E524,0)+IF(Q505=F525,E525,0)+IF(F526=Q505,E526,0)+IF(F527=Q505,E527,0)</f>
        <v>0</v>
      </c>
      <c r="W505" s="63">
        <f t="shared" ref="W505:W517" si="88">SUM(R505:V505)</f>
        <v>0</v>
      </c>
      <c r="AB505" t="s">
        <v>8</v>
      </c>
      <c r="AC505" s="14"/>
    </row>
    <row r="506" spans="1:29" hidden="1" outlineLevel="1" x14ac:dyDescent="0.25">
      <c r="A506" s="68" t="s">
        <v>103</v>
      </c>
      <c r="B506" s="98"/>
      <c r="C506" s="98"/>
      <c r="D506" s="99"/>
      <c r="E506" s="100"/>
      <c r="F506" s="101"/>
      <c r="H506" s="69" t="s">
        <v>103</v>
      </c>
      <c r="I506" s="95"/>
      <c r="J506" s="95"/>
      <c r="K506" s="106"/>
      <c r="L506" s="105"/>
      <c r="M506" s="101"/>
      <c r="Q506" s="10" t="s">
        <v>144</v>
      </c>
      <c r="R506">
        <f>IF(F508=Q506,E508,0)+IF(F509=Q506,E509,0)+IF(F510=Q506,E510,0)+IF(Q506=F511,E511,0)+IF(F506=Q506,E506,0)+IF(F507=Q506,E507,0)</f>
        <v>0</v>
      </c>
      <c r="S506">
        <f>IF(M508=Q506,L508,0)+IF(M509=Q506,L509,0)+IF(M510=Q506,L510,0)+IF(Q506=M511,L511,0)+IF(M506=Q506,L506,0)+IF(M507=Q506,L507,0)</f>
        <v>0</v>
      </c>
      <c r="T506">
        <f>IF(F514=Q506,E514,0)+IF(F515=Q506,E515,0)+IF(F516=Q506,E516,0)+IF(Q506=F517,E517,0)+IF(F518=Q506,E518,0)+IF(F519=Q506,E519,0)</f>
        <v>0</v>
      </c>
      <c r="U506">
        <f>IF(M514=Q506,L514,0)+IF(M515=Q506,L515,0)+IF(M516=Q506,L516,0)+IF(Q506=M517,L517,0)+IF(M518=Q506,L518,0)+IF(M519=Q506,L519,0)</f>
        <v>0</v>
      </c>
      <c r="V506">
        <f>IF(F522=Q506,E522,0)+IF(F523=Q506,E523,0)+IF(F524=Q506,E524,0)+IF(Q506=F525,E525,0)+IF(F526=Q506,E526,0)+IF(F527=Q506,E527,0)</f>
        <v>0</v>
      </c>
      <c r="W506" s="63">
        <f t="shared" si="88"/>
        <v>0</v>
      </c>
      <c r="AB506" t="s">
        <v>209</v>
      </c>
      <c r="AC506" s="14">
        <f>W506</f>
        <v>0</v>
      </c>
    </row>
    <row r="507" spans="1:29" hidden="1" outlineLevel="1" x14ac:dyDescent="0.25">
      <c r="A507" s="69" t="s">
        <v>104</v>
      </c>
      <c r="B507" s="96"/>
      <c r="C507" s="96"/>
      <c r="D507" s="102"/>
      <c r="E507" s="103"/>
      <c r="F507" s="38"/>
      <c r="H507" s="69" t="s">
        <v>104</v>
      </c>
      <c r="I507" s="96"/>
      <c r="J507" s="96"/>
      <c r="K507" s="102"/>
      <c r="L507" s="103"/>
      <c r="M507" s="38"/>
      <c r="Q507" s="10" t="s">
        <v>145</v>
      </c>
      <c r="R507">
        <f>IF(F509=Q507,E509,0)+IF(F510=Q507,E510,0)+IF(F511=Q507,E511,0)+IF(Q507=F506,E506,0)+IF(F507=Q507,E507,0)+IF(F508=Q507,E508,0)</f>
        <v>0</v>
      </c>
      <c r="S507">
        <f>IF(M509=Q507,L509,0)+IF(M510=Q507,L510,0)+IF(M511=Q507,L511,0)+IF(Q507=M506,L506,0)+IF(M507=Q507,L507,0)+IF(M508=Q507,L508,0)</f>
        <v>0</v>
      </c>
      <c r="T507">
        <f>IF(F514=Q507,$E514,0)+IF(F515=Q507,E515,0)+IF(F516=Q507,E516,0)+IF(Q507=F517,E517,0)+IF(F518=Q507,E518,0)+IF(F519=Q507,E519,0)</f>
        <v>0</v>
      </c>
      <c r="U507">
        <f>IF(M514=Q507,L514,0)+IF(M515=Q507,L515,0)+IF(M516=Q507,L516,0)+IF(Q507=M517,L517,0)+IF(M518=Q507,L518,0)+IF(M519=Q507,L519,0)</f>
        <v>0</v>
      </c>
      <c r="V507">
        <f>IF(F522=Q507,E522,0)+IF(F523=Q507,E523,0)+IF(F524=Q507,E524,0)+IF(Q507=F525,E525,0)+IF(F526=Q507,E526,0)+IF(F527=Q507,E527,0)</f>
        <v>0</v>
      </c>
      <c r="W507" s="63">
        <f t="shared" si="88"/>
        <v>0</v>
      </c>
      <c r="AB507" t="s">
        <v>210</v>
      </c>
      <c r="AC507" s="14">
        <f>SUM(W504:W517)-W506</f>
        <v>0</v>
      </c>
    </row>
    <row r="508" spans="1:29" hidden="1" outlineLevel="1" x14ac:dyDescent="0.25">
      <c r="A508" s="69" t="s">
        <v>105</v>
      </c>
      <c r="B508" s="96"/>
      <c r="C508" s="96"/>
      <c r="D508" s="102"/>
      <c r="E508" s="103"/>
      <c r="F508" s="38"/>
      <c r="H508" s="69" t="s">
        <v>105</v>
      </c>
      <c r="I508" s="96"/>
      <c r="J508" s="96"/>
      <c r="K508" s="102"/>
      <c r="L508" s="103"/>
      <c r="M508" s="38"/>
      <c r="Q508" s="10" t="s">
        <v>212</v>
      </c>
      <c r="R508">
        <f>IF(F510=Q508,E510,0)+IF(F511=Q508,E511,0)+IF(F506=Q508,E506,0)+IF(Q508=F507,E507,0)+IF(F508=Q508,E508,0)+IF(F509=Q508,E509,0)</f>
        <v>0</v>
      </c>
      <c r="S508">
        <f>IF(M509=Q508,L509,0)+IF(M510=Q508,L510,0)+IF(M511=Q508,L511,0)+IF(Q508=M506,L506,0)+IF(M507=Q508,L507,0)+IF(M508=Q508,L508,0)</f>
        <v>0</v>
      </c>
      <c r="T508">
        <f>IF(F514=Q508,E514,0)+IF(F515=Q508,E515,0)+IF(F516=Q508,E516,0)+IF(Q508=F517,E517,0)+IF(F518=Q508,E518,0)+IF(F519=Q508,E519,0)</f>
        <v>0</v>
      </c>
      <c r="U508">
        <f>IF(M514=Q508,L514,0)+IF(M515=Q508,L515,0)+IF(M516=Q508,L516,0)+IF(Q508=M517,L517,0)+IF(M518=Q508,L518,0)+IF(M519=Q508,L519,0)</f>
        <v>0</v>
      </c>
      <c r="V508">
        <f>IF(F522=Q508,E522,0)+IF(F523=Q508,E523,0)+IF(F524=Q508,E524,0)+IF(Q508=F525,E525,0)+IF(F526=Q508,E526,0)+IF(F527=Q508,E527,0)</f>
        <v>0</v>
      </c>
      <c r="W508" s="63">
        <f t="shared" si="88"/>
        <v>0</v>
      </c>
      <c r="AA508" t="s">
        <v>214</v>
      </c>
      <c r="AB508" t="s">
        <v>213</v>
      </c>
      <c r="AC508" s="14" t="e">
        <f>IF(AC501="Cadre",(W508/2),(W508/7))</f>
        <v>#N/A</v>
      </c>
    </row>
    <row r="509" spans="1:29" hidden="1" outlineLevel="1" x14ac:dyDescent="0.25">
      <c r="A509" s="69" t="s">
        <v>106</v>
      </c>
      <c r="B509" s="96"/>
      <c r="C509" s="96"/>
      <c r="D509" s="102"/>
      <c r="E509" s="103"/>
      <c r="F509" s="38"/>
      <c r="H509" s="69" t="s">
        <v>106</v>
      </c>
      <c r="I509" s="96"/>
      <c r="J509" s="96"/>
      <c r="K509" s="102"/>
      <c r="L509" s="103"/>
      <c r="M509" s="38"/>
      <c r="Q509" s="10" t="s">
        <v>146</v>
      </c>
      <c r="R509">
        <f>IF(F511=Q509,E511,0)+IF(F506=Q509,E506,0)+IF(F507=Q509,E507,0)+IF(Q509=F508,E508,0)+IF(F509=Q509,E509,0)+IF(F510=Q509,E510,0)</f>
        <v>0</v>
      </c>
      <c r="S509">
        <f>IF(M509=Q509,L509,0)+IF(M510=Q509,L510,0)+IF(M511=Q509,L511,0)+IF(Q509=M506,$L$11,0)+IF(M507=Q509,L507,0)+IF(M508=Q509,L508,0)</f>
        <v>0</v>
      </c>
      <c r="T509">
        <f>IF(F514=Q509,E514,0)+IF(F515=Q509,E515,0)+IF(F516=Q509,E516,0)+IF(Q509=F517,E517,0)+IF(F518=Q509,E518,0)+IF(F519=Q509,E519,0)</f>
        <v>0</v>
      </c>
      <c r="U509">
        <f>IF(M514=Q509,L514,0)+IF(M515=Q509,L515,0)+IF(M516=Q509,L516,0)+IF(Q509=M517,L517,0)+IF(M518=Q509,L518,0)+IF(M519=Q509,L519,0)</f>
        <v>0</v>
      </c>
      <c r="V509">
        <f>IF(F522=Q509,E522,0)+IF(F523=Q509,E523,0)+IF(F524=Q509,E524,0)+IF(Q509=F525,E525,0)+IF(F526=Q509,E526,0)+IF(F527=Q509,E527,0)</f>
        <v>0</v>
      </c>
      <c r="W509" s="63">
        <f t="shared" si="88"/>
        <v>0</v>
      </c>
      <c r="AA509" t="s">
        <v>216</v>
      </c>
      <c r="AB509" t="s">
        <v>217</v>
      </c>
      <c r="AC509" s="14" t="e">
        <f>W521+W522</f>
        <v>#N/A</v>
      </c>
    </row>
    <row r="510" spans="1:29" hidden="1" outlineLevel="1" x14ac:dyDescent="0.25">
      <c r="A510" s="69" t="s">
        <v>107</v>
      </c>
      <c r="B510" s="96"/>
      <c r="C510" s="96"/>
      <c r="D510" s="102"/>
      <c r="E510" s="103"/>
      <c r="F510" s="38"/>
      <c r="H510" s="69" t="s">
        <v>107</v>
      </c>
      <c r="I510" s="96"/>
      <c r="J510" s="96"/>
      <c r="K510" s="102"/>
      <c r="L510" s="103"/>
      <c r="M510" s="38"/>
      <c r="Q510" s="10" t="s">
        <v>499</v>
      </c>
      <c r="R510">
        <f>IF(F506=Q510,E506,0)+IF(F507=Q510,E507,0)+IF(F508=Q510,E508,0)+IF(Q510=F509,E509,0)+IF(F510=Q510,E510,0)+IF(F511=Q510,E511,0)</f>
        <v>0</v>
      </c>
      <c r="S510">
        <f>IF(M509=Q510,L509,0)+IF(M510=Q510,L510,0)+IF(M511=Q510,L511,0)+IF(Q510=M506,L506,0)+IF(M507=Q510,L507,0)+IF(M508=Q510,L508,0)</f>
        <v>0</v>
      </c>
      <c r="T510">
        <f>IF(F514=Q510,E514,0)+IF(F515=Q510,E515,0)+IF(F516=Q510,E516,0)+IF(Q510=F517,E517,0)+IF(F518=Q510,E518,0)+IF(F519=Q510,E519,0)</f>
        <v>0</v>
      </c>
      <c r="U510">
        <f>IF(M514=Q510,L514,0)+IF(M515=Q510,L515,0)+IF(M516=Q510,L516,0)+IF(Q510=M517,L517,0)+IF(M518=Q510,L518,0)+IF(M519=Q510,L519,0)</f>
        <v>0</v>
      </c>
      <c r="V510">
        <f>IF(F522=Q510,E522,0)+IF(F523=Q510,E523,0)+IF(F524=Q510,E524,0)+IF(Q510=F525,E525,0)+IF(F526=Q510,E526,0)+IF(F527=Q510,E527,0)</f>
        <v>0</v>
      </c>
      <c r="W510" s="63">
        <f t="shared" si="88"/>
        <v>0</v>
      </c>
      <c r="AA510" t="s">
        <v>218</v>
      </c>
      <c r="AB510" t="s">
        <v>219</v>
      </c>
      <c r="AC510" s="14" t="e">
        <f>W520</f>
        <v>#N/A</v>
      </c>
    </row>
    <row r="511" spans="1:29" hidden="1" outlineLevel="1" x14ac:dyDescent="0.25">
      <c r="A511" s="69" t="s">
        <v>108</v>
      </c>
      <c r="B511" s="96"/>
      <c r="C511" s="96"/>
      <c r="D511" s="102"/>
      <c r="E511" s="103"/>
      <c r="F511" s="38"/>
      <c r="H511" s="69" t="s">
        <v>108</v>
      </c>
      <c r="I511" s="96"/>
      <c r="J511" s="96"/>
      <c r="K511" s="102"/>
      <c r="L511" s="103"/>
      <c r="M511" s="38"/>
      <c r="Q511" s="10" t="s">
        <v>147</v>
      </c>
      <c r="R511">
        <f>IF(F507=Q511,E507,0)+IF(F508=Q511,E508,0)+IF(F509=Q511,E509,0)+IF(Q511=F510,E510,0)+IF(F511=Q511,E511,0)+IF(F506=Q511,E506,0)</f>
        <v>0</v>
      </c>
      <c r="S511">
        <f>IF(M509=Q511,L509,0)+IF(M510=Q511,L510,0)+IF(M511=Q511,L511,0)+IF(Q511=M506,L506,0)+IF(M507=Q511,L507,0)+IF(M508=Q511,L508,0)</f>
        <v>0</v>
      </c>
      <c r="T511">
        <f>IF(F514=Q511,E514,0)+IF(F515=Q511,E515,0)+IF(F516=Q511,E516,0)+IF(Q511=F517,E517,0)+IF(F518=Q511,E518,0)+IF(F519=Q511,E519,0)</f>
        <v>0</v>
      </c>
      <c r="U511">
        <f>IF(M514=Q511,L514,0)+IF(M515=Q511,L515,0)+IF(M516=Q511,L516,0)+IF(Q511=M517,L517,0)+IF(M518=Q511,L518,0)+IF(M519=Q511,L519,0)</f>
        <v>0</v>
      </c>
      <c r="V511">
        <f>IF(F522=Q511,E522,0)+IF(F523=Q511,E523,0)+IF(F524=Q511,E524,0)+IF(Q511=F525,E525,0)+IF(F526=Q511,E526,0)+IF(F527=Q511,E527,0)</f>
        <v>0</v>
      </c>
      <c r="W511" s="63">
        <f t="shared" si="88"/>
        <v>0</v>
      </c>
      <c r="AA511" t="s">
        <v>166</v>
      </c>
      <c r="AB511" t="s">
        <v>220</v>
      </c>
      <c r="AC511" s="14" t="e">
        <f>W525</f>
        <v>#N/A</v>
      </c>
    </row>
    <row r="512" spans="1:29" ht="15.75" hidden="1" outlineLevel="1" thickBot="1" x14ac:dyDescent="0.3">
      <c r="A512" s="70" t="s">
        <v>109</v>
      </c>
      <c r="B512" s="97"/>
      <c r="C512" s="97"/>
      <c r="D512" s="71"/>
      <c r="E512" s="104"/>
      <c r="F512" s="38"/>
      <c r="H512" s="70" t="s">
        <v>109</v>
      </c>
      <c r="I512" s="97"/>
      <c r="J512" s="97"/>
      <c r="K512" s="71"/>
      <c r="L512" s="104"/>
      <c r="M512" s="38"/>
      <c r="Q512" s="10" t="s">
        <v>500</v>
      </c>
      <c r="R512">
        <f>IF(F508=Q512,E508,0)+IF(F509=Q512,E509,0)+IF(F510=Q512,E510,0)+IF(Q512=F511,E511,0)+IF(F506=Q512,E506,0)+IF(F507=Q512,E507,0)</f>
        <v>0</v>
      </c>
      <c r="S512">
        <f>IF(M509=Q512,L509,0)+IF(M510=Q512,L510,0)+IF(M511=Q512,L511,0)+IF(Q512=M506,L506,0)+IF(M507=Q512,L507,0)+IF(M508=Q512,L508,0)</f>
        <v>0</v>
      </c>
      <c r="T512">
        <f>IF(F514=Q512,E514,0)+IF(F515=Q512,E515,0)+IF(F516=Q512,E516,0)+IF(Q512=F517,E517,0)+IF(F518=Q512,E518,0)+IF(F519=Q512,E519,0)</f>
        <v>0</v>
      </c>
      <c r="U512">
        <f>IF(M514=Q512,L514,0)+IF(M515=Q512,L515,0)+IF(M516=Q512,L516,0)+IF(Q512=M517,L517,0)+IF(M518=Q512,L518,0)+IF(M519=Q512,L519,0)</f>
        <v>0</v>
      </c>
      <c r="V512">
        <f>IF(F522=Q512,E522,0)+IF(F523=Q512,E523,0)+IF(F524=Q512,E524,0)+IF(Q512=F525,E525,0)+IF(F526=Q512,E526,0)+IF(F527=Q512,E527,0)</f>
        <v>0</v>
      </c>
      <c r="W512" s="63">
        <f t="shared" si="88"/>
        <v>0</v>
      </c>
      <c r="AA512" t="s">
        <v>222</v>
      </c>
      <c r="AB512" t="s">
        <v>220</v>
      </c>
      <c r="AC512" s="14" t="e">
        <f>W526</f>
        <v>#N/A</v>
      </c>
    </row>
    <row r="513" spans="1:29" ht="15.75" hidden="1" outlineLevel="1" thickBot="1" x14ac:dyDescent="0.3">
      <c r="A513" s="64" t="str">
        <f>A480</f>
        <v>Ne pas saisir</v>
      </c>
      <c r="B513" s="65" t="e">
        <f>B505</f>
        <v>#N/A</v>
      </c>
      <c r="C513" s="65" t="str">
        <f>C505</f>
        <v>Férié</v>
      </c>
      <c r="D513" s="66" t="e">
        <f>D505</f>
        <v>#N/A</v>
      </c>
      <c r="E513" s="66" t="e">
        <f>E505</f>
        <v>#N/A</v>
      </c>
      <c r="F513" s="67" t="str">
        <f>F505</f>
        <v>Type absence</v>
      </c>
      <c r="H513" s="64" t="str">
        <f>H480</f>
        <v>Ne pas saisir</v>
      </c>
      <c r="I513" s="65" t="e">
        <f>B505</f>
        <v>#N/A</v>
      </c>
      <c r="J513" s="65" t="str">
        <f>C505</f>
        <v>Férié</v>
      </c>
      <c r="K513" s="66" t="e">
        <f>D505</f>
        <v>#N/A</v>
      </c>
      <c r="L513" s="66" t="e">
        <f>E505</f>
        <v>#N/A</v>
      </c>
      <c r="M513" s="67" t="str">
        <f>F505</f>
        <v>Type absence</v>
      </c>
      <c r="Q513" s="10" t="s">
        <v>148</v>
      </c>
      <c r="R513">
        <f>IF(F509=Q513,E509,0)+IF(F510=Q513,E510,0)+IF(F511=Q513,E511,0)+IF(Q513=F506,E506,0)+IF(F507=Q513,E507,0)+IF(F508=Q513,E508,0)</f>
        <v>0</v>
      </c>
      <c r="S513">
        <f>IF(M509=Q513,L509,0)+IF(M510=Q513,L510,0)+IF(M511=Q513,L511,0)+IF(Q513=M506,L506,0)+IF(M507=Q513,L507,0)+IF(M508=Q513,L508,0)</f>
        <v>0</v>
      </c>
      <c r="T513">
        <f>IF(F514=Q513,E514,0)+IF(F515=Q513,E515,0)+IF(F516=Q513,E516,0)+IF(Q513=F517,E517,0)+IF(F518=Q513,E518,0)+IF(F519=Q513,E519,0)</f>
        <v>0</v>
      </c>
      <c r="U513">
        <f>IF(M514=Q513,L514,0)+IF(M515=Q513,L515,0)+IF(M516=Q513,L516,0)+IF(Q513=M517,L517,0)+IF(M518=Q513,L518,0)+IF(M519=Q513,L519,0)</f>
        <v>0</v>
      </c>
      <c r="V513">
        <f>IF(F522=Q513,E522,0)+IF(F523=Q513,E523,0)+IF(F524=Q513,E524,0)+IF(Q513=F525,E525,0)+IF(F526=Q513,E526,0)+IF(F527=Q513,E527,0)</f>
        <v>0</v>
      </c>
      <c r="W513" s="63">
        <f t="shared" si="88"/>
        <v>0</v>
      </c>
      <c r="AA513" t="s">
        <v>223</v>
      </c>
      <c r="AB513" t="s">
        <v>224</v>
      </c>
      <c r="AC513" s="14" t="e">
        <f>W524</f>
        <v>#N/A</v>
      </c>
    </row>
    <row r="514" spans="1:29" hidden="1" outlineLevel="1" x14ac:dyDescent="0.25">
      <c r="A514" s="69" t="s">
        <v>103</v>
      </c>
      <c r="B514" s="95"/>
      <c r="C514" s="95"/>
      <c r="D514" s="106"/>
      <c r="E514" s="105"/>
      <c r="F514" s="101"/>
      <c r="H514" s="69" t="s">
        <v>103</v>
      </c>
      <c r="I514" s="95"/>
      <c r="J514" s="95"/>
      <c r="K514" s="106"/>
      <c r="L514" s="105"/>
      <c r="M514" s="101"/>
      <c r="Q514" s="10" t="s">
        <v>150</v>
      </c>
      <c r="R514">
        <f>IF(F510=Q514,E510,0)+IF(F511=Q514,E511,0)+IF(F506=Q514,E506,0)+IF(Q514=F507,E507,0)+IF(F508=Q514,E508,0)+IF(F509=Q514,E509,0)</f>
        <v>0</v>
      </c>
      <c r="S514">
        <f>IF(M509=Q514,L509,0)+IF(M510=Q514,L510,0)+IF(M511=Q514,L511,0)+IF(Q514=M506,L506,0)+IF(M507=Q514,L507,0)+IF(M508=Q514,L508,0)</f>
        <v>0</v>
      </c>
      <c r="T514">
        <f>IF(F514=Q514,E514,0)+IF(F515=Q514,E515,0)+IF(F516=Q514,E516,0)+IF(Q514=F517,E517,0)+IF(F518=Q514,E518,0)+IF(F519=Q514,E519,0)</f>
        <v>0</v>
      </c>
      <c r="U514">
        <f>IF(M514=Q514,L514,0)+IF(M515=Q514,L515,0)+IF(M516=Q514,L516,0)+IF(Q514=M517,L517,0)+IF(M518=Q514,L518,0)+IF(M519=Q514,L519,0)</f>
        <v>0</v>
      </c>
      <c r="V514">
        <f>IF(F522=Q514,E522,0)+IF(F523=Q514,E523,0)+IF(F524=Q514,E524,0)+IF(Q514=F525,E525,0)+IF(F526=Q514,E526,0)+IF(F527=Q514,E527,0)</f>
        <v>0</v>
      </c>
      <c r="W514" s="63">
        <f t="shared" si="88"/>
        <v>0</v>
      </c>
      <c r="AB514" t="s">
        <v>267</v>
      </c>
      <c r="AC514">
        <f>(SUM(B506:B512))</f>
        <v>0</v>
      </c>
    </row>
    <row r="515" spans="1:29" hidden="1" outlineLevel="1" x14ac:dyDescent="0.25">
      <c r="A515" s="69" t="s">
        <v>104</v>
      </c>
      <c r="B515" s="96"/>
      <c r="C515" s="96"/>
      <c r="D515" s="102"/>
      <c r="E515" s="103"/>
      <c r="F515" s="38"/>
      <c r="H515" s="69" t="s">
        <v>104</v>
      </c>
      <c r="I515" s="96"/>
      <c r="J515" s="96"/>
      <c r="K515" s="102"/>
      <c r="L515" s="103"/>
      <c r="M515" s="38"/>
      <c r="Q515" s="10" t="s">
        <v>502</v>
      </c>
      <c r="R515">
        <f>IF(F511=Q515,E511,0)+IF(F506=Q515,E506,0)+IF(F507=Q515,E507,0)+IF(Q515=F508,E508,0)+IF(F509=Q515,E509,0)+IF(F510=Q515,E510,0)</f>
        <v>0</v>
      </c>
      <c r="S515">
        <f>IF(M509=Q515,L509,0)+IF(M510=Q515,L510,0)+IF(M511=Q515,L511,0)+IF(Q515=M506,L506,0)+IF(M507=Q515,L507,0)+IF(M508=Q515,L508,0)</f>
        <v>0</v>
      </c>
      <c r="T515">
        <f>IF(F514=Q515,E514,0)+IF(F515=Q515,E515,0)+IF(F516=Q515,E516,0)+IF(Q515=F517,E517,0)+IF(F518=Q515,E518,0)+IF(F519=Q515,E519,0)</f>
        <v>0</v>
      </c>
      <c r="U515">
        <f>IF(M514=Q515,L514,0)+IF(M515=Q515,L515,0)+IF(M516=Q515,L516,0)+IF(Q515=M517,L517,0)+IF(M518=Q515,L518,0)+IF(M519=Q515,L519,0)</f>
        <v>0</v>
      </c>
      <c r="V515">
        <f>IF(F522=Q515,E522,0)+IF(F523=Q515,E523,0)+IF(F524=Q515,E524,0)+IF(Q515=F525,E525,0)+IF(F526=Q515,E526,0)+IF(F527=Q515,E527,0)</f>
        <v>0</v>
      </c>
      <c r="W515" s="63">
        <f t="shared" si="88"/>
        <v>0</v>
      </c>
      <c r="AB515" t="s">
        <v>268</v>
      </c>
      <c r="AC515">
        <f>(SUM(I506:I512))</f>
        <v>0</v>
      </c>
    </row>
    <row r="516" spans="1:29" hidden="1" outlineLevel="1" x14ac:dyDescent="0.25">
      <c r="A516" s="69" t="s">
        <v>105</v>
      </c>
      <c r="B516" s="96"/>
      <c r="C516" s="96"/>
      <c r="D516" s="102"/>
      <c r="E516" s="103"/>
      <c r="F516" s="38"/>
      <c r="H516" s="69" t="s">
        <v>105</v>
      </c>
      <c r="I516" s="96"/>
      <c r="J516" s="96"/>
      <c r="K516" s="102"/>
      <c r="L516" s="103"/>
      <c r="M516" s="38"/>
      <c r="Q516" s="10" t="s">
        <v>498</v>
      </c>
      <c r="R516">
        <f>IF(F506=Q516,E506,0)+IF(F507=Q516,E507,0)+IF(F508=Q516,E508,0)+IF(Q516=F509,E509,0)+IF(F510=Q516,E510,0)+IF(F511=Q516,E511,0)</f>
        <v>0</v>
      </c>
      <c r="S516">
        <f>IF(M509=Q516,L509,0)+IF(M510=Q516,L510,0)+IF(M511=Q516,L511,0)+IF(Q516=M506,L506,0)+IF(M507=Q516,L507,0)+IF(M508=Q516,L508,0)</f>
        <v>0</v>
      </c>
      <c r="T516">
        <f>IF(F514=Q516,E514,0)+IF(F515=Q516,E515,0)+IF(F516=Q516,E516,0)+IF(Q516=F517,E517,0)+IF(F518=Q516,E518,0)+IF(F519=Q516,E519,0)</f>
        <v>0</v>
      </c>
      <c r="U516">
        <f>IF(M514=Q516,L514,0)+IF(M515=Q516,L515,0)+IF(M516=Q516,L516,0)+IF(Q516=M517,L517,0)+IF(M518=Q516,L518,0)+IF(M519=Q516,L519,0)</f>
        <v>0</v>
      </c>
      <c r="V516">
        <f>IF(F522=Q516,E522,0)+IF(F523=Q516,E523,0)+IF(F524=Q516,E524,0)+IF(Q516=F525,E525,0)+IF(F526=Q516,E526,0)+IF(F527=Q516,E527,0)</f>
        <v>0</v>
      </c>
      <c r="W516" s="63">
        <f t="shared" si="88"/>
        <v>0</v>
      </c>
      <c r="AB516" t="s">
        <v>269</v>
      </c>
      <c r="AC516">
        <f>(SUM(B514:B520))</f>
        <v>0</v>
      </c>
    </row>
    <row r="517" spans="1:29" hidden="1" outlineLevel="1" x14ac:dyDescent="0.25">
      <c r="A517" s="69" t="s">
        <v>106</v>
      </c>
      <c r="B517" s="96"/>
      <c r="C517" s="96"/>
      <c r="D517" s="102"/>
      <c r="E517" s="103"/>
      <c r="F517" s="38"/>
      <c r="H517" s="69" t="s">
        <v>106</v>
      </c>
      <c r="I517" s="96"/>
      <c r="J517" s="96"/>
      <c r="K517" s="102"/>
      <c r="L517" s="103"/>
      <c r="M517" s="38"/>
      <c r="P517" s="72"/>
      <c r="Q517" s="73" t="s">
        <v>501</v>
      </c>
      <c r="R517" s="72">
        <f>IF(F507=Q517,E507,0)+IF(F508=Q517,E508,0)+IF(F509=Q517,E509,0)+IF(Q517=F510,E510,0)+IF(F511=Q517,E511,0)+IF(F506=Q517,E506,0)</f>
        <v>0</v>
      </c>
      <c r="S517" s="72">
        <f>IF(M509=Q517,L509,0)+IF(M510=Q517,L510,0)+IF(M511=Q517,L511,0)+IF(Q517=M506,L506,0)+IF(M507=Q517,L507,0)+IF(M508=Q517,L508,0)</f>
        <v>0</v>
      </c>
      <c r="T517" s="72">
        <f>IF(F514=Q517,E514,0)+IF(F515=Q517,E515,0)+IF(F516=Q517,E516,0)+IF(Q517=F517,E517,0)+IF(F518=Q517,E518,0)+IF(F519=Q517,E519,0)</f>
        <v>0</v>
      </c>
      <c r="U517" s="72">
        <f>IF(M514=Q517,L514,0)+IF(M515=Q517,L515,0)+IF(M516=Q517,L516,0)+IF(Q517=M517,L517,0)+IF(M518=Q517,L518,0)+IF(M519=Q517,L519,0)</f>
        <v>0</v>
      </c>
      <c r="V517" s="72">
        <f>IF(F522=Q517,E522,0)+IF(F523=Q517,E523,0)+IF(F524=Q517,E524,0)+IF(Q517=F525,E525,0)+IF(F526=Q517,E526,0)+IF(F527=Q517,E527,0)</f>
        <v>0</v>
      </c>
      <c r="W517" s="74">
        <f t="shared" si="88"/>
        <v>0</v>
      </c>
      <c r="AB517" t="s">
        <v>270</v>
      </c>
      <c r="AC517">
        <f>(SUM(I514:I520))</f>
        <v>0</v>
      </c>
    </row>
    <row r="518" spans="1:29" hidden="1" outlineLevel="1" x14ac:dyDescent="0.25">
      <c r="A518" s="69" t="s">
        <v>107</v>
      </c>
      <c r="B518" s="96"/>
      <c r="C518" s="96"/>
      <c r="D518" s="102"/>
      <c r="E518" s="103"/>
      <c r="F518" s="38"/>
      <c r="H518" s="69" t="s">
        <v>107</v>
      </c>
      <c r="I518" s="96"/>
      <c r="J518" s="96"/>
      <c r="K518" s="102"/>
      <c r="L518" s="103"/>
      <c r="M518" s="38"/>
      <c r="Q518" s="75" t="s">
        <v>169</v>
      </c>
      <c r="R518" s="2" t="e">
        <f>IF(M503="Règlement HC",K503*10%,0)</f>
        <v>#N/A</v>
      </c>
      <c r="S518" s="2" t="e">
        <f>IF(M503="Règlement HC",K503*10%,0)</f>
        <v>#N/A</v>
      </c>
      <c r="T518" s="2" t="e">
        <f>IF(M503="Règlement HC",K503*10%,0)</f>
        <v>#N/A</v>
      </c>
      <c r="U518" s="2" t="e">
        <f>IF(M503="Règlement HC",K503*10%,0)</f>
        <v>#N/A</v>
      </c>
      <c r="V518" s="2" t="e">
        <f>IF(M503="Règlement HC",K503*10%,0)</f>
        <v>#N/A</v>
      </c>
      <c r="W518" s="76"/>
      <c r="AB518" t="s">
        <v>271</v>
      </c>
      <c r="AC518">
        <f>(SUM(B522:B528))</f>
        <v>0</v>
      </c>
    </row>
    <row r="519" spans="1:29" hidden="1" outlineLevel="1" x14ac:dyDescent="0.25">
      <c r="A519" s="69" t="s">
        <v>108</v>
      </c>
      <c r="B519" s="96"/>
      <c r="C519" s="96"/>
      <c r="D519" s="102"/>
      <c r="E519" s="103"/>
      <c r="F519" s="38"/>
      <c r="H519" s="69" t="s">
        <v>108</v>
      </c>
      <c r="I519" s="96"/>
      <c r="J519" s="96"/>
      <c r="K519" s="102"/>
      <c r="L519" s="103"/>
      <c r="M519" s="38"/>
      <c r="Q519" s="75" t="s">
        <v>175</v>
      </c>
      <c r="R519" s="2" t="e">
        <f>IF(M503="Règlement HC",SUM(B506:B512)-K503,0)</f>
        <v>#N/A</v>
      </c>
      <c r="S519" s="2" t="e">
        <f>IF(M503="Règlement HC",SUM(I506:I512)-K503,0)</f>
        <v>#N/A</v>
      </c>
      <c r="T519" s="2" t="e">
        <f>IF(M503="Règlement HC",SUM(B514:B520)-K503,0)</f>
        <v>#N/A</v>
      </c>
      <c r="U519" s="2" t="e">
        <f>IF(M503="Règlement HC",SUM(I514:I520)-K503,0)</f>
        <v>#N/A</v>
      </c>
      <c r="V519" s="2" t="e">
        <f>IF(M503="Règlement HC",SUM(B522:B528)-K503,0)</f>
        <v>#N/A</v>
      </c>
      <c r="W519" s="63" t="e">
        <f>SUM((IF(R519&gt;0,R519,0)+(IF(S519&gt;0,S519,0)+(IF(T519&gt;0,T519,0)+(IF(U519&gt;0,U519,0)+(IF(V519&gt;0,V519,0)))))))</f>
        <v>#N/A</v>
      </c>
      <c r="AA519" t="s">
        <v>313</v>
      </c>
      <c r="AB519" t="s">
        <v>314</v>
      </c>
      <c r="AC519" t="e">
        <f>W523</f>
        <v>#N/A</v>
      </c>
    </row>
    <row r="520" spans="1:29" ht="15.75" hidden="1" outlineLevel="1" thickBot="1" x14ac:dyDescent="0.3">
      <c r="A520" s="70" t="s">
        <v>109</v>
      </c>
      <c r="B520" s="97"/>
      <c r="C520" s="97"/>
      <c r="D520" s="71"/>
      <c r="E520" s="104"/>
      <c r="F520" s="38"/>
      <c r="H520" s="70" t="s">
        <v>109</v>
      </c>
      <c r="I520" s="97"/>
      <c r="J520" s="97"/>
      <c r="K520" s="71"/>
      <c r="L520" s="104"/>
      <c r="M520" s="39"/>
      <c r="P520" t="s">
        <v>170</v>
      </c>
      <c r="Q520" s="10" t="s">
        <v>162</v>
      </c>
      <c r="R520" t="e">
        <f>IF(R519&gt;=R518,R518,R519)</f>
        <v>#N/A</v>
      </c>
      <c r="S520" t="e">
        <f>IF(S519&gt;=S518,S518,S519)</f>
        <v>#N/A</v>
      </c>
      <c r="T520" t="e">
        <f>IF(T519&gt;=T518,T518,T519)</f>
        <v>#N/A</v>
      </c>
      <c r="U520" t="e">
        <f>IF(U519&gt;=U518,U518,U519)</f>
        <v>#N/A</v>
      </c>
      <c r="V520" t="e">
        <f>IF(V519&gt;=V518,V518,V519)</f>
        <v>#N/A</v>
      </c>
      <c r="W520" s="63" t="e">
        <f>SUM((IF(R520&gt;0,R520,0)+(IF(S520&gt;0,S520,0)+(IF(T520&gt;0,T520,0)+(IF(U520&gt;0,U520,0)+(IF(V520&gt;0,V520,0)))))))</f>
        <v>#N/A</v>
      </c>
    </row>
    <row r="521" spans="1:29" ht="15.75" hidden="1" outlineLevel="1" thickBot="1" x14ac:dyDescent="0.3">
      <c r="A521" s="64" t="str">
        <f>A488</f>
        <v>Ne pas saisir</v>
      </c>
      <c r="B521" s="65" t="e">
        <f>B505</f>
        <v>#N/A</v>
      </c>
      <c r="C521" s="65" t="str">
        <f>C505</f>
        <v>Férié</v>
      </c>
      <c r="D521" s="66" t="e">
        <f>D505</f>
        <v>#N/A</v>
      </c>
      <c r="E521" s="66" t="e">
        <f>E505</f>
        <v>#N/A</v>
      </c>
      <c r="F521" s="67" t="str">
        <f>F505</f>
        <v>Type absence</v>
      </c>
      <c r="H521" s="77" t="s">
        <v>136</v>
      </c>
      <c r="I521" s="78" t="e">
        <f>B505</f>
        <v>#N/A</v>
      </c>
      <c r="J521" s="78" t="str">
        <f>C505</f>
        <v>Férié</v>
      </c>
      <c r="K521" s="79" t="e">
        <f>D505</f>
        <v>#N/A</v>
      </c>
      <c r="L521" s="80" t="e">
        <f>E505</f>
        <v>#N/A</v>
      </c>
      <c r="M521" s="49"/>
      <c r="P521" t="s">
        <v>170</v>
      </c>
      <c r="Q521" s="10" t="s">
        <v>163</v>
      </c>
      <c r="R521" t="e">
        <f>R519-R520</f>
        <v>#N/A</v>
      </c>
      <c r="S521" t="e">
        <f>S519-S520</f>
        <v>#N/A</v>
      </c>
      <c r="T521" t="e">
        <f>T519-T520</f>
        <v>#N/A</v>
      </c>
      <c r="U521" t="e">
        <f>U519-U520</f>
        <v>#N/A</v>
      </c>
      <c r="V521" t="e">
        <f>V519-V520</f>
        <v>#N/A</v>
      </c>
      <c r="W521" s="63" t="e">
        <f t="shared" ref="W521:W526" si="89">SUM(R521:V521)</f>
        <v>#N/A</v>
      </c>
    </row>
    <row r="522" spans="1:29" hidden="1" outlineLevel="1" x14ac:dyDescent="0.25">
      <c r="A522" s="69" t="s">
        <v>103</v>
      </c>
      <c r="B522" s="95"/>
      <c r="C522" s="95"/>
      <c r="D522" s="106"/>
      <c r="E522" s="105"/>
      <c r="F522" s="101"/>
      <c r="H522" s="81" t="s">
        <v>103</v>
      </c>
      <c r="I522" s="82">
        <f t="shared" ref="I522:I527" si="90">B506+I506+B514+I514+B522</f>
        <v>0</v>
      </c>
      <c r="J522" s="82">
        <f t="shared" ref="J522:J527" si="91">C506+J506+C514+J514+C522</f>
        <v>0</v>
      </c>
      <c r="K522" s="83">
        <f t="shared" ref="K522:K527" si="92">D506+K506+D514+K514+D522</f>
        <v>0</v>
      </c>
      <c r="L522" s="84">
        <f t="shared" ref="L522:L527" si="93">E506+L506+E514+L514+E522</f>
        <v>0</v>
      </c>
      <c r="M522" s="303" t="s">
        <v>177</v>
      </c>
      <c r="N522" s="304"/>
      <c r="O522" s="304"/>
      <c r="Q522" s="10" t="s">
        <v>164</v>
      </c>
      <c r="R522" t="e">
        <f>IF(AND(K503="non",(SUM(B506:B512)&gt;U502)),SUM(B506:B512)-U502,0)</f>
        <v>#N/A</v>
      </c>
      <c r="S522" t="e">
        <f>IF(AND(K503="non",(SUM(I506:I512)&gt;U502)),SUM(I506:I512)-U502,0)</f>
        <v>#N/A</v>
      </c>
      <c r="T522" t="e">
        <f>IF(AND(K503="non",(SUM(B514:B520)&gt;U502)),SUM(B514:B520)-U502,0)</f>
        <v>#N/A</v>
      </c>
      <c r="U522" t="e">
        <f>IF(AND(K503="non",(SUM(I514:I520)&gt;U502)),SUM(I514:I520)-U502,0)</f>
        <v>#N/A</v>
      </c>
      <c r="V522" t="e">
        <f>IF(AND(K503="non",(SUM(B522:B528)&gt;U502)),SUM(B522:B528)-U502,0)</f>
        <v>#N/A</v>
      </c>
      <c r="W522" s="63" t="e">
        <f t="shared" si="89"/>
        <v>#N/A</v>
      </c>
    </row>
    <row r="523" spans="1:29" hidden="1" outlineLevel="1" x14ac:dyDescent="0.25">
      <c r="A523" s="69" t="s">
        <v>104</v>
      </c>
      <c r="B523" s="96"/>
      <c r="C523" s="96"/>
      <c r="D523" s="102"/>
      <c r="E523" s="103"/>
      <c r="F523" s="38"/>
      <c r="H523" s="81" t="s">
        <v>104</v>
      </c>
      <c r="I523" s="88">
        <f t="shared" si="90"/>
        <v>0</v>
      </c>
      <c r="J523" s="88">
        <f t="shared" si="91"/>
        <v>0</v>
      </c>
      <c r="K523" s="89">
        <f t="shared" si="92"/>
        <v>0</v>
      </c>
      <c r="L523" s="90">
        <f t="shared" si="93"/>
        <v>0</v>
      </c>
      <c r="M523" s="49"/>
      <c r="P523" t="s">
        <v>167</v>
      </c>
      <c r="Q523" s="10" t="s">
        <v>165</v>
      </c>
      <c r="R523" t="e">
        <f>IF(H504="Cadre",0,SUM(C506:C512))</f>
        <v>#N/A</v>
      </c>
      <c r="S523" t="e">
        <f>IF(H504="Cadre",0,SUM(J506:J512))</f>
        <v>#N/A</v>
      </c>
      <c r="T523" t="e">
        <f>IF(H504="Cadre",0,SUM(C514:C520))</f>
        <v>#N/A</v>
      </c>
      <c r="U523" t="e">
        <f>IF(H504="Cadre",0,SUM(J514:J520))</f>
        <v>#N/A</v>
      </c>
      <c r="V523" t="e">
        <f>IF(H504="Cadre",0,SUM(C522:C528))</f>
        <v>#N/A</v>
      </c>
      <c r="W523" s="63" t="e">
        <f t="shared" si="89"/>
        <v>#N/A</v>
      </c>
    </row>
    <row r="524" spans="1:29" hidden="1" outlineLevel="1" x14ac:dyDescent="0.25">
      <c r="A524" s="69" t="s">
        <v>105</v>
      </c>
      <c r="B524" s="96"/>
      <c r="C524" s="96"/>
      <c r="D524" s="102"/>
      <c r="E524" s="103"/>
      <c r="F524" s="38"/>
      <c r="H524" s="81" t="s">
        <v>105</v>
      </c>
      <c r="I524" s="88">
        <f t="shared" si="90"/>
        <v>0</v>
      </c>
      <c r="J524" s="88">
        <f t="shared" si="91"/>
        <v>0</v>
      </c>
      <c r="K524" s="89">
        <f t="shared" si="92"/>
        <v>0</v>
      </c>
      <c r="L524" s="90">
        <f t="shared" si="93"/>
        <v>0</v>
      </c>
      <c r="M524" s="49"/>
      <c r="P524" t="s">
        <v>168</v>
      </c>
      <c r="Q524" s="10" t="s">
        <v>165</v>
      </c>
      <c r="R524" t="e">
        <f>IF(H504="Cadre",((SUM(C506:C512)/2)*5),0)</f>
        <v>#N/A</v>
      </c>
      <c r="S524" t="e">
        <f>IF(H504="Cadre",(SUM(J506:J512)/2*5),0)</f>
        <v>#N/A</v>
      </c>
      <c r="T524" t="e">
        <f>IF(H504="Cadre",(SUM(C514:C520)/2*5),0)</f>
        <v>#N/A</v>
      </c>
      <c r="U524" t="e">
        <f>IF(H504="Cadre",(SUM(J514:J520)/2*5),0)</f>
        <v>#N/A</v>
      </c>
      <c r="V524" t="e">
        <f>IF(H504="Cadre",(SUM(C522:C528)/2*5),0)</f>
        <v>#N/A</v>
      </c>
      <c r="W524" s="63" t="e">
        <f t="shared" si="89"/>
        <v>#N/A</v>
      </c>
    </row>
    <row r="525" spans="1:29" hidden="1" outlineLevel="1" x14ac:dyDescent="0.25">
      <c r="A525" s="69" t="s">
        <v>106</v>
      </c>
      <c r="B525" s="96"/>
      <c r="C525" s="96"/>
      <c r="D525" s="102"/>
      <c r="E525" s="103"/>
      <c r="F525" s="38"/>
      <c r="H525" s="81" t="s">
        <v>106</v>
      </c>
      <c r="I525" s="88">
        <f t="shared" si="90"/>
        <v>0</v>
      </c>
      <c r="J525" s="88">
        <f t="shared" si="91"/>
        <v>0</v>
      </c>
      <c r="K525" s="89">
        <f t="shared" si="92"/>
        <v>0</v>
      </c>
      <c r="L525" s="90">
        <f t="shared" si="93"/>
        <v>0</v>
      </c>
      <c r="M525" s="49"/>
      <c r="P525" t="s">
        <v>166</v>
      </c>
      <c r="Q525" s="10" t="s">
        <v>159</v>
      </c>
      <c r="R525" t="e">
        <f>IF(H504="Employé",B512,0)</f>
        <v>#N/A</v>
      </c>
      <c r="S525" t="e">
        <f>IF(H504="Employé",I512,0)</f>
        <v>#N/A</v>
      </c>
      <c r="T525" t="e">
        <f>IF(H504="Employé",B520,0)</f>
        <v>#N/A</v>
      </c>
      <c r="U525" t="e">
        <f>IF(H504="Employé",I520,0)</f>
        <v>#N/A</v>
      </c>
      <c r="V525" t="e">
        <f>IF(H504="Employé",B528,0)</f>
        <v>#N/A</v>
      </c>
      <c r="W525" s="63" t="e">
        <f t="shared" si="89"/>
        <v>#N/A</v>
      </c>
    </row>
    <row r="526" spans="1:29" hidden="1" outlineLevel="1" x14ac:dyDescent="0.25">
      <c r="A526" s="69" t="s">
        <v>107</v>
      </c>
      <c r="B526" s="96"/>
      <c r="C526" s="96"/>
      <c r="D526" s="102"/>
      <c r="E526" s="103"/>
      <c r="F526" s="38"/>
      <c r="H526" s="81" t="s">
        <v>107</v>
      </c>
      <c r="I526" s="88">
        <f t="shared" si="90"/>
        <v>0</v>
      </c>
      <c r="J526" s="88">
        <f t="shared" si="91"/>
        <v>0</v>
      </c>
      <c r="K526" s="89">
        <f t="shared" si="92"/>
        <v>0</v>
      </c>
      <c r="L526" s="90">
        <f t="shared" si="93"/>
        <v>0</v>
      </c>
      <c r="M526" s="303" t="s">
        <v>178</v>
      </c>
      <c r="N526" s="304"/>
      <c r="O526" s="304"/>
      <c r="P526" t="s">
        <v>297</v>
      </c>
      <c r="Q526" s="10" t="s">
        <v>159</v>
      </c>
      <c r="R526" t="e">
        <f>IF(H504="Cadre",IF(B512=2,5,0),0)</f>
        <v>#N/A</v>
      </c>
      <c r="S526" t="e">
        <f>IF(H504="Cadre",IF(I512=2,5,0),0)</f>
        <v>#N/A</v>
      </c>
      <c r="T526" t="e">
        <f>IF(H504="Cadre",IF(B520=2,5,0),0)</f>
        <v>#N/A</v>
      </c>
      <c r="U526" t="e">
        <f>IF(H504="Cadre",IF(I520=2,5,0),0)</f>
        <v>#N/A</v>
      </c>
      <c r="V526" t="e">
        <f>IF(H504="Cadre",IF(B528=2,5,0),0)</f>
        <v>#N/A</v>
      </c>
      <c r="W526" s="63" t="e">
        <f t="shared" si="89"/>
        <v>#N/A</v>
      </c>
    </row>
    <row r="527" spans="1:29" hidden="1" outlineLevel="1" x14ac:dyDescent="0.25">
      <c r="A527" s="69" t="s">
        <v>108</v>
      </c>
      <c r="B527" s="96"/>
      <c r="C527" s="96"/>
      <c r="D527" s="102"/>
      <c r="E527" s="103"/>
      <c r="F527" s="38"/>
      <c r="H527" s="81" t="s">
        <v>108</v>
      </c>
      <c r="I527" s="88">
        <f t="shared" si="90"/>
        <v>0</v>
      </c>
      <c r="J527" s="88">
        <f t="shared" si="91"/>
        <v>0</v>
      </c>
      <c r="K527" s="89">
        <f t="shared" si="92"/>
        <v>0</v>
      </c>
      <c r="L527" s="90">
        <f t="shared" si="93"/>
        <v>0</v>
      </c>
      <c r="M527" s="49"/>
      <c r="P527" t="s">
        <v>171</v>
      </c>
      <c r="Q527" s="10" t="s">
        <v>172</v>
      </c>
      <c r="R527" s="2"/>
      <c r="S527" s="2"/>
      <c r="T527" s="2"/>
      <c r="U527" s="2"/>
      <c r="V527" s="2"/>
      <c r="W527" s="91" t="e">
        <f>IF(AND(K503="non",H504="Employé"),SUM(I522:I528)+(SUM(W504:W517)-W500),(SUM(I522:I528)-W519)+(SUM(W504:W517)-W500))</f>
        <v>#N/A</v>
      </c>
    </row>
    <row r="528" spans="1:29" ht="15.75" hidden="1" outlineLevel="1" thickBot="1" x14ac:dyDescent="0.3">
      <c r="A528" s="70" t="s">
        <v>109</v>
      </c>
      <c r="B528" s="97"/>
      <c r="C528" s="97"/>
      <c r="D528" s="71"/>
      <c r="E528" s="104"/>
      <c r="F528" s="39"/>
      <c r="H528" s="92" t="s">
        <v>109</v>
      </c>
      <c r="I528" s="93">
        <f>(B512+I512+B520+I520+B528)</f>
        <v>0</v>
      </c>
      <c r="J528" s="93">
        <f>(C512+J512+C520+J520+C528)</f>
        <v>0</v>
      </c>
      <c r="K528" s="71">
        <f>(D512+K512+D520+K520+D528)</f>
        <v>0</v>
      </c>
      <c r="L528" s="94">
        <f>(E512+L512+E520+L520+E528)</f>
        <v>0</v>
      </c>
      <c r="M528" s="49"/>
      <c r="P528" t="s">
        <v>176</v>
      </c>
      <c r="Q528" s="10" t="s">
        <v>172</v>
      </c>
      <c r="R528" s="2"/>
      <c r="S528" s="2"/>
      <c r="T528" s="2"/>
      <c r="U528" s="2"/>
      <c r="V528" s="2"/>
      <c r="W528" s="91" t="e">
        <f>IF(H504="Cadre",((SUM(I522:I528)+SUM(W504:W517)-W506-W507)/2),0)</f>
        <v>#N/A</v>
      </c>
    </row>
    <row r="529" spans="1:29" ht="15" customHeight="1" collapsed="1" x14ac:dyDescent="0.25">
      <c r="D529" s="302" t="s">
        <v>298</v>
      </c>
      <c r="E529" s="302"/>
      <c r="F529" s="302"/>
      <c r="G529" s="302"/>
      <c r="H529" s="302"/>
      <c r="I529" s="302"/>
      <c r="J529" s="302"/>
      <c r="K529" s="302"/>
      <c r="L529" s="42" t="s">
        <v>293</v>
      </c>
      <c r="N529" s="43"/>
      <c r="O529" s="43" t="s">
        <v>179</v>
      </c>
      <c r="P529" s="15" t="s">
        <v>157</v>
      </c>
      <c r="AA529" s="15" t="s">
        <v>157</v>
      </c>
    </row>
    <row r="530" spans="1:29" hidden="1" outlineLevel="1" x14ac:dyDescent="0.25">
      <c r="D530" s="302"/>
      <c r="E530" s="302"/>
      <c r="F530" s="302"/>
      <c r="G530" s="302"/>
      <c r="H530" s="302"/>
      <c r="I530" s="302"/>
      <c r="J530" s="302"/>
      <c r="K530" s="302"/>
      <c r="N530" s="43"/>
      <c r="O530" s="43" t="s">
        <v>180</v>
      </c>
      <c r="AC530" t="s">
        <v>201</v>
      </c>
    </row>
    <row r="531" spans="1:29" hidden="1" outlineLevel="1" x14ac:dyDescent="0.25">
      <c r="D531" s="302"/>
      <c r="E531" s="302"/>
      <c r="F531" s="302"/>
      <c r="G531" s="302"/>
      <c r="H531" s="302"/>
      <c r="I531" s="302"/>
      <c r="J531" s="302"/>
      <c r="K531" s="302"/>
      <c r="N531" s="44"/>
      <c r="O531" s="44" t="s">
        <v>181</v>
      </c>
      <c r="AA531" s="15" t="s">
        <v>200</v>
      </c>
      <c r="AC531" s="2" t="str">
        <f>I533</f>
        <v>Juin</v>
      </c>
    </row>
    <row r="532" spans="1:29" hidden="1" outlineLevel="1" x14ac:dyDescent="0.25">
      <c r="A532" s="45" t="s">
        <v>3</v>
      </c>
      <c r="B532" s="46">
        <f>'Synthèse Horaires'!$B$4</f>
        <v>2026</v>
      </c>
      <c r="C532" s="47"/>
      <c r="D532" s="48" t="s">
        <v>1</v>
      </c>
      <c r="E532" s="46">
        <f>'Synthèse Horaires'!$D$4</f>
        <v>0</v>
      </c>
      <c r="F532" s="49"/>
      <c r="G532" s="49"/>
      <c r="H532" s="48" t="s">
        <v>2</v>
      </c>
      <c r="I532" s="47">
        <f>'Synthèse Horaires'!$I$4</f>
        <v>0</v>
      </c>
      <c r="J532" s="50"/>
      <c r="K532" s="50"/>
      <c r="N532" s="44"/>
      <c r="O532" s="44" t="s">
        <v>202</v>
      </c>
      <c r="V532" s="10" t="s">
        <v>174</v>
      </c>
      <c r="W532" s="51" t="e">
        <f>IF(K536="non",SUM(K555:K561)*(35/6),SUM(K555:K561)*(K536/6))</f>
        <v>#N/A</v>
      </c>
      <c r="AB532" t="s">
        <v>6</v>
      </c>
      <c r="AC532" s="14">
        <f>B536</f>
        <v>0</v>
      </c>
    </row>
    <row r="533" spans="1:29" hidden="1" outlineLevel="1" x14ac:dyDescent="0.25">
      <c r="A533" s="45" t="s">
        <v>10</v>
      </c>
      <c r="B533" s="49"/>
      <c r="C533" s="49"/>
      <c r="D533" s="50" t="str">
        <f>'Synthèse Horaires'!$C$6</f>
        <v>01 juin 2026 au 31 mai 2027.</v>
      </c>
      <c r="E533" s="2"/>
      <c r="H533" s="48" t="s">
        <v>205</v>
      </c>
      <c r="I533" s="47" t="str">
        <f>'Synthèse Horaires'!$I$5</f>
        <v>Juin</v>
      </c>
      <c r="N533" s="44"/>
      <c r="O533" s="44" t="s">
        <v>203</v>
      </c>
      <c r="V533" s="10" t="s">
        <v>173</v>
      </c>
      <c r="W533">
        <f>W539+W540</f>
        <v>0</v>
      </c>
      <c r="AB533" t="s">
        <v>57</v>
      </c>
      <c r="AC533" s="14" t="e">
        <f>B537</f>
        <v>#N/A</v>
      </c>
    </row>
    <row r="534" spans="1:29" hidden="1" outlineLevel="1" x14ac:dyDescent="0.25">
      <c r="I534" s="49"/>
      <c r="AB534" t="s">
        <v>211</v>
      </c>
      <c r="AC534" s="14" t="e">
        <f>H537</f>
        <v>#N/A</v>
      </c>
    </row>
    <row r="535" spans="1:29" hidden="1" outlineLevel="1" x14ac:dyDescent="0.25">
      <c r="A535" s="4" t="s">
        <v>58</v>
      </c>
      <c r="B535" s="4"/>
      <c r="C535" s="4"/>
      <c r="D535" s="4"/>
      <c r="E535" s="4"/>
      <c r="F535" s="4"/>
      <c r="G535" s="4"/>
      <c r="H535" s="4"/>
      <c r="P535" s="53" t="s">
        <v>6</v>
      </c>
      <c r="Q535" s="2">
        <f>B536</f>
        <v>0</v>
      </c>
      <c r="T535" s="10" t="s">
        <v>76</v>
      </c>
      <c r="U535" s="2" t="e">
        <f>VLOOKUP(B536,'Base Matricule Siège'!$B$12:$H$1000,4,FALSE)</f>
        <v>#N/A</v>
      </c>
      <c r="AA535" t="s">
        <v>215</v>
      </c>
      <c r="AB535" t="s">
        <v>207</v>
      </c>
      <c r="AC535" s="14" t="e">
        <f>IF(AC534="Cadre",0,W560)</f>
        <v>#N/A</v>
      </c>
    </row>
    <row r="536" spans="1:29" hidden="1" outlineLevel="1" x14ac:dyDescent="0.25">
      <c r="A536" s="49" t="s">
        <v>18</v>
      </c>
      <c r="B536" s="113">
        <v>0</v>
      </c>
      <c r="E536" s="49"/>
      <c r="G536" s="57" t="s">
        <v>317</v>
      </c>
      <c r="H536" s="58" t="e">
        <f>VLOOKUP(B536,'Base Matricule Siège'!$B$13:$H$1000,7,FALSE)</f>
        <v>#N/A</v>
      </c>
      <c r="J536" s="10" t="s">
        <v>161</v>
      </c>
      <c r="K536" s="58" t="e">
        <f>IF((VLOOKUP('MASQUE COLLABORATEUR'!B536,'Base Matricule Siège'!$B$13:$E$1000,4,FALSE)&lt;'Base Matricule Siège'!$G$5),(VLOOKUP('MASQUE COLLABORATEUR'!B536,'Base Matricule Siège'!$B$13:$E$1000,4,FALSE)),"non")</f>
        <v>#N/A</v>
      </c>
      <c r="L536" s="114" t="s">
        <v>340</v>
      </c>
      <c r="M536" s="115" t="e">
        <f>IF(K536="non","0",VLOOKUP(B536,'Base Matricule Siège'!$B$13:$S$1000,18,FALSE))</f>
        <v>#N/A</v>
      </c>
      <c r="R536" t="s">
        <v>151</v>
      </c>
      <c r="S536" t="s">
        <v>152</v>
      </c>
      <c r="T536" t="s">
        <v>153</v>
      </c>
      <c r="U536" t="s">
        <v>154</v>
      </c>
      <c r="V536" t="s">
        <v>155</v>
      </c>
      <c r="W536" s="59" t="s">
        <v>156</v>
      </c>
      <c r="AB536" t="s">
        <v>11</v>
      </c>
      <c r="AC536" s="14" t="e">
        <f>W561</f>
        <v>#N/A</v>
      </c>
    </row>
    <row r="537" spans="1:29" ht="15.75" hidden="1" outlineLevel="1" thickBot="1" x14ac:dyDescent="0.3">
      <c r="A537" s="49" t="s">
        <v>59</v>
      </c>
      <c r="B537" s="2" t="e">
        <f>VLOOKUP(B536,'Base Matricule Siège'!$B$13:$C$1000,2,FALSE)</f>
        <v>#N/A</v>
      </c>
      <c r="C537" s="2"/>
      <c r="D537" s="2"/>
      <c r="G537" s="57" t="s">
        <v>158</v>
      </c>
      <c r="H537" s="58" t="e">
        <f>VLOOKUP(B536,'Base Matricule Siège'!$B$13:$G$1000,6,FALSE)</f>
        <v>#N/A</v>
      </c>
      <c r="P537" s="10" t="s">
        <v>142</v>
      </c>
      <c r="Q537" s="10" t="s">
        <v>149</v>
      </c>
      <c r="R537">
        <f>IF(F539=Q537,E539,0)+IF(F540=Q537,E540,0)+IF(F541=Q537,E541,0)+IF(Q537=F542,E542,0)+IF(F543=Q537,E543,0)+IF(F544=Q537,E544,0)</f>
        <v>0</v>
      </c>
      <c r="S537">
        <f>IF(M539=Q537,L539,0)+IF(M540=Q537,L540,0)+IF(M541=Q537,L541,0)+IF(Q537=M542,L542,0)+IF(M543=Q537,L543,0)+IF(M544=Q537,L544,0)</f>
        <v>0</v>
      </c>
      <c r="T537">
        <f>IF(F547=Q537,E547,0)+IF(F548=Q537,E548,0)+IF(F549=Q537,E549,0)+IF(Q537=F550,E550,0)+IF(F551=Q537,E551,0)+IF(F552=Q537,E552,0)</f>
        <v>0</v>
      </c>
      <c r="U537">
        <f>IF(M547=Q537,L547,0)+IF(M548=Q537,L548,0)+IF(M549=Q537,L549,0)+IF(Q537=M550,L550,0)+IF(M551=Q537,L551,0)+IF(M552=Q537,L552,0)</f>
        <v>0</v>
      </c>
      <c r="V537">
        <f>IF(F555=Q537,E555,0)+IF(F556=Q537,E556,0)+IF(F557=Q537,E557,0)+IF(Q537=F558,E558,0)+IF(F559=Q537,E559,0)+IF(F560=Q537,E560,0)</f>
        <v>0</v>
      </c>
      <c r="W537" s="63">
        <f>SUM(R537:V537)</f>
        <v>0</v>
      </c>
      <c r="AB537" t="s">
        <v>208</v>
      </c>
      <c r="AC537" s="14">
        <f>SUM(K555:K561)*2</f>
        <v>0</v>
      </c>
    </row>
    <row r="538" spans="1:29" ht="15.75" hidden="1" outlineLevel="1" thickBot="1" x14ac:dyDescent="0.3">
      <c r="A538" s="64" t="str">
        <f>A505</f>
        <v>Semaine 23</v>
      </c>
      <c r="B538" s="65" t="e">
        <f>IF(H537="Cadre","Demi J. Réalisées","H. Réalisées")</f>
        <v>#N/A</v>
      </c>
      <c r="C538" s="65" t="s">
        <v>141</v>
      </c>
      <c r="D538" s="66" t="e">
        <f>IF(H537="Cadre","CP en Demi J.","CP en jours")</f>
        <v>#N/A</v>
      </c>
      <c r="E538" s="66" t="e">
        <f>IF(H537="Cadre","Abs. En Demi J.","Absence en H.")</f>
        <v>#N/A</v>
      </c>
      <c r="F538" s="67" t="s">
        <v>110</v>
      </c>
      <c r="H538" s="64" t="str">
        <f>H505</f>
        <v>Semaine 24</v>
      </c>
      <c r="I538" s="65" t="e">
        <f>B538</f>
        <v>#N/A</v>
      </c>
      <c r="J538" s="65" t="str">
        <f>C538</f>
        <v>Férié</v>
      </c>
      <c r="K538" s="66" t="e">
        <f>D538</f>
        <v>#N/A</v>
      </c>
      <c r="L538" s="66" t="e">
        <f>E538</f>
        <v>#N/A</v>
      </c>
      <c r="M538" s="67" t="str">
        <f>F538</f>
        <v>Type absence</v>
      </c>
      <c r="Q538" s="10" t="s">
        <v>143</v>
      </c>
      <c r="R538">
        <f>IF(F539=Q538,E539,0)+IF(F540=Q538,E540,0)+IF(F541=Q538,E541,0)+IF(Q538=F542,E542,0)+IF(F544=Q538,E543,0)+IF(F543=Q538,E544,0)</f>
        <v>0</v>
      </c>
      <c r="S538">
        <f>IF(M540=Q538,L540,0)+IF(M541=Q538,L541,0)+IF(M542=Q538,L542,0)+IF(Q538=M543,L543,0)+IF(M544=Q538,L544,0)+IF(M539=Q538,L539,0)</f>
        <v>0</v>
      </c>
      <c r="T538">
        <f>IF(F547=Q538,E547,0)+IF(F548=Q538,E548,0)+IF(F549=Q538,E549,0)+IF(Q538=F550,E550,0)+IF(F551=Q538,E551,0)+IF(F552=Q538,E552,0)</f>
        <v>0</v>
      </c>
      <c r="U538">
        <f>IF(M547=Q538,L547,0)+IF(M548=Q538,L548,0)+IF(M549=Q538,L549,0)+IF(Q538=M550,L550,0)+IF(M551=Q538,L551,0)+IF(M552=Q538,L552,0)</f>
        <v>0</v>
      </c>
      <c r="V538">
        <f>IF(F555=Q538,E555,0)+IF(F556=Q538,E556,0)+IF(F557=Q538,E557,0)+IF(Q538=F558,E558,0)+IF(F559=Q538,E559,0)+IF(F560=Q538,E560,0)</f>
        <v>0</v>
      </c>
      <c r="W538" s="63">
        <f t="shared" ref="W538:W550" si="94">SUM(R538:V538)</f>
        <v>0</v>
      </c>
      <c r="AB538" t="s">
        <v>8</v>
      </c>
      <c r="AC538" s="14"/>
    </row>
    <row r="539" spans="1:29" hidden="1" outlineLevel="1" x14ac:dyDescent="0.25">
      <c r="A539" s="68" t="s">
        <v>103</v>
      </c>
      <c r="B539" s="98"/>
      <c r="C539" s="98"/>
      <c r="D539" s="99"/>
      <c r="E539" s="100"/>
      <c r="F539" s="101"/>
      <c r="H539" s="69" t="s">
        <v>103</v>
      </c>
      <c r="I539" s="95"/>
      <c r="J539" s="95"/>
      <c r="K539" s="106"/>
      <c r="L539" s="105"/>
      <c r="M539" s="101"/>
      <c r="Q539" s="10" t="s">
        <v>144</v>
      </c>
      <c r="R539">
        <f>IF(F541=Q539,E541,0)+IF(F542=Q539,E542,0)+IF(F543=Q539,E543,0)+IF(Q539=F544,E544,0)+IF(F539=Q539,E539,0)+IF(F540=Q539,E540,0)</f>
        <v>0</v>
      </c>
      <c r="S539">
        <f>IF(M541=Q539,L541,0)+IF(M542=Q539,L542,0)+IF(M543=Q539,L543,0)+IF(Q539=M544,L544,0)+IF(M539=Q539,L539,0)+IF(M540=Q539,L540,0)</f>
        <v>0</v>
      </c>
      <c r="T539">
        <f>IF(F547=Q539,E547,0)+IF(F548=Q539,E548,0)+IF(F549=Q539,E549,0)+IF(Q539=F550,E550,0)+IF(F551=Q539,E551,0)+IF(F552=Q539,E552,0)</f>
        <v>0</v>
      </c>
      <c r="U539">
        <f>IF(M547=Q539,L547,0)+IF(M548=Q539,L548,0)+IF(M549=Q539,L549,0)+IF(Q539=M550,L550,0)+IF(M551=Q539,L551,0)+IF(M552=Q539,L552,0)</f>
        <v>0</v>
      </c>
      <c r="V539">
        <f>IF(F555=Q539,E555,0)+IF(F556=Q539,E556,0)+IF(F557=Q539,E557,0)+IF(Q539=F558,E558,0)+IF(F559=Q539,E559,0)+IF(F560=Q539,E560,0)</f>
        <v>0</v>
      </c>
      <c r="W539" s="63">
        <f t="shared" si="94"/>
        <v>0</v>
      </c>
      <c r="AB539" t="s">
        <v>209</v>
      </c>
      <c r="AC539" s="14">
        <f>W539</f>
        <v>0</v>
      </c>
    </row>
    <row r="540" spans="1:29" hidden="1" outlineLevel="1" x14ac:dyDescent="0.25">
      <c r="A540" s="69" t="s">
        <v>104</v>
      </c>
      <c r="B540" s="96"/>
      <c r="C540" s="96"/>
      <c r="D540" s="102"/>
      <c r="E540" s="103"/>
      <c r="F540" s="38"/>
      <c r="H540" s="69" t="s">
        <v>104</v>
      </c>
      <c r="I540" s="96"/>
      <c r="J540" s="96"/>
      <c r="K540" s="102"/>
      <c r="L540" s="103"/>
      <c r="M540" s="38"/>
      <c r="Q540" s="10" t="s">
        <v>145</v>
      </c>
      <c r="R540">
        <f>IF(F542=Q540,E542,0)+IF(F543=Q540,E543,0)+IF(F544=Q540,E544,0)+IF(Q540=F539,E539,0)+IF(F540=Q540,E540,0)+IF(F541=Q540,E541,0)</f>
        <v>0</v>
      </c>
      <c r="S540">
        <f>IF(M542=Q540,L542,0)+IF(M543=Q540,L543,0)+IF(M544=Q540,L544,0)+IF(Q540=M539,L539,0)+IF(M540=Q540,L540,0)+IF(M541=Q540,L541,0)</f>
        <v>0</v>
      </c>
      <c r="T540">
        <f>IF(F547=Q540,$E547,0)+IF(F548=Q540,E548,0)+IF(F549=Q540,E549,0)+IF(Q540=F550,E550,0)+IF(F551=Q540,E551,0)+IF(F552=Q540,E552,0)</f>
        <v>0</v>
      </c>
      <c r="U540">
        <f>IF(M547=Q540,L547,0)+IF(M548=Q540,L548,0)+IF(M549=Q540,L549,0)+IF(Q540=M550,L550,0)+IF(M551=Q540,L551,0)+IF(M552=Q540,L552,0)</f>
        <v>0</v>
      </c>
      <c r="V540">
        <f>IF(F555=Q540,E555,0)+IF(F556=Q540,E556,0)+IF(F557=Q540,E557,0)+IF(Q540=F558,E558,0)+IF(F559=Q540,E559,0)+IF(F560=Q540,E560,0)</f>
        <v>0</v>
      </c>
      <c r="W540" s="63">
        <f t="shared" si="94"/>
        <v>0</v>
      </c>
      <c r="AB540" t="s">
        <v>210</v>
      </c>
      <c r="AC540" s="14">
        <f>SUM(W537:W550)-W539</f>
        <v>0</v>
      </c>
    </row>
    <row r="541" spans="1:29" hidden="1" outlineLevel="1" x14ac:dyDescent="0.25">
      <c r="A541" s="69" t="s">
        <v>105</v>
      </c>
      <c r="B541" s="96"/>
      <c r="C541" s="96"/>
      <c r="D541" s="102"/>
      <c r="E541" s="103"/>
      <c r="F541" s="38"/>
      <c r="H541" s="69" t="s">
        <v>105</v>
      </c>
      <c r="I541" s="96"/>
      <c r="J541" s="96"/>
      <c r="K541" s="102"/>
      <c r="L541" s="103"/>
      <c r="M541" s="38"/>
      <c r="Q541" s="10" t="s">
        <v>212</v>
      </c>
      <c r="R541">
        <f>IF(F543=Q541,E543,0)+IF(F544=Q541,E544,0)+IF(F539=Q541,E539,0)+IF(Q541=F540,E540,0)+IF(F541=Q541,E541,0)+IF(F542=Q541,E542,0)</f>
        <v>0</v>
      </c>
      <c r="S541">
        <f>IF(M542=Q541,L542,0)+IF(M543=Q541,L543,0)+IF(M544=Q541,L544,0)+IF(Q541=M539,L539,0)+IF(M540=Q541,L540,0)+IF(M541=Q541,L541,0)</f>
        <v>0</v>
      </c>
      <c r="T541">
        <f>IF(F547=Q541,E547,0)+IF(F548=Q541,E548,0)+IF(F549=Q541,E549,0)+IF(Q541=F550,E550,0)+IF(F551=Q541,E551,0)+IF(F552=Q541,E552,0)</f>
        <v>0</v>
      </c>
      <c r="U541">
        <f>IF(M547=Q541,L547,0)+IF(M548=Q541,L548,0)+IF(M549=Q541,L549,0)+IF(Q541=M550,L550,0)+IF(M551=Q541,L551,0)+IF(M552=Q541,L552,0)</f>
        <v>0</v>
      </c>
      <c r="V541">
        <f>IF(F555=Q541,E555,0)+IF(F556=Q541,E556,0)+IF(F557=Q541,E557,0)+IF(Q541=F558,E558,0)+IF(F559=Q541,E559,0)+IF(F560=Q541,E560,0)</f>
        <v>0</v>
      </c>
      <c r="W541" s="63">
        <f t="shared" si="94"/>
        <v>0</v>
      </c>
      <c r="AA541" t="s">
        <v>214</v>
      </c>
      <c r="AB541" t="s">
        <v>213</v>
      </c>
      <c r="AC541" s="14" t="e">
        <f>IF(AC534="Cadre",(W541/2),(W541/7))</f>
        <v>#N/A</v>
      </c>
    </row>
    <row r="542" spans="1:29" hidden="1" outlineLevel="1" x14ac:dyDescent="0.25">
      <c r="A542" s="69" t="s">
        <v>106</v>
      </c>
      <c r="B542" s="96"/>
      <c r="C542" s="96"/>
      <c r="D542" s="102"/>
      <c r="E542" s="103"/>
      <c r="F542" s="38"/>
      <c r="H542" s="69" t="s">
        <v>106</v>
      </c>
      <c r="I542" s="96"/>
      <c r="J542" s="96"/>
      <c r="K542" s="102"/>
      <c r="L542" s="103"/>
      <c r="M542" s="38"/>
      <c r="Q542" s="10" t="s">
        <v>146</v>
      </c>
      <c r="R542">
        <f>IF(F544=Q542,E544,0)+IF(F539=Q542,E539,0)+IF(F540=Q542,E540,0)+IF(Q542=F541,E541,0)+IF(F542=Q542,E542,0)+IF(F543=Q542,E543,0)</f>
        <v>0</v>
      </c>
      <c r="S542">
        <f>IF(M542=Q542,L542,0)+IF(M543=Q542,L543,0)+IF(M544=Q542,L544,0)+IF(Q542=M539,$L$11,0)+IF(M540=Q542,L540,0)+IF(M541=Q542,L541,0)</f>
        <v>0</v>
      </c>
      <c r="T542">
        <f>IF(F547=Q542,E547,0)+IF(F548=Q542,E548,0)+IF(F549=Q542,E549,0)+IF(Q542=F550,E550,0)+IF(F551=Q542,E551,0)+IF(F552=Q542,E552,0)</f>
        <v>0</v>
      </c>
      <c r="U542">
        <f>IF(M547=Q542,L547,0)+IF(M548=Q542,L548,0)+IF(M549=Q542,L549,0)+IF(Q542=M550,L550,0)+IF(M551=Q542,L551,0)+IF(M552=Q542,L552,0)</f>
        <v>0</v>
      </c>
      <c r="V542">
        <f>IF(F555=Q542,E555,0)+IF(F556=Q542,E556,0)+IF(F557=Q542,E557,0)+IF(Q542=F558,E558,0)+IF(F559=Q542,E559,0)+IF(F560=Q542,E560,0)</f>
        <v>0</v>
      </c>
      <c r="W542" s="63">
        <f t="shared" si="94"/>
        <v>0</v>
      </c>
      <c r="AA542" t="s">
        <v>216</v>
      </c>
      <c r="AB542" t="s">
        <v>217</v>
      </c>
      <c r="AC542" s="14" t="e">
        <f>W554+W555</f>
        <v>#N/A</v>
      </c>
    </row>
    <row r="543" spans="1:29" hidden="1" outlineLevel="1" x14ac:dyDescent="0.25">
      <c r="A543" s="69" t="s">
        <v>107</v>
      </c>
      <c r="B543" s="96"/>
      <c r="C543" s="96"/>
      <c r="D543" s="102"/>
      <c r="E543" s="103"/>
      <c r="F543" s="38"/>
      <c r="H543" s="69" t="s">
        <v>107</v>
      </c>
      <c r="I543" s="96"/>
      <c r="J543" s="96"/>
      <c r="K543" s="102"/>
      <c r="L543" s="103"/>
      <c r="M543" s="38"/>
      <c r="Q543" s="10" t="s">
        <v>499</v>
      </c>
      <c r="R543">
        <f>IF(F539=Q543,E539,0)+IF(F540=Q543,E540,0)+IF(F541=Q543,E541,0)+IF(Q543=F542,E542,0)+IF(F543=Q543,E543,0)+IF(F544=Q543,E544,0)</f>
        <v>0</v>
      </c>
      <c r="S543">
        <f>IF(M542=Q543,L542,0)+IF(M543=Q543,L543,0)+IF(M544=Q543,L544,0)+IF(Q543=M539,L539,0)+IF(M540=Q543,L540,0)+IF(M541=Q543,L541,0)</f>
        <v>0</v>
      </c>
      <c r="T543">
        <f>IF(F547=Q543,E547,0)+IF(F548=Q543,E548,0)+IF(F549=Q543,E549,0)+IF(Q543=F550,E550,0)+IF(F551=Q543,E551,0)+IF(F552=Q543,E552,0)</f>
        <v>0</v>
      </c>
      <c r="U543">
        <f>IF(M547=Q543,L547,0)+IF(M548=Q543,L548,0)+IF(M549=Q543,L549,0)+IF(Q543=M550,L550,0)+IF(M551=Q543,L551,0)+IF(M552=Q543,L552,0)</f>
        <v>0</v>
      </c>
      <c r="V543">
        <f>IF(F555=Q543,E555,0)+IF(F556=Q543,E556,0)+IF(F557=Q543,E557,0)+IF(Q543=F558,E558,0)+IF(F559=Q543,E559,0)+IF(F560=Q543,E560,0)</f>
        <v>0</v>
      </c>
      <c r="W543" s="63">
        <f t="shared" si="94"/>
        <v>0</v>
      </c>
      <c r="AA543" t="s">
        <v>218</v>
      </c>
      <c r="AB543" t="s">
        <v>219</v>
      </c>
      <c r="AC543" s="14" t="e">
        <f>W553</f>
        <v>#N/A</v>
      </c>
    </row>
    <row r="544" spans="1:29" hidden="1" outlineLevel="1" x14ac:dyDescent="0.25">
      <c r="A544" s="69" t="s">
        <v>108</v>
      </c>
      <c r="B544" s="96"/>
      <c r="C544" s="96"/>
      <c r="D544" s="102"/>
      <c r="E544" s="103"/>
      <c r="F544" s="38"/>
      <c r="H544" s="69" t="s">
        <v>108</v>
      </c>
      <c r="I544" s="96"/>
      <c r="J544" s="96"/>
      <c r="K544" s="102"/>
      <c r="L544" s="103"/>
      <c r="M544" s="38"/>
      <c r="Q544" s="10" t="s">
        <v>147</v>
      </c>
      <c r="R544">
        <f>IF(F540=Q544,E540,0)+IF(F541=Q544,E541,0)+IF(F542=Q544,E542,0)+IF(Q544=F543,E543,0)+IF(F544=Q544,E544,0)+IF(F539=Q544,E539,0)</f>
        <v>0</v>
      </c>
      <c r="S544">
        <f>IF(M542=Q544,L542,0)+IF(M543=Q544,L543,0)+IF(M544=Q544,L544,0)+IF(Q544=M539,L539,0)+IF(M540=Q544,L540,0)+IF(M541=Q544,L541,0)</f>
        <v>0</v>
      </c>
      <c r="T544">
        <f>IF(F547=Q544,E547,0)+IF(F548=Q544,E548,0)+IF(F549=Q544,E549,0)+IF(Q544=F550,E550,0)+IF(F551=Q544,E551,0)+IF(F552=Q544,E552,0)</f>
        <v>0</v>
      </c>
      <c r="U544">
        <f>IF(M547=Q544,L547,0)+IF(M548=Q544,L548,0)+IF(M549=Q544,L549,0)+IF(Q544=M550,L550,0)+IF(M551=Q544,L551,0)+IF(M552=Q544,L552,0)</f>
        <v>0</v>
      </c>
      <c r="V544">
        <f>IF(F555=Q544,E555,0)+IF(F556=Q544,E556,0)+IF(F557=Q544,E557,0)+IF(Q544=F558,E558,0)+IF(F559=Q544,E559,0)+IF(F560=Q544,E560,0)</f>
        <v>0</v>
      </c>
      <c r="W544" s="63">
        <f t="shared" si="94"/>
        <v>0</v>
      </c>
      <c r="AA544" t="s">
        <v>166</v>
      </c>
      <c r="AB544" t="s">
        <v>220</v>
      </c>
      <c r="AC544" s="14" t="e">
        <f>W558</f>
        <v>#N/A</v>
      </c>
    </row>
    <row r="545" spans="1:29" ht="15.75" hidden="1" outlineLevel="1" thickBot="1" x14ac:dyDescent="0.3">
      <c r="A545" s="70" t="s">
        <v>109</v>
      </c>
      <c r="B545" s="97"/>
      <c r="C545" s="97"/>
      <c r="D545" s="71"/>
      <c r="E545" s="104"/>
      <c r="F545" s="38"/>
      <c r="H545" s="70" t="s">
        <v>109</v>
      </c>
      <c r="I545" s="97"/>
      <c r="J545" s="97"/>
      <c r="K545" s="71"/>
      <c r="L545" s="104"/>
      <c r="M545" s="38"/>
      <c r="Q545" s="10" t="s">
        <v>500</v>
      </c>
      <c r="R545">
        <f>IF(F541=Q545,E541,0)+IF(F542=Q545,E542,0)+IF(F543=Q545,E543,0)+IF(Q545=F544,E544,0)+IF(F539=Q545,E539,0)+IF(F540=Q545,E540,0)</f>
        <v>0</v>
      </c>
      <c r="S545">
        <f>IF(M542=Q545,L542,0)+IF(M543=Q545,L543,0)+IF(M544=Q545,L544,0)+IF(Q545=M539,L539,0)+IF(M540=Q545,L540,0)+IF(M541=Q545,L541,0)</f>
        <v>0</v>
      </c>
      <c r="T545">
        <f>IF(F547=Q545,E547,0)+IF(F548=Q545,E548,0)+IF(F549=Q545,E549,0)+IF(Q545=F550,E550,0)+IF(F551=Q545,E551,0)+IF(F552=Q545,E552,0)</f>
        <v>0</v>
      </c>
      <c r="U545">
        <f>IF(M547=Q545,L547,0)+IF(M548=Q545,L548,0)+IF(M549=Q545,L549,0)+IF(Q545=M550,L550,0)+IF(M551=Q545,L551,0)+IF(M552=Q545,L552,0)</f>
        <v>0</v>
      </c>
      <c r="V545">
        <f>IF(F555=Q545,E555,0)+IF(F556=Q545,E556,0)+IF(F557=Q545,E557,0)+IF(Q545=F558,E558,0)+IF(F559=Q545,E559,0)+IF(F560=Q545,E560,0)</f>
        <v>0</v>
      </c>
      <c r="W545" s="63">
        <f t="shared" si="94"/>
        <v>0</v>
      </c>
      <c r="AA545" t="s">
        <v>222</v>
      </c>
      <c r="AB545" t="s">
        <v>220</v>
      </c>
      <c r="AC545" s="14" t="e">
        <f>W559</f>
        <v>#N/A</v>
      </c>
    </row>
    <row r="546" spans="1:29" ht="15.75" hidden="1" outlineLevel="1" thickBot="1" x14ac:dyDescent="0.3">
      <c r="A546" s="64" t="str">
        <f>A513</f>
        <v>Ne pas saisir</v>
      </c>
      <c r="B546" s="65" t="e">
        <f>B538</f>
        <v>#N/A</v>
      </c>
      <c r="C546" s="65" t="str">
        <f>C538</f>
        <v>Férié</v>
      </c>
      <c r="D546" s="66" t="e">
        <f>D538</f>
        <v>#N/A</v>
      </c>
      <c r="E546" s="66" t="e">
        <f>E538</f>
        <v>#N/A</v>
      </c>
      <c r="F546" s="67" t="str">
        <f>F538</f>
        <v>Type absence</v>
      </c>
      <c r="H546" s="64" t="str">
        <f>H513</f>
        <v>Ne pas saisir</v>
      </c>
      <c r="I546" s="65" t="e">
        <f>B538</f>
        <v>#N/A</v>
      </c>
      <c r="J546" s="65" t="str">
        <f>C538</f>
        <v>Férié</v>
      </c>
      <c r="K546" s="66" t="e">
        <f>D538</f>
        <v>#N/A</v>
      </c>
      <c r="L546" s="66" t="e">
        <f>E538</f>
        <v>#N/A</v>
      </c>
      <c r="M546" s="67" t="str">
        <f>F538</f>
        <v>Type absence</v>
      </c>
      <c r="Q546" s="10" t="s">
        <v>148</v>
      </c>
      <c r="R546">
        <f>IF(F542=Q546,E542,0)+IF(F543=Q546,E543,0)+IF(F544=Q546,E544,0)+IF(Q546=F539,E539,0)+IF(F540=Q546,E540,0)+IF(F541=Q546,E541,0)</f>
        <v>0</v>
      </c>
      <c r="S546">
        <f>IF(M542=Q546,L542,0)+IF(M543=Q546,L543,0)+IF(M544=Q546,L544,0)+IF(Q546=M539,L539,0)+IF(M540=Q546,L540,0)+IF(M541=Q546,L541,0)</f>
        <v>0</v>
      </c>
      <c r="T546">
        <f>IF(F547=Q546,E547,0)+IF(F548=Q546,E548,0)+IF(F549=Q546,E549,0)+IF(Q546=F550,E550,0)+IF(F551=Q546,E551,0)+IF(F552=Q546,E552,0)</f>
        <v>0</v>
      </c>
      <c r="U546">
        <f>IF(M547=Q546,L547,0)+IF(M548=Q546,L548,0)+IF(M549=Q546,L549,0)+IF(Q546=M550,L550,0)+IF(M551=Q546,L551,0)+IF(M552=Q546,L552,0)</f>
        <v>0</v>
      </c>
      <c r="V546">
        <f>IF(F555=Q546,E555,0)+IF(F556=Q546,E556,0)+IF(F557=Q546,E557,0)+IF(Q546=F558,E558,0)+IF(F559=Q546,E559,0)+IF(F560=Q546,E560,0)</f>
        <v>0</v>
      </c>
      <c r="W546" s="63">
        <f t="shared" si="94"/>
        <v>0</v>
      </c>
      <c r="AA546" t="s">
        <v>223</v>
      </c>
      <c r="AB546" t="s">
        <v>224</v>
      </c>
      <c r="AC546" s="14" t="e">
        <f>W557</f>
        <v>#N/A</v>
      </c>
    </row>
    <row r="547" spans="1:29" hidden="1" outlineLevel="1" x14ac:dyDescent="0.25">
      <c r="A547" s="69" t="s">
        <v>103</v>
      </c>
      <c r="B547" s="95"/>
      <c r="C547" s="95"/>
      <c r="D547" s="106"/>
      <c r="E547" s="105"/>
      <c r="F547" s="101"/>
      <c r="H547" s="69" t="s">
        <v>103</v>
      </c>
      <c r="I547" s="95"/>
      <c r="J547" s="95"/>
      <c r="K547" s="106"/>
      <c r="L547" s="105"/>
      <c r="M547" s="101"/>
      <c r="Q547" s="10" t="s">
        <v>150</v>
      </c>
      <c r="R547">
        <f>IF(F543=Q547,E543,0)+IF(F544=Q547,E544,0)+IF(F539=Q547,E539,0)+IF(Q547=F540,E540,0)+IF(F541=Q547,E541,0)+IF(F542=Q547,E542,0)</f>
        <v>0</v>
      </c>
      <c r="S547">
        <f>IF(M542=Q547,L542,0)+IF(M543=Q547,L543,0)+IF(M544=Q547,L544,0)+IF(Q547=M539,L539,0)+IF(M540=Q547,L540,0)+IF(M541=Q547,L541,0)</f>
        <v>0</v>
      </c>
      <c r="T547">
        <f>IF(F547=Q547,E547,0)+IF(F548=Q547,E548,0)+IF(F549=Q547,E549,0)+IF(Q547=F550,E550,0)+IF(F551=Q547,E551,0)+IF(F552=Q547,E552,0)</f>
        <v>0</v>
      </c>
      <c r="U547">
        <f>IF(M547=Q547,L547,0)+IF(M548=Q547,L548,0)+IF(M549=Q547,L549,0)+IF(Q547=M550,L550,0)+IF(M551=Q547,L551,0)+IF(M552=Q547,L552,0)</f>
        <v>0</v>
      </c>
      <c r="V547">
        <f>IF(F555=Q547,E555,0)+IF(F556=Q547,E556,0)+IF(F557=Q547,E557,0)+IF(Q547=F558,E558,0)+IF(F559=Q547,E559,0)+IF(F560=Q547,E560,0)</f>
        <v>0</v>
      </c>
      <c r="W547" s="63">
        <f t="shared" si="94"/>
        <v>0</v>
      </c>
      <c r="AB547" t="s">
        <v>267</v>
      </c>
      <c r="AC547">
        <f>(SUM(B539:B545))</f>
        <v>0</v>
      </c>
    </row>
    <row r="548" spans="1:29" hidden="1" outlineLevel="1" x14ac:dyDescent="0.25">
      <c r="A548" s="69" t="s">
        <v>104</v>
      </c>
      <c r="B548" s="96"/>
      <c r="C548" s="96"/>
      <c r="D548" s="102"/>
      <c r="E548" s="103"/>
      <c r="F548" s="38"/>
      <c r="H548" s="69" t="s">
        <v>104</v>
      </c>
      <c r="I548" s="96"/>
      <c r="J548" s="96"/>
      <c r="K548" s="102"/>
      <c r="L548" s="103"/>
      <c r="M548" s="38"/>
      <c r="Q548" s="10" t="s">
        <v>502</v>
      </c>
      <c r="R548">
        <f>IF(F544=Q548,E544,0)+IF(F539=Q548,E539,0)+IF(F540=Q548,E540,0)+IF(Q548=F541,E541,0)+IF(F542=Q548,E542,0)+IF(F543=Q548,E543,0)</f>
        <v>0</v>
      </c>
      <c r="S548">
        <f>IF(M542=Q548,L542,0)+IF(M543=Q548,L543,0)+IF(M544=Q548,L544,0)+IF(Q548=M539,L539,0)+IF(M540=Q548,L540,0)+IF(M541=Q548,L541,0)</f>
        <v>0</v>
      </c>
      <c r="T548">
        <f>IF(F547=Q548,E547,0)+IF(F548=Q548,E548,0)+IF(F549=Q548,E549,0)+IF(Q548=F550,E550,0)+IF(F551=Q548,E551,0)+IF(F552=Q548,E552,0)</f>
        <v>0</v>
      </c>
      <c r="U548">
        <f>IF(M547=Q548,L547,0)+IF(M548=Q548,L548,0)+IF(M549=Q548,L549,0)+IF(Q548=M550,L550,0)+IF(M551=Q548,L551,0)+IF(M552=Q548,L552,0)</f>
        <v>0</v>
      </c>
      <c r="V548">
        <f>IF(F555=Q548,E555,0)+IF(F556=Q548,E556,0)+IF(F557=Q548,E557,0)+IF(Q548=F558,E558,0)+IF(F559=Q548,E559,0)+IF(F560=Q548,E560,0)</f>
        <v>0</v>
      </c>
      <c r="W548" s="63">
        <f t="shared" si="94"/>
        <v>0</v>
      </c>
      <c r="AB548" t="s">
        <v>268</v>
      </c>
      <c r="AC548">
        <f>(SUM(I539:I545))</f>
        <v>0</v>
      </c>
    </row>
    <row r="549" spans="1:29" hidden="1" outlineLevel="1" x14ac:dyDescent="0.25">
      <c r="A549" s="69" t="s">
        <v>105</v>
      </c>
      <c r="B549" s="96"/>
      <c r="C549" s="96"/>
      <c r="D549" s="102"/>
      <c r="E549" s="103"/>
      <c r="F549" s="38"/>
      <c r="H549" s="69" t="s">
        <v>105</v>
      </c>
      <c r="I549" s="96"/>
      <c r="J549" s="96"/>
      <c r="K549" s="102"/>
      <c r="L549" s="103"/>
      <c r="M549" s="38"/>
      <c r="Q549" s="10" t="s">
        <v>498</v>
      </c>
      <c r="R549">
        <f>IF(F539=Q549,E539,0)+IF(F540=Q549,E540,0)+IF(F541=Q549,E541,0)+IF(Q549=F542,E542,0)+IF(F543=Q549,E543,0)+IF(F544=Q549,E544,0)</f>
        <v>0</v>
      </c>
      <c r="S549">
        <f>IF(M542=Q549,L542,0)+IF(M543=Q549,L543,0)+IF(M544=Q549,L544,0)+IF(Q549=M539,L539,0)+IF(M540=Q549,L540,0)+IF(M541=Q549,L541,0)</f>
        <v>0</v>
      </c>
      <c r="T549">
        <f>IF(F547=Q549,E547,0)+IF(F548=Q549,E548,0)+IF(F549=Q549,E549,0)+IF(Q549=F550,E550,0)+IF(F551=Q549,E551,0)+IF(F552=Q549,E552,0)</f>
        <v>0</v>
      </c>
      <c r="U549">
        <f>IF(M547=Q549,L547,0)+IF(M548=Q549,L548,0)+IF(M549=Q549,L549,0)+IF(Q549=M550,L550,0)+IF(M551=Q549,L551,0)+IF(M552=Q549,L552,0)</f>
        <v>0</v>
      </c>
      <c r="V549">
        <f>IF(F555=Q549,E555,0)+IF(F556=Q549,E556,0)+IF(F557=Q549,E557,0)+IF(Q549=F558,E558,0)+IF(F559=Q549,E559,0)+IF(F560=Q549,E560,0)</f>
        <v>0</v>
      </c>
      <c r="W549" s="63">
        <f t="shared" si="94"/>
        <v>0</v>
      </c>
      <c r="AB549" t="s">
        <v>269</v>
      </c>
      <c r="AC549">
        <f>(SUM(B547:B553))</f>
        <v>0</v>
      </c>
    </row>
    <row r="550" spans="1:29" hidden="1" outlineLevel="1" x14ac:dyDescent="0.25">
      <c r="A550" s="69" t="s">
        <v>106</v>
      </c>
      <c r="B550" s="96"/>
      <c r="C550" s="96"/>
      <c r="D550" s="102"/>
      <c r="E550" s="103"/>
      <c r="F550" s="38"/>
      <c r="H550" s="69" t="s">
        <v>106</v>
      </c>
      <c r="I550" s="96"/>
      <c r="J550" s="96"/>
      <c r="K550" s="102"/>
      <c r="L550" s="103"/>
      <c r="M550" s="38"/>
      <c r="P550" s="72"/>
      <c r="Q550" s="73" t="s">
        <v>501</v>
      </c>
      <c r="R550" s="72">
        <f>IF(F540=Q550,E540,0)+IF(F541=Q550,E541,0)+IF(F542=Q550,E542,0)+IF(Q550=F543,E543,0)+IF(F544=Q550,E544,0)+IF(F539=Q550,E539,0)</f>
        <v>0</v>
      </c>
      <c r="S550" s="72">
        <f>IF(M542=Q550,L542,0)+IF(M543=Q550,L543,0)+IF(M544=Q550,L544,0)+IF(Q550=M539,L539,0)+IF(M540=Q550,L540,0)+IF(M541=Q550,L541,0)</f>
        <v>0</v>
      </c>
      <c r="T550" s="72">
        <f>IF(F547=Q550,E547,0)+IF(F548=Q550,E548,0)+IF(F549=Q550,E549,0)+IF(Q550=F550,E550,0)+IF(F551=Q550,E551,0)+IF(F552=Q550,E552,0)</f>
        <v>0</v>
      </c>
      <c r="U550" s="72">
        <f>IF(M547=Q550,L547,0)+IF(M548=Q550,L548,0)+IF(M549=Q550,L549,0)+IF(Q550=M550,L550,0)+IF(M551=Q550,L551,0)+IF(M552=Q550,L552,0)</f>
        <v>0</v>
      </c>
      <c r="V550" s="72">
        <f>IF(F555=Q550,E555,0)+IF(F556=Q550,E556,0)+IF(F557=Q550,E557,0)+IF(Q550=F558,E558,0)+IF(F559=Q550,E559,0)+IF(F560=Q550,E560,0)</f>
        <v>0</v>
      </c>
      <c r="W550" s="74">
        <f t="shared" si="94"/>
        <v>0</v>
      </c>
      <c r="AB550" t="s">
        <v>270</v>
      </c>
      <c r="AC550">
        <f>(SUM(I547:I553))</f>
        <v>0</v>
      </c>
    </row>
    <row r="551" spans="1:29" hidden="1" outlineLevel="1" x14ac:dyDescent="0.25">
      <c r="A551" s="69" t="s">
        <v>107</v>
      </c>
      <c r="B551" s="96"/>
      <c r="C551" s="96"/>
      <c r="D551" s="102"/>
      <c r="E551" s="103"/>
      <c r="F551" s="38"/>
      <c r="H551" s="69" t="s">
        <v>107</v>
      </c>
      <c r="I551" s="96"/>
      <c r="J551" s="96"/>
      <c r="K551" s="102"/>
      <c r="L551" s="103"/>
      <c r="M551" s="38"/>
      <c r="Q551" s="75" t="s">
        <v>169</v>
      </c>
      <c r="R551" s="2" t="e">
        <f>IF(M536="Règlement HC",K536*10%,0)</f>
        <v>#N/A</v>
      </c>
      <c r="S551" s="2" t="e">
        <f>IF(M536="Règlement HC",K536*10%,0)</f>
        <v>#N/A</v>
      </c>
      <c r="T551" s="2" t="e">
        <f>IF(M536="Règlement HC",K536*10%,0)</f>
        <v>#N/A</v>
      </c>
      <c r="U551" s="2" t="e">
        <f>IF(M536="Règlement HC",K536*10%,0)</f>
        <v>#N/A</v>
      </c>
      <c r="V551" s="2" t="e">
        <f>IF(M536="Règlement HC",K536*10%,0)</f>
        <v>#N/A</v>
      </c>
      <c r="W551" s="76"/>
      <c r="AB551" t="s">
        <v>271</v>
      </c>
      <c r="AC551">
        <f>(SUM(B555:B561))</f>
        <v>0</v>
      </c>
    </row>
    <row r="552" spans="1:29" hidden="1" outlineLevel="1" x14ac:dyDescent="0.25">
      <c r="A552" s="69" t="s">
        <v>108</v>
      </c>
      <c r="B552" s="96"/>
      <c r="C552" s="96"/>
      <c r="D552" s="102"/>
      <c r="E552" s="103"/>
      <c r="F552" s="38"/>
      <c r="H552" s="69" t="s">
        <v>108</v>
      </c>
      <c r="I552" s="96"/>
      <c r="J552" s="96"/>
      <c r="K552" s="102"/>
      <c r="L552" s="103"/>
      <c r="M552" s="38"/>
      <c r="Q552" s="75" t="s">
        <v>175</v>
      </c>
      <c r="R552" s="2" t="e">
        <f>IF(M536="Règlement HC",SUM(B539:B545)-K536,0)</f>
        <v>#N/A</v>
      </c>
      <c r="S552" s="2" t="e">
        <f>IF(M536="Règlement HC",SUM(I539:I545)-K536,0)</f>
        <v>#N/A</v>
      </c>
      <c r="T552" s="2" t="e">
        <f>IF(M536="Règlement HC",SUM(B547:B553)-K536,0)</f>
        <v>#N/A</v>
      </c>
      <c r="U552" s="2" t="e">
        <f>IF(M536="Règlement HC",SUM(I547:I553)-K536,0)</f>
        <v>#N/A</v>
      </c>
      <c r="V552" s="2" t="e">
        <f>IF(M536="Règlement HC",SUM(B555:B561)-K536,0)</f>
        <v>#N/A</v>
      </c>
      <c r="W552" s="63" t="e">
        <f>SUM((IF(R552&gt;0,R552,0)+(IF(S552&gt;0,S552,0)+(IF(T552&gt;0,T552,0)+(IF(U552&gt;0,U552,0)+(IF(V552&gt;0,V552,0)))))))</f>
        <v>#N/A</v>
      </c>
      <c r="AA552" t="s">
        <v>313</v>
      </c>
      <c r="AB552" t="s">
        <v>314</v>
      </c>
      <c r="AC552" t="e">
        <f>W556</f>
        <v>#N/A</v>
      </c>
    </row>
    <row r="553" spans="1:29" ht="15.75" hidden="1" outlineLevel="1" thickBot="1" x14ac:dyDescent="0.3">
      <c r="A553" s="70" t="s">
        <v>109</v>
      </c>
      <c r="B553" s="97"/>
      <c r="C553" s="97"/>
      <c r="D553" s="71"/>
      <c r="E553" s="104"/>
      <c r="F553" s="38"/>
      <c r="H553" s="70" t="s">
        <v>109</v>
      </c>
      <c r="I553" s="97"/>
      <c r="J553" s="97"/>
      <c r="K553" s="71"/>
      <c r="L553" s="104"/>
      <c r="M553" s="39"/>
      <c r="P553" t="s">
        <v>170</v>
      </c>
      <c r="Q553" s="10" t="s">
        <v>162</v>
      </c>
      <c r="R553" t="e">
        <f>IF(R552&gt;=R551,R551,R552)</f>
        <v>#N/A</v>
      </c>
      <c r="S553" t="e">
        <f>IF(S552&gt;=S551,S551,S552)</f>
        <v>#N/A</v>
      </c>
      <c r="T553" t="e">
        <f>IF(T552&gt;=T551,T551,T552)</f>
        <v>#N/A</v>
      </c>
      <c r="U553" t="e">
        <f>IF(U552&gt;=U551,U551,U552)</f>
        <v>#N/A</v>
      </c>
      <c r="V553" t="e">
        <f>IF(V552&gt;=V551,V551,V552)</f>
        <v>#N/A</v>
      </c>
      <c r="W553" s="63" t="e">
        <f>SUM((IF(R553&gt;0,R553,0)+(IF(S553&gt;0,S553,0)+(IF(T553&gt;0,T553,0)+(IF(U553&gt;0,U553,0)+(IF(V553&gt;0,V553,0)))))))</f>
        <v>#N/A</v>
      </c>
    </row>
    <row r="554" spans="1:29" ht="15.75" hidden="1" outlineLevel="1" thickBot="1" x14ac:dyDescent="0.3">
      <c r="A554" s="64" t="str">
        <f>A521</f>
        <v>Ne pas saisir</v>
      </c>
      <c r="B554" s="65" t="e">
        <f>B538</f>
        <v>#N/A</v>
      </c>
      <c r="C554" s="65" t="str">
        <f>C538</f>
        <v>Férié</v>
      </c>
      <c r="D554" s="66" t="e">
        <f>D538</f>
        <v>#N/A</v>
      </c>
      <c r="E554" s="66" t="e">
        <f>E538</f>
        <v>#N/A</v>
      </c>
      <c r="F554" s="67" t="str">
        <f>F538</f>
        <v>Type absence</v>
      </c>
      <c r="H554" s="77" t="s">
        <v>136</v>
      </c>
      <c r="I554" s="78" t="e">
        <f>B538</f>
        <v>#N/A</v>
      </c>
      <c r="J554" s="78" t="str">
        <f>C538</f>
        <v>Férié</v>
      </c>
      <c r="K554" s="79" t="e">
        <f>D538</f>
        <v>#N/A</v>
      </c>
      <c r="L554" s="80" t="e">
        <f>E538</f>
        <v>#N/A</v>
      </c>
      <c r="M554" s="49"/>
      <c r="P554" t="s">
        <v>170</v>
      </c>
      <c r="Q554" s="10" t="s">
        <v>163</v>
      </c>
      <c r="R554" t="e">
        <f>R552-R553</f>
        <v>#N/A</v>
      </c>
      <c r="S554" t="e">
        <f>S552-S553</f>
        <v>#N/A</v>
      </c>
      <c r="T554" t="e">
        <f>T552-T553</f>
        <v>#N/A</v>
      </c>
      <c r="U554" t="e">
        <f>U552-U553</f>
        <v>#N/A</v>
      </c>
      <c r="V554" t="e">
        <f>V552-V553</f>
        <v>#N/A</v>
      </c>
      <c r="W554" s="63" t="e">
        <f t="shared" ref="W554:W559" si="95">SUM(R554:V554)</f>
        <v>#N/A</v>
      </c>
    </row>
    <row r="555" spans="1:29" hidden="1" outlineLevel="1" x14ac:dyDescent="0.25">
      <c r="A555" s="69" t="s">
        <v>103</v>
      </c>
      <c r="B555" s="95"/>
      <c r="C555" s="95"/>
      <c r="D555" s="106"/>
      <c r="E555" s="105"/>
      <c r="F555" s="101"/>
      <c r="H555" s="81" t="s">
        <v>103</v>
      </c>
      <c r="I555" s="82">
        <f t="shared" ref="I555:I560" si="96">B539+I539+B547+I547+B555</f>
        <v>0</v>
      </c>
      <c r="J555" s="82">
        <f t="shared" ref="J555:J560" si="97">C539+J539+C547+J547+C555</f>
        <v>0</v>
      </c>
      <c r="K555" s="83">
        <f t="shared" ref="K555:K560" si="98">D539+K539+D547+K547+D555</f>
        <v>0</v>
      </c>
      <c r="L555" s="84">
        <f t="shared" ref="L555:L560" si="99">E539+L539+E547+L547+E555</f>
        <v>0</v>
      </c>
      <c r="M555" s="303" t="s">
        <v>177</v>
      </c>
      <c r="N555" s="304"/>
      <c r="O555" s="304"/>
      <c r="Q555" s="10" t="s">
        <v>164</v>
      </c>
      <c r="R555" t="e">
        <f>IF(AND(K536="non",(SUM(B539:B545)&gt;U535)),SUM(B539:B545)-U535,0)</f>
        <v>#N/A</v>
      </c>
      <c r="S555" t="e">
        <f>IF(AND(K536="non",(SUM(I539:I545)&gt;U535)),SUM(I539:I545)-U535,0)</f>
        <v>#N/A</v>
      </c>
      <c r="T555" t="e">
        <f>IF(AND(K536="non",(SUM(B547:B553)&gt;U535)),SUM(B547:B553)-U535,0)</f>
        <v>#N/A</v>
      </c>
      <c r="U555" t="e">
        <f>IF(AND(K536="non",(SUM(I547:I553)&gt;U535)),SUM(I547:I553)-U535,0)</f>
        <v>#N/A</v>
      </c>
      <c r="V555" t="e">
        <f>IF(AND(K536="non",(SUM(B555:B561)&gt;U535)),SUM(B555:B561)-U535,0)</f>
        <v>#N/A</v>
      </c>
      <c r="W555" s="63" t="e">
        <f t="shared" si="95"/>
        <v>#N/A</v>
      </c>
    </row>
    <row r="556" spans="1:29" hidden="1" outlineLevel="1" x14ac:dyDescent="0.25">
      <c r="A556" s="69" t="s">
        <v>104</v>
      </c>
      <c r="B556" s="96"/>
      <c r="C556" s="96"/>
      <c r="D556" s="102"/>
      <c r="E556" s="103"/>
      <c r="F556" s="38"/>
      <c r="H556" s="81" t="s">
        <v>104</v>
      </c>
      <c r="I556" s="88">
        <f t="shared" si="96"/>
        <v>0</v>
      </c>
      <c r="J556" s="88">
        <f t="shared" si="97"/>
        <v>0</v>
      </c>
      <c r="K556" s="89">
        <f t="shared" si="98"/>
        <v>0</v>
      </c>
      <c r="L556" s="90">
        <f t="shared" si="99"/>
        <v>0</v>
      </c>
      <c r="M556" s="49"/>
      <c r="P556" t="s">
        <v>167</v>
      </c>
      <c r="Q556" s="10" t="s">
        <v>165</v>
      </c>
      <c r="R556" t="e">
        <f>IF(H537="Cadre",0,SUM(C539:C545))</f>
        <v>#N/A</v>
      </c>
      <c r="S556" t="e">
        <f>IF(H537="Cadre",0,SUM(J539:J545))</f>
        <v>#N/A</v>
      </c>
      <c r="T556" t="e">
        <f>IF(H537="Cadre",0,SUM(C547:C553))</f>
        <v>#N/A</v>
      </c>
      <c r="U556" t="e">
        <f>IF(H537="Cadre",0,SUM(J547:J553))</f>
        <v>#N/A</v>
      </c>
      <c r="V556" t="e">
        <f>IF(H537="Cadre",0,SUM(C555:C561))</f>
        <v>#N/A</v>
      </c>
      <c r="W556" s="63" t="e">
        <f t="shared" si="95"/>
        <v>#N/A</v>
      </c>
    </row>
    <row r="557" spans="1:29" hidden="1" outlineLevel="1" x14ac:dyDescent="0.25">
      <c r="A557" s="69" t="s">
        <v>105</v>
      </c>
      <c r="B557" s="96"/>
      <c r="C557" s="96"/>
      <c r="D557" s="102"/>
      <c r="E557" s="103"/>
      <c r="F557" s="38"/>
      <c r="H557" s="81" t="s">
        <v>105</v>
      </c>
      <c r="I557" s="88">
        <f t="shared" si="96"/>
        <v>0</v>
      </c>
      <c r="J557" s="88">
        <f t="shared" si="97"/>
        <v>0</v>
      </c>
      <c r="K557" s="89">
        <f t="shared" si="98"/>
        <v>0</v>
      </c>
      <c r="L557" s="90">
        <f t="shared" si="99"/>
        <v>0</v>
      </c>
      <c r="M557" s="49"/>
      <c r="P557" t="s">
        <v>168</v>
      </c>
      <c r="Q557" s="10" t="s">
        <v>165</v>
      </c>
      <c r="R557" t="e">
        <f>IF(H537="Cadre",((SUM(C539:C545)/2)*5),0)</f>
        <v>#N/A</v>
      </c>
      <c r="S557" t="e">
        <f>IF(H537="Cadre",(SUM(J539:J545)/2*5),0)</f>
        <v>#N/A</v>
      </c>
      <c r="T557" t="e">
        <f>IF(H537="Cadre",(SUM(C547:C553)/2*5),0)</f>
        <v>#N/A</v>
      </c>
      <c r="U557" t="e">
        <f>IF(H537="Cadre",(SUM(J547:J553)/2*5),0)</f>
        <v>#N/A</v>
      </c>
      <c r="V557" t="e">
        <f>IF(H537="Cadre",(SUM(C555:C561)/2*5),0)</f>
        <v>#N/A</v>
      </c>
      <c r="W557" s="63" t="e">
        <f t="shared" si="95"/>
        <v>#N/A</v>
      </c>
    </row>
    <row r="558" spans="1:29" hidden="1" outlineLevel="1" x14ac:dyDescent="0.25">
      <c r="A558" s="69" t="s">
        <v>106</v>
      </c>
      <c r="B558" s="96"/>
      <c r="C558" s="96"/>
      <c r="D558" s="102"/>
      <c r="E558" s="103"/>
      <c r="F558" s="38"/>
      <c r="H558" s="81" t="s">
        <v>106</v>
      </c>
      <c r="I558" s="88">
        <f t="shared" si="96"/>
        <v>0</v>
      </c>
      <c r="J558" s="88">
        <f t="shared" si="97"/>
        <v>0</v>
      </c>
      <c r="K558" s="89">
        <f t="shared" si="98"/>
        <v>0</v>
      </c>
      <c r="L558" s="90">
        <f t="shared" si="99"/>
        <v>0</v>
      </c>
      <c r="M558" s="49"/>
      <c r="P558" t="s">
        <v>166</v>
      </c>
      <c r="Q558" s="10" t="s">
        <v>159</v>
      </c>
      <c r="R558" t="e">
        <f>IF(H537="Employé",B545,0)</f>
        <v>#N/A</v>
      </c>
      <c r="S558" t="e">
        <f>IF(H537="Employé",I545,0)</f>
        <v>#N/A</v>
      </c>
      <c r="T558" t="e">
        <f>IF(H537="Employé",B553,0)</f>
        <v>#N/A</v>
      </c>
      <c r="U558" t="e">
        <f>IF(H537="Employé",I553,0)</f>
        <v>#N/A</v>
      </c>
      <c r="V558" t="e">
        <f>IF(H537="Employé",B561,0)</f>
        <v>#N/A</v>
      </c>
      <c r="W558" s="63" t="e">
        <f t="shared" si="95"/>
        <v>#N/A</v>
      </c>
    </row>
    <row r="559" spans="1:29" hidden="1" outlineLevel="1" x14ac:dyDescent="0.25">
      <c r="A559" s="69" t="s">
        <v>107</v>
      </c>
      <c r="B559" s="96"/>
      <c r="C559" s="96"/>
      <c r="D559" s="102"/>
      <c r="E559" s="103"/>
      <c r="F559" s="38"/>
      <c r="H559" s="81" t="s">
        <v>107</v>
      </c>
      <c r="I559" s="88">
        <f t="shared" si="96"/>
        <v>0</v>
      </c>
      <c r="J559" s="88">
        <f t="shared" si="97"/>
        <v>0</v>
      </c>
      <c r="K559" s="89">
        <f t="shared" si="98"/>
        <v>0</v>
      </c>
      <c r="L559" s="90">
        <f t="shared" si="99"/>
        <v>0</v>
      </c>
      <c r="M559" s="303" t="s">
        <v>178</v>
      </c>
      <c r="N559" s="304"/>
      <c r="O559" s="304"/>
      <c r="P559" t="s">
        <v>297</v>
      </c>
      <c r="Q559" s="10" t="s">
        <v>159</v>
      </c>
      <c r="R559" t="e">
        <f>IF(H537="Cadre",IF(B545=2,5,0),0)</f>
        <v>#N/A</v>
      </c>
      <c r="S559" t="e">
        <f>IF(H537="Cadre",IF(I545=2,5,0),0)</f>
        <v>#N/A</v>
      </c>
      <c r="T559" t="e">
        <f>IF(H537="Cadre",IF(B553=2,5,0),0)</f>
        <v>#N/A</v>
      </c>
      <c r="U559" t="e">
        <f>IF(H537="Cadre",IF(I553=2,5,0),0)</f>
        <v>#N/A</v>
      </c>
      <c r="V559" t="e">
        <f>IF(H537="Cadre",IF(B561=2,5,0),0)</f>
        <v>#N/A</v>
      </c>
      <c r="W559" s="63" t="e">
        <f t="shared" si="95"/>
        <v>#N/A</v>
      </c>
    </row>
    <row r="560" spans="1:29" hidden="1" outlineLevel="1" x14ac:dyDescent="0.25">
      <c r="A560" s="69" t="s">
        <v>108</v>
      </c>
      <c r="B560" s="96"/>
      <c r="C560" s="96"/>
      <c r="D560" s="102"/>
      <c r="E560" s="103"/>
      <c r="F560" s="38"/>
      <c r="H560" s="81" t="s">
        <v>108</v>
      </c>
      <c r="I560" s="88">
        <f t="shared" si="96"/>
        <v>0</v>
      </c>
      <c r="J560" s="88">
        <f t="shared" si="97"/>
        <v>0</v>
      </c>
      <c r="K560" s="89">
        <f t="shared" si="98"/>
        <v>0</v>
      </c>
      <c r="L560" s="90">
        <f t="shared" si="99"/>
        <v>0</v>
      </c>
      <c r="M560" s="49"/>
      <c r="P560" t="s">
        <v>171</v>
      </c>
      <c r="Q560" s="10" t="s">
        <v>172</v>
      </c>
      <c r="R560" s="2"/>
      <c r="S560" s="2"/>
      <c r="T560" s="2"/>
      <c r="U560" s="2"/>
      <c r="V560" s="2"/>
      <c r="W560" s="91" t="e">
        <f>IF(AND(K536="non",H537="Employé"),SUM(I555:I561)+(SUM(W537:W550)-W533),(SUM(I555:I561)-W552)+(SUM(W537:W550)-W533))</f>
        <v>#N/A</v>
      </c>
    </row>
    <row r="561" spans="1:29" ht="15.75" hidden="1" outlineLevel="1" thickBot="1" x14ac:dyDescent="0.3">
      <c r="A561" s="70" t="s">
        <v>109</v>
      </c>
      <c r="B561" s="97"/>
      <c r="C561" s="97"/>
      <c r="D561" s="71"/>
      <c r="E561" s="104"/>
      <c r="F561" s="39"/>
      <c r="H561" s="92" t="s">
        <v>109</v>
      </c>
      <c r="I561" s="93">
        <f>(B545+I545+B553+I553+B561)</f>
        <v>0</v>
      </c>
      <c r="J561" s="93">
        <f>(C545+J545+C553+J553+C561)</f>
        <v>0</v>
      </c>
      <c r="K561" s="71">
        <f>(D545+K545+D553+K553+D561)</f>
        <v>0</v>
      </c>
      <c r="L561" s="94">
        <f>(E545+L545+E553+L553+E561)</f>
        <v>0</v>
      </c>
      <c r="M561" s="49"/>
      <c r="P561" t="s">
        <v>176</v>
      </c>
      <c r="Q561" s="10" t="s">
        <v>172</v>
      </c>
      <c r="R561" s="2"/>
      <c r="S561" s="2"/>
      <c r="T561" s="2"/>
      <c r="U561" s="2"/>
      <c r="V561" s="2"/>
      <c r="W561" s="91" t="e">
        <f>IF(H537="Cadre",((SUM(I555:I561)+SUM(W537:W550)-W539-W540)/2),0)</f>
        <v>#N/A</v>
      </c>
    </row>
    <row r="562" spans="1:29" ht="15" customHeight="1" collapsed="1" x14ac:dyDescent="0.25">
      <c r="D562" s="302" t="s">
        <v>298</v>
      </c>
      <c r="E562" s="302"/>
      <c r="F562" s="302"/>
      <c r="G562" s="302"/>
      <c r="H562" s="302"/>
      <c r="I562" s="302"/>
      <c r="J562" s="302"/>
      <c r="K562" s="302"/>
      <c r="L562" s="42" t="s">
        <v>294</v>
      </c>
      <c r="N562" s="43"/>
      <c r="O562" s="43" t="s">
        <v>179</v>
      </c>
      <c r="P562" s="15" t="s">
        <v>157</v>
      </c>
      <c r="AA562" s="15" t="s">
        <v>157</v>
      </c>
    </row>
    <row r="563" spans="1:29" hidden="1" outlineLevel="1" x14ac:dyDescent="0.25">
      <c r="D563" s="302"/>
      <c r="E563" s="302"/>
      <c r="F563" s="302"/>
      <c r="G563" s="302"/>
      <c r="H563" s="302"/>
      <c r="I563" s="302"/>
      <c r="J563" s="302"/>
      <c r="K563" s="302"/>
      <c r="N563" s="43"/>
      <c r="O563" s="43" t="s">
        <v>180</v>
      </c>
      <c r="AC563" t="s">
        <v>201</v>
      </c>
    </row>
    <row r="564" spans="1:29" hidden="1" outlineLevel="1" x14ac:dyDescent="0.25">
      <c r="D564" s="302"/>
      <c r="E564" s="302"/>
      <c r="F564" s="302"/>
      <c r="G564" s="302"/>
      <c r="H564" s="302"/>
      <c r="I564" s="302"/>
      <c r="J564" s="302"/>
      <c r="K564" s="302"/>
      <c r="N564" s="44"/>
      <c r="O564" s="44" t="s">
        <v>181</v>
      </c>
      <c r="AA564" s="15" t="s">
        <v>200</v>
      </c>
      <c r="AC564" s="2" t="str">
        <f>I566</f>
        <v>Juin</v>
      </c>
    </row>
    <row r="565" spans="1:29" hidden="1" outlineLevel="1" x14ac:dyDescent="0.25">
      <c r="A565" s="45" t="s">
        <v>3</v>
      </c>
      <c r="B565" s="46">
        <f>'Synthèse Horaires'!$B$4</f>
        <v>2026</v>
      </c>
      <c r="C565" s="47"/>
      <c r="D565" s="48" t="s">
        <v>1</v>
      </c>
      <c r="E565" s="46">
        <f>'Synthèse Horaires'!$D$4</f>
        <v>0</v>
      </c>
      <c r="F565" s="49"/>
      <c r="G565" s="49"/>
      <c r="H565" s="48" t="s">
        <v>2</v>
      </c>
      <c r="I565" s="47">
        <f>'Synthèse Horaires'!$I$4</f>
        <v>0</v>
      </c>
      <c r="J565" s="50"/>
      <c r="K565" s="50"/>
      <c r="N565" s="44"/>
      <c r="O565" s="44" t="s">
        <v>202</v>
      </c>
      <c r="V565" s="10" t="s">
        <v>174</v>
      </c>
      <c r="W565" s="51" t="e">
        <f>IF(K569="non",SUM(K588:K594)*(35/6),SUM(K588:K594)*(K569/6))</f>
        <v>#N/A</v>
      </c>
      <c r="AB565" t="s">
        <v>6</v>
      </c>
      <c r="AC565" s="14">
        <f>B569</f>
        <v>0</v>
      </c>
    </row>
    <row r="566" spans="1:29" hidden="1" outlineLevel="1" x14ac:dyDescent="0.25">
      <c r="A566" s="45" t="s">
        <v>10</v>
      </c>
      <c r="B566" s="49"/>
      <c r="C566" s="49"/>
      <c r="D566" s="50" t="str">
        <f>'Synthèse Horaires'!$C$6</f>
        <v>01 juin 2026 au 31 mai 2027.</v>
      </c>
      <c r="E566" s="2"/>
      <c r="H566" s="48" t="s">
        <v>205</v>
      </c>
      <c r="I566" s="47" t="str">
        <f>'Synthèse Horaires'!$I$5</f>
        <v>Juin</v>
      </c>
      <c r="N566" s="44"/>
      <c r="O566" s="44" t="s">
        <v>203</v>
      </c>
      <c r="V566" s="10" t="s">
        <v>173</v>
      </c>
      <c r="W566">
        <f>W572+W573</f>
        <v>0</v>
      </c>
      <c r="AB566" t="s">
        <v>57</v>
      </c>
      <c r="AC566" s="14" t="e">
        <f>B570</f>
        <v>#N/A</v>
      </c>
    </row>
    <row r="567" spans="1:29" hidden="1" outlineLevel="1" x14ac:dyDescent="0.25">
      <c r="AB567" t="s">
        <v>211</v>
      </c>
      <c r="AC567" s="14" t="e">
        <f>H570</f>
        <v>#N/A</v>
      </c>
    </row>
    <row r="568" spans="1:29" hidden="1" outlineLevel="1" x14ac:dyDescent="0.25">
      <c r="A568" s="4" t="s">
        <v>58</v>
      </c>
      <c r="B568" s="4"/>
      <c r="C568" s="4"/>
      <c r="D568" s="4"/>
      <c r="E568" s="4"/>
      <c r="F568" s="4"/>
      <c r="G568" s="4"/>
      <c r="H568" s="4"/>
      <c r="P568" s="53" t="s">
        <v>6</v>
      </c>
      <c r="Q568" s="2">
        <f>B569</f>
        <v>0</v>
      </c>
      <c r="T568" s="10" t="s">
        <v>76</v>
      </c>
      <c r="U568" s="2" t="e">
        <f>VLOOKUP(B569,'Base Matricule Siège'!$B$12:$H$1000,4,FALSE)</f>
        <v>#N/A</v>
      </c>
      <c r="AA568" t="s">
        <v>215</v>
      </c>
      <c r="AB568" t="s">
        <v>207</v>
      </c>
      <c r="AC568" s="14" t="e">
        <f>IF(AC567="Cadre",0,W593)</f>
        <v>#N/A</v>
      </c>
    </row>
    <row r="569" spans="1:29" hidden="1" outlineLevel="1" x14ac:dyDescent="0.25">
      <c r="A569" s="49" t="s">
        <v>18</v>
      </c>
      <c r="B569" s="113">
        <v>0</v>
      </c>
      <c r="E569" s="49"/>
      <c r="G569" s="57" t="s">
        <v>317</v>
      </c>
      <c r="H569" s="58" t="e">
        <f>VLOOKUP(B569,'Base Matricule Siège'!$B$13:$H$1000,7,FALSE)</f>
        <v>#N/A</v>
      </c>
      <c r="J569" s="10" t="s">
        <v>161</v>
      </c>
      <c r="K569" s="58" t="e">
        <f>IF((VLOOKUP('MASQUE COLLABORATEUR'!B569,'Base Matricule Siège'!$B$13:$E$1000,4,FALSE)&lt;'Base Matricule Siège'!$G$5),(VLOOKUP('MASQUE COLLABORATEUR'!B569,'Base Matricule Siège'!$B$13:$E$1000,4,FALSE)),"non")</f>
        <v>#N/A</v>
      </c>
      <c r="L569" s="114" t="s">
        <v>340</v>
      </c>
      <c r="M569" s="115" t="e">
        <f>IF(K569="non","0",VLOOKUP(B569,'Base Matricule Siège'!$B$13:$S$1000,18,FALSE))</f>
        <v>#N/A</v>
      </c>
      <c r="R569" t="s">
        <v>151</v>
      </c>
      <c r="S569" t="s">
        <v>152</v>
      </c>
      <c r="T569" t="s">
        <v>153</v>
      </c>
      <c r="U569" t="s">
        <v>154</v>
      </c>
      <c r="V569" t="s">
        <v>155</v>
      </c>
      <c r="W569" s="59" t="s">
        <v>156</v>
      </c>
      <c r="AB569" t="s">
        <v>11</v>
      </c>
      <c r="AC569" s="14" t="e">
        <f>W594</f>
        <v>#N/A</v>
      </c>
    </row>
    <row r="570" spans="1:29" ht="15.75" hidden="1" outlineLevel="1" thickBot="1" x14ac:dyDescent="0.3">
      <c r="A570" s="49" t="s">
        <v>59</v>
      </c>
      <c r="B570" s="2" t="e">
        <f>VLOOKUP(B569,'Base Matricule Siège'!$B$13:$C$1000,2,FALSE)</f>
        <v>#N/A</v>
      </c>
      <c r="C570" s="2"/>
      <c r="D570" s="2"/>
      <c r="G570" s="57" t="s">
        <v>158</v>
      </c>
      <c r="H570" s="58" t="e">
        <f>VLOOKUP(B569,'Base Matricule Siège'!$B$13:$G$1000,6,FALSE)</f>
        <v>#N/A</v>
      </c>
      <c r="P570" s="10" t="s">
        <v>142</v>
      </c>
      <c r="Q570" s="10" t="s">
        <v>149</v>
      </c>
      <c r="R570">
        <f>IF(F572=Q570,E572,0)+IF(F573=Q570,E573,0)+IF(F574=Q570,E574,0)+IF(Q570=F575,E575,0)+IF(F576=Q570,E576,0)+IF(F577=Q570,E577,0)</f>
        <v>0</v>
      </c>
      <c r="S570">
        <f>IF(M572=Q570,L572,0)+IF(M573=Q570,L573,0)+IF(M574=Q570,L574,0)+IF(Q570=M575,L575,0)+IF(M576=Q570,L576,0)+IF(M577=Q570,L577,0)</f>
        <v>0</v>
      </c>
      <c r="T570">
        <f>IF(F580=Q570,E580,0)+IF(F581=Q570,E581,0)+IF(F582=Q570,E582,0)+IF(Q570=F583,E583,0)+IF(F584=Q570,E584,0)+IF(F585=Q570,E585,0)</f>
        <v>0</v>
      </c>
      <c r="U570">
        <f>IF(M580=Q570,L580,0)+IF(M581=Q570,L581,0)+IF(M582=Q570,L582,0)+IF(Q570=M583,L583,0)+IF(M584=Q570,L584,0)+IF(M585=Q570,L585,0)</f>
        <v>0</v>
      </c>
      <c r="V570">
        <f>IF(F588=Q570,E588,0)+IF(F589=Q570,E589,0)+IF(F590=Q570,E590,0)+IF(Q570=F591,E591,0)+IF(F592=Q570,E592,0)+IF(F593=Q570,E593,0)</f>
        <v>0</v>
      </c>
      <c r="W570" s="63">
        <f>SUM(R570:V570)</f>
        <v>0</v>
      </c>
      <c r="AB570" t="s">
        <v>208</v>
      </c>
      <c r="AC570" s="14">
        <f>SUM(K588:K594)*2</f>
        <v>0</v>
      </c>
    </row>
    <row r="571" spans="1:29" ht="15.75" hidden="1" outlineLevel="1" thickBot="1" x14ac:dyDescent="0.3">
      <c r="A571" s="64" t="str">
        <f>A538</f>
        <v>Semaine 23</v>
      </c>
      <c r="B571" s="65" t="e">
        <f>IF(H570="Cadre","Demi J. Réalisées","H. Réalisées")</f>
        <v>#N/A</v>
      </c>
      <c r="C571" s="65" t="s">
        <v>141</v>
      </c>
      <c r="D571" s="66" t="e">
        <f>IF(H570="Cadre","CP en Demi J.","CP en jours")</f>
        <v>#N/A</v>
      </c>
      <c r="E571" s="66" t="e">
        <f>IF(H570="Cadre","Abs. En Demi J.","Absence en H.")</f>
        <v>#N/A</v>
      </c>
      <c r="F571" s="67" t="s">
        <v>110</v>
      </c>
      <c r="H571" s="64" t="str">
        <f>H538</f>
        <v>Semaine 24</v>
      </c>
      <c r="I571" s="65" t="e">
        <f>B571</f>
        <v>#N/A</v>
      </c>
      <c r="J571" s="65" t="str">
        <f>C571</f>
        <v>Férié</v>
      </c>
      <c r="K571" s="66" t="e">
        <f>D571</f>
        <v>#N/A</v>
      </c>
      <c r="L571" s="66" t="e">
        <f>E571</f>
        <v>#N/A</v>
      </c>
      <c r="M571" s="67" t="str">
        <f>F571</f>
        <v>Type absence</v>
      </c>
      <c r="Q571" s="10" t="s">
        <v>143</v>
      </c>
      <c r="R571">
        <f>IF(F572=Q571,E572,0)+IF(F573=Q571,E573,0)+IF(F574=Q571,E574,0)+IF(Q571=F575,E575,0)+IF(F577=Q571,E576,0)+IF(F576=Q571,E577,0)</f>
        <v>0</v>
      </c>
      <c r="S571">
        <f>IF(M573=Q571,L573,0)+IF(M574=Q571,L574,0)+IF(M575=Q571,L575,0)+IF(Q571=M576,L576,0)+IF(M577=Q571,L577,0)+IF(M572=Q571,L572,0)</f>
        <v>0</v>
      </c>
      <c r="T571">
        <f>IF(F580=Q571,E580,0)+IF(F581=Q571,E581,0)+IF(F582=Q571,E582,0)+IF(Q571=F583,E583,0)+IF(F584=Q571,E584,0)+IF(F585=Q571,E585,0)</f>
        <v>0</v>
      </c>
      <c r="U571">
        <f>IF(M580=Q571,L580,0)+IF(M581=Q571,L581,0)+IF(M582=Q571,L582,0)+IF(Q571=M583,L583,0)+IF(M584=Q571,L584,0)+IF(M585=Q571,L585,0)</f>
        <v>0</v>
      </c>
      <c r="V571">
        <f>IF(F588=Q571,E588,0)+IF(F589=Q571,E589,0)+IF(F590=Q571,E590,0)+IF(Q571=F591,E591,0)+IF(F592=Q571,E592,0)+IF(F593=Q571,E593,0)</f>
        <v>0</v>
      </c>
      <c r="W571" s="63">
        <f t="shared" ref="W571:W583" si="100">SUM(R571:V571)</f>
        <v>0</v>
      </c>
      <c r="AB571" t="s">
        <v>8</v>
      </c>
      <c r="AC571" s="14"/>
    </row>
    <row r="572" spans="1:29" hidden="1" outlineLevel="1" x14ac:dyDescent="0.25">
      <c r="A572" s="68" t="s">
        <v>103</v>
      </c>
      <c r="B572" s="98"/>
      <c r="C572" s="98"/>
      <c r="D572" s="99"/>
      <c r="E572" s="100"/>
      <c r="F572" s="101"/>
      <c r="H572" s="69" t="s">
        <v>103</v>
      </c>
      <c r="I572" s="95"/>
      <c r="J572" s="95"/>
      <c r="K572" s="106"/>
      <c r="L572" s="105"/>
      <c r="M572" s="101"/>
      <c r="Q572" s="10" t="s">
        <v>144</v>
      </c>
      <c r="R572">
        <f>IF(F574=Q572,E574,0)+IF(F575=Q572,E575,0)+IF(F576=Q572,E576,0)+IF(Q572=F577,E577,0)+IF(F572=Q572,E572,0)+IF(F573=Q572,E573,0)</f>
        <v>0</v>
      </c>
      <c r="S572">
        <f>IF(M574=Q572,L574,0)+IF(M575=Q572,L575,0)+IF(M576=Q572,L576,0)+IF(Q572=M577,L577,0)+IF(M572=Q572,L572,0)+IF(M573=Q572,L573,0)</f>
        <v>0</v>
      </c>
      <c r="T572">
        <f>IF(F580=Q572,E580,0)+IF(F581=Q572,E581,0)+IF(F582=Q572,E582,0)+IF(Q572=F583,E583,0)+IF(F584=Q572,E584,0)+IF(F585=Q572,E585,0)</f>
        <v>0</v>
      </c>
      <c r="U572">
        <f>IF(M580=Q572,L580,0)+IF(M581=Q572,L581,0)+IF(M582=Q572,L582,0)+IF(Q572=M583,L583,0)+IF(M584=Q572,L584,0)+IF(M585=Q572,L585,0)</f>
        <v>0</v>
      </c>
      <c r="V572">
        <f>IF(F588=Q572,E588,0)+IF(F589=Q572,E589,0)+IF(F590=Q572,E590,0)+IF(Q572=F591,E591,0)+IF(F592=Q572,E592,0)+IF(F593=Q572,E593,0)</f>
        <v>0</v>
      </c>
      <c r="W572" s="63">
        <f t="shared" si="100"/>
        <v>0</v>
      </c>
      <c r="AB572" t="s">
        <v>209</v>
      </c>
      <c r="AC572" s="14">
        <f>W572</f>
        <v>0</v>
      </c>
    </row>
    <row r="573" spans="1:29" hidden="1" outlineLevel="1" x14ac:dyDescent="0.25">
      <c r="A573" s="69" t="s">
        <v>104</v>
      </c>
      <c r="B573" s="96"/>
      <c r="C573" s="96"/>
      <c r="D573" s="102"/>
      <c r="E573" s="103"/>
      <c r="F573" s="38"/>
      <c r="H573" s="69" t="s">
        <v>104</v>
      </c>
      <c r="I573" s="96"/>
      <c r="J573" s="96"/>
      <c r="K573" s="102"/>
      <c r="L573" s="103"/>
      <c r="M573" s="38"/>
      <c r="Q573" s="10" t="s">
        <v>145</v>
      </c>
      <c r="R573">
        <f>IF(F575=Q573,E575,0)+IF(F576=Q573,E576,0)+IF(F577=Q573,E577,0)+IF(Q573=F572,E572,0)+IF(F573=Q573,E573,0)+IF(F574=Q573,E574,0)</f>
        <v>0</v>
      </c>
      <c r="S573">
        <f>IF(M575=Q573,L575,0)+IF(M576=Q573,L576,0)+IF(M577=Q573,L577,0)+IF(Q573=M572,L572,0)+IF(M573=Q573,L573,0)+IF(M574=Q573,L574,0)</f>
        <v>0</v>
      </c>
      <c r="T573">
        <f>IF(F580=Q573,$E580,0)+IF(F581=Q573,E581,0)+IF(F582=Q573,E582,0)+IF(Q573=F583,E583,0)+IF(F584=Q573,E584,0)+IF(F585=Q573,E585,0)</f>
        <v>0</v>
      </c>
      <c r="U573">
        <f>IF(M580=Q573,L580,0)+IF(M581=Q573,L581,0)+IF(M582=Q573,L582,0)+IF(Q573=M583,L583,0)+IF(M584=Q573,L584,0)+IF(M585=Q573,L585,0)</f>
        <v>0</v>
      </c>
      <c r="V573">
        <f>IF(F588=Q573,E588,0)+IF(F589=Q573,E589,0)+IF(F590=Q573,E590,0)+IF(Q573=F591,E591,0)+IF(F592=Q573,E592,0)+IF(F593=Q573,E593,0)</f>
        <v>0</v>
      </c>
      <c r="W573" s="63">
        <f t="shared" si="100"/>
        <v>0</v>
      </c>
      <c r="AB573" t="s">
        <v>210</v>
      </c>
      <c r="AC573" s="14">
        <f>SUM(W570:W583)-W572</f>
        <v>0</v>
      </c>
    </row>
    <row r="574" spans="1:29" hidden="1" outlineLevel="1" x14ac:dyDescent="0.25">
      <c r="A574" s="69" t="s">
        <v>105</v>
      </c>
      <c r="B574" s="96"/>
      <c r="C574" s="96"/>
      <c r="D574" s="102"/>
      <c r="E574" s="103"/>
      <c r="F574" s="38"/>
      <c r="H574" s="69" t="s">
        <v>105</v>
      </c>
      <c r="I574" s="96"/>
      <c r="J574" s="96"/>
      <c r="K574" s="102"/>
      <c r="L574" s="103"/>
      <c r="M574" s="38"/>
      <c r="Q574" s="10" t="s">
        <v>212</v>
      </c>
      <c r="R574">
        <f>IF(F576=Q574,E576,0)+IF(F577=Q574,E577,0)+IF(F572=Q574,E572,0)+IF(Q574=F573,E573,0)+IF(F574=Q574,E574,0)+IF(F575=Q574,E575,0)</f>
        <v>0</v>
      </c>
      <c r="S574">
        <f>IF(M575=Q574,L575,0)+IF(M576=Q574,L576,0)+IF(M577=Q574,L577,0)+IF(Q574=M572,L572,0)+IF(M573=Q574,L573,0)+IF(M574=Q574,L574,0)</f>
        <v>0</v>
      </c>
      <c r="T574">
        <f>IF(F580=Q574,E580,0)+IF(F581=Q574,E581,0)+IF(F582=Q574,E582,0)+IF(Q574=F583,E583,0)+IF(F584=Q574,E584,0)+IF(F585=Q574,E585,0)</f>
        <v>0</v>
      </c>
      <c r="U574">
        <f>IF(M580=Q574,L580,0)+IF(M581=Q574,L581,0)+IF(M582=Q574,L582,0)+IF(Q574=M583,L583,0)+IF(M584=Q574,L584,0)+IF(M585=Q574,L585,0)</f>
        <v>0</v>
      </c>
      <c r="V574">
        <f>IF(F588=Q574,E588,0)+IF(F589=Q574,E589,0)+IF(F590=Q574,E590,0)+IF(Q574=F591,E591,0)+IF(F592=Q574,E592,0)+IF(F593=Q574,E593,0)</f>
        <v>0</v>
      </c>
      <c r="W574" s="63">
        <f t="shared" si="100"/>
        <v>0</v>
      </c>
      <c r="AA574" t="s">
        <v>214</v>
      </c>
      <c r="AB574" t="s">
        <v>213</v>
      </c>
      <c r="AC574" s="14" t="e">
        <f>IF(AC567="Cadre",(W574/2),(W574/7))</f>
        <v>#N/A</v>
      </c>
    </row>
    <row r="575" spans="1:29" hidden="1" outlineLevel="1" x14ac:dyDescent="0.25">
      <c r="A575" s="69" t="s">
        <v>106</v>
      </c>
      <c r="B575" s="96"/>
      <c r="C575" s="96"/>
      <c r="D575" s="102"/>
      <c r="E575" s="103"/>
      <c r="F575" s="38"/>
      <c r="H575" s="69" t="s">
        <v>106</v>
      </c>
      <c r="I575" s="96"/>
      <c r="J575" s="96"/>
      <c r="K575" s="102"/>
      <c r="L575" s="103"/>
      <c r="M575" s="38"/>
      <c r="Q575" s="10" t="s">
        <v>146</v>
      </c>
      <c r="R575">
        <f>IF(F577=Q575,E577,0)+IF(F572=Q575,E572,0)+IF(F573=Q575,E573,0)+IF(Q575=F574,E574,0)+IF(F575=Q575,E575,0)+IF(F576=Q575,E576,0)</f>
        <v>0</v>
      </c>
      <c r="S575">
        <f>IF(M575=Q575,L575,0)+IF(M576=Q575,L576,0)+IF(M577=Q575,L577,0)+IF(Q575=M572,$L$11,0)+IF(M573=Q575,L573,0)+IF(M574=Q575,L574,0)</f>
        <v>0</v>
      </c>
      <c r="T575">
        <f>IF(F580=Q575,E580,0)+IF(F581=Q575,E581,0)+IF(F582=Q575,E582,0)+IF(Q575=F583,E583,0)+IF(F584=Q575,E584,0)+IF(F585=Q575,E585,0)</f>
        <v>0</v>
      </c>
      <c r="U575">
        <f>IF(M580=Q575,L580,0)+IF(M581=Q575,L581,0)+IF(M582=Q575,L582,0)+IF(Q575=M583,L583,0)+IF(M584=Q575,L584,0)+IF(M585=Q575,L585,0)</f>
        <v>0</v>
      </c>
      <c r="V575">
        <f>IF(F588=Q575,E588,0)+IF(F589=Q575,E589,0)+IF(F590=Q575,E590,0)+IF(Q575=F591,E591,0)+IF(F592=Q575,E592,0)+IF(F593=Q575,E593,0)</f>
        <v>0</v>
      </c>
      <c r="W575" s="63">
        <f t="shared" si="100"/>
        <v>0</v>
      </c>
      <c r="AA575" t="s">
        <v>216</v>
      </c>
      <c r="AB575" t="s">
        <v>217</v>
      </c>
      <c r="AC575" s="14" t="e">
        <f>W587+W588</f>
        <v>#N/A</v>
      </c>
    </row>
    <row r="576" spans="1:29" hidden="1" outlineLevel="1" x14ac:dyDescent="0.25">
      <c r="A576" s="69" t="s">
        <v>107</v>
      </c>
      <c r="B576" s="96"/>
      <c r="C576" s="96"/>
      <c r="D576" s="102"/>
      <c r="E576" s="103"/>
      <c r="F576" s="38"/>
      <c r="H576" s="69" t="s">
        <v>107</v>
      </c>
      <c r="I576" s="96"/>
      <c r="J576" s="96"/>
      <c r="K576" s="102"/>
      <c r="L576" s="103"/>
      <c r="M576" s="38"/>
      <c r="Q576" s="10" t="s">
        <v>499</v>
      </c>
      <c r="R576">
        <f>IF(F572=Q576,E572,0)+IF(F573=Q576,E573,0)+IF(F574=Q576,E574,0)+IF(Q576=F575,E575,0)+IF(F576=Q576,E576,0)+IF(F577=Q576,E577,0)</f>
        <v>0</v>
      </c>
      <c r="S576">
        <f>IF(M575=Q576,L575,0)+IF(M576=Q576,L576,0)+IF(M577=Q576,L577,0)+IF(Q576=M572,L572,0)+IF(M573=Q576,L573,0)+IF(M574=Q576,L574,0)</f>
        <v>0</v>
      </c>
      <c r="T576">
        <f>IF(F580=Q576,E580,0)+IF(F581=Q576,E581,0)+IF(F582=Q576,E582,0)+IF(Q576=F583,E583,0)+IF(F584=Q576,E584,0)+IF(F585=Q576,E585,0)</f>
        <v>0</v>
      </c>
      <c r="U576">
        <f>IF(M580=Q576,L580,0)+IF(M581=Q576,L581,0)+IF(M582=Q576,L582,0)+IF(Q576=M583,L583,0)+IF(M584=Q576,L584,0)+IF(M585=Q576,L585,0)</f>
        <v>0</v>
      </c>
      <c r="V576">
        <f>IF(F588=Q576,E588,0)+IF(F589=Q576,E589,0)+IF(F590=Q576,E590,0)+IF(Q576=F591,E591,0)+IF(F592=Q576,E592,0)+IF(F593=Q576,E593,0)</f>
        <v>0</v>
      </c>
      <c r="W576" s="63">
        <f t="shared" si="100"/>
        <v>0</v>
      </c>
      <c r="AA576" t="s">
        <v>218</v>
      </c>
      <c r="AB576" t="s">
        <v>219</v>
      </c>
      <c r="AC576" s="14" t="e">
        <f>W586</f>
        <v>#N/A</v>
      </c>
    </row>
    <row r="577" spans="1:29" hidden="1" outlineLevel="1" x14ac:dyDescent="0.25">
      <c r="A577" s="69" t="s">
        <v>108</v>
      </c>
      <c r="B577" s="96"/>
      <c r="C577" s="96"/>
      <c r="D577" s="102"/>
      <c r="E577" s="103"/>
      <c r="F577" s="38"/>
      <c r="H577" s="69" t="s">
        <v>108</v>
      </c>
      <c r="I577" s="96"/>
      <c r="J577" s="96"/>
      <c r="K577" s="102"/>
      <c r="L577" s="103"/>
      <c r="M577" s="38"/>
      <c r="Q577" s="10" t="s">
        <v>147</v>
      </c>
      <c r="R577">
        <f>IF(F573=Q577,E573,0)+IF(F574=Q577,E574,0)+IF(F575=Q577,E575,0)+IF(Q577=F576,E576,0)+IF(F577=Q577,E577,0)+IF(F572=Q577,E572,0)</f>
        <v>0</v>
      </c>
      <c r="S577">
        <f>IF(M575=Q577,L575,0)+IF(M576=Q577,L576,0)+IF(M577=Q577,L577,0)+IF(Q577=M572,L572,0)+IF(M573=Q577,L573,0)+IF(M574=Q577,L574,0)</f>
        <v>0</v>
      </c>
      <c r="T577">
        <f>IF(F580=Q577,E580,0)+IF(F581=Q577,E581,0)+IF(F582=Q577,E582,0)+IF(Q577=F583,E583,0)+IF(F584=Q577,E584,0)+IF(F585=Q577,E585,0)</f>
        <v>0</v>
      </c>
      <c r="U577">
        <f>IF(M580=Q577,L580,0)+IF(M581=Q577,L581,0)+IF(M582=Q577,L582,0)+IF(Q577=M583,L583,0)+IF(M584=Q577,L584,0)+IF(M585=Q577,L585,0)</f>
        <v>0</v>
      </c>
      <c r="V577">
        <f>IF(F588=Q577,E588,0)+IF(F589=Q577,E589,0)+IF(F590=Q577,E590,0)+IF(Q577=F591,E591,0)+IF(F592=Q577,E592,0)+IF(F593=Q577,E593,0)</f>
        <v>0</v>
      </c>
      <c r="W577" s="63">
        <f t="shared" si="100"/>
        <v>0</v>
      </c>
      <c r="AA577" t="s">
        <v>166</v>
      </c>
      <c r="AB577" t="s">
        <v>220</v>
      </c>
      <c r="AC577" s="14" t="e">
        <f>W591</f>
        <v>#N/A</v>
      </c>
    </row>
    <row r="578" spans="1:29" ht="15.75" hidden="1" outlineLevel="1" thickBot="1" x14ac:dyDescent="0.3">
      <c r="A578" s="70" t="s">
        <v>109</v>
      </c>
      <c r="B578" s="97"/>
      <c r="C578" s="97"/>
      <c r="D578" s="71"/>
      <c r="E578" s="104"/>
      <c r="F578" s="38"/>
      <c r="H578" s="70" t="s">
        <v>109</v>
      </c>
      <c r="I578" s="97"/>
      <c r="J578" s="97"/>
      <c r="K578" s="71"/>
      <c r="L578" s="104"/>
      <c r="M578" s="38"/>
      <c r="Q578" s="10" t="s">
        <v>500</v>
      </c>
      <c r="R578">
        <f>IF(F574=Q578,E574,0)+IF(F575=Q578,E575,0)+IF(F576=Q578,E576,0)+IF(Q578=F577,E577,0)+IF(F572=Q578,E572,0)+IF(F573=Q578,E573,0)</f>
        <v>0</v>
      </c>
      <c r="S578">
        <f>IF(M575=Q578,L575,0)+IF(M576=Q578,L576,0)+IF(M577=Q578,L577,0)+IF(Q578=M572,L572,0)+IF(M573=Q578,L573,0)+IF(M574=Q578,L574,0)</f>
        <v>0</v>
      </c>
      <c r="T578">
        <f>IF(F580=Q578,E580,0)+IF(F581=Q578,E581,0)+IF(F582=Q578,E582,0)+IF(Q578=F583,E583,0)+IF(F584=Q578,E584,0)+IF(F585=Q578,E585,0)</f>
        <v>0</v>
      </c>
      <c r="U578">
        <f>IF(M580=Q578,L580,0)+IF(M581=Q578,L581,0)+IF(M582=Q578,L582,0)+IF(Q578=M583,L583,0)+IF(M584=Q578,L584,0)+IF(M585=Q578,L585,0)</f>
        <v>0</v>
      </c>
      <c r="V578">
        <f>IF(F588=Q578,E588,0)+IF(F589=Q578,E589,0)+IF(F590=Q578,E590,0)+IF(Q578=F591,E591,0)+IF(F592=Q578,E592,0)+IF(F593=Q578,E593,0)</f>
        <v>0</v>
      </c>
      <c r="W578" s="63">
        <f t="shared" si="100"/>
        <v>0</v>
      </c>
      <c r="AA578" t="s">
        <v>222</v>
      </c>
      <c r="AB578" t="s">
        <v>220</v>
      </c>
      <c r="AC578" s="14" t="e">
        <f>W592</f>
        <v>#N/A</v>
      </c>
    </row>
    <row r="579" spans="1:29" ht="15.75" hidden="1" outlineLevel="1" thickBot="1" x14ac:dyDescent="0.3">
      <c r="A579" s="64" t="str">
        <f>A546</f>
        <v>Ne pas saisir</v>
      </c>
      <c r="B579" s="65" t="e">
        <f>B571</f>
        <v>#N/A</v>
      </c>
      <c r="C579" s="65" t="str">
        <f>C571</f>
        <v>Férié</v>
      </c>
      <c r="D579" s="66" t="e">
        <f>D571</f>
        <v>#N/A</v>
      </c>
      <c r="E579" s="66" t="e">
        <f>E571</f>
        <v>#N/A</v>
      </c>
      <c r="F579" s="67" t="str">
        <f>F571</f>
        <v>Type absence</v>
      </c>
      <c r="H579" s="64" t="str">
        <f>H546</f>
        <v>Ne pas saisir</v>
      </c>
      <c r="I579" s="65" t="e">
        <f>B571</f>
        <v>#N/A</v>
      </c>
      <c r="J579" s="65" t="str">
        <f>C571</f>
        <v>Férié</v>
      </c>
      <c r="K579" s="66" t="e">
        <f>D571</f>
        <v>#N/A</v>
      </c>
      <c r="L579" s="66" t="e">
        <f>E571</f>
        <v>#N/A</v>
      </c>
      <c r="M579" s="67" t="str">
        <f>F571</f>
        <v>Type absence</v>
      </c>
      <c r="Q579" s="10" t="s">
        <v>148</v>
      </c>
      <c r="R579">
        <f>IF(F575=Q579,E575,0)+IF(F576=Q579,E576,0)+IF(F577=Q579,E577,0)+IF(Q579=F572,E572,0)+IF(F573=Q579,E573,0)+IF(F574=Q579,E574,0)</f>
        <v>0</v>
      </c>
      <c r="S579">
        <f>IF(M575=Q579,L575,0)+IF(M576=Q579,L576,0)+IF(M577=Q579,L577,0)+IF(Q579=M572,L572,0)+IF(M573=Q579,L573,0)+IF(M574=Q579,L574,0)</f>
        <v>0</v>
      </c>
      <c r="T579">
        <f>IF(F580=Q579,E580,0)+IF(F581=Q579,E581,0)+IF(F582=Q579,E582,0)+IF(Q579=F583,E583,0)+IF(F584=Q579,E584,0)+IF(F585=Q579,E585,0)</f>
        <v>0</v>
      </c>
      <c r="U579">
        <f>IF(M580=Q579,L580,0)+IF(M581=Q579,L581,0)+IF(M582=Q579,L582,0)+IF(Q579=M583,L583,0)+IF(M584=Q579,L584,0)+IF(M585=Q579,L585,0)</f>
        <v>0</v>
      </c>
      <c r="V579">
        <f>IF(F588=Q579,E588,0)+IF(F589=Q579,E589,0)+IF(F590=Q579,E590,0)+IF(Q579=F591,E591,0)+IF(F592=Q579,E592,0)+IF(F593=Q579,E593,0)</f>
        <v>0</v>
      </c>
      <c r="W579" s="63">
        <f t="shared" si="100"/>
        <v>0</v>
      </c>
      <c r="AA579" t="s">
        <v>223</v>
      </c>
      <c r="AB579" t="s">
        <v>224</v>
      </c>
      <c r="AC579" s="14" t="e">
        <f>W590</f>
        <v>#N/A</v>
      </c>
    </row>
    <row r="580" spans="1:29" hidden="1" outlineLevel="1" x14ac:dyDescent="0.25">
      <c r="A580" s="69" t="s">
        <v>103</v>
      </c>
      <c r="B580" s="95"/>
      <c r="C580" s="95"/>
      <c r="D580" s="106"/>
      <c r="E580" s="105"/>
      <c r="F580" s="101"/>
      <c r="H580" s="69" t="s">
        <v>103</v>
      </c>
      <c r="I580" s="95"/>
      <c r="J580" s="95"/>
      <c r="K580" s="106"/>
      <c r="L580" s="105"/>
      <c r="M580" s="101"/>
      <c r="Q580" s="10" t="s">
        <v>150</v>
      </c>
      <c r="R580">
        <f>IF(F576=Q580,E576,0)+IF(F577=Q580,E577,0)+IF(F572=Q580,E572,0)+IF(Q580=F573,E573,0)+IF(F574=Q580,E574,0)+IF(F575=Q580,E575,0)</f>
        <v>0</v>
      </c>
      <c r="S580">
        <f>IF(M575=Q580,L575,0)+IF(M576=Q580,L576,0)+IF(M577=Q580,L577,0)+IF(Q580=M572,L572,0)+IF(M573=Q580,L573,0)+IF(M574=Q580,L574,0)</f>
        <v>0</v>
      </c>
      <c r="T580">
        <f>IF(F580=Q580,E580,0)+IF(F581=Q580,E581,0)+IF(F582=Q580,E582,0)+IF(Q580=F583,E583,0)+IF(F584=Q580,E584,0)+IF(F585=Q580,E585,0)</f>
        <v>0</v>
      </c>
      <c r="U580">
        <f>IF(M580=Q580,L580,0)+IF(M581=Q580,L581,0)+IF(M582=Q580,L582,0)+IF(Q580=M583,L583,0)+IF(M584=Q580,L584,0)+IF(M585=Q580,L585,0)</f>
        <v>0</v>
      </c>
      <c r="V580">
        <f>IF(F588=Q580,E588,0)+IF(F589=Q580,E589,0)+IF(F590=Q580,E590,0)+IF(Q580=F591,E591,0)+IF(F592=Q580,E592,0)+IF(F593=Q580,E593,0)</f>
        <v>0</v>
      </c>
      <c r="W580" s="63">
        <f t="shared" si="100"/>
        <v>0</v>
      </c>
      <c r="AB580" t="s">
        <v>267</v>
      </c>
      <c r="AC580">
        <f>(SUM(B572:B578))</f>
        <v>0</v>
      </c>
    </row>
    <row r="581" spans="1:29" hidden="1" outlineLevel="1" x14ac:dyDescent="0.25">
      <c r="A581" s="69" t="s">
        <v>104</v>
      </c>
      <c r="B581" s="96"/>
      <c r="C581" s="96"/>
      <c r="D581" s="102"/>
      <c r="E581" s="103"/>
      <c r="F581" s="38"/>
      <c r="H581" s="69" t="s">
        <v>104</v>
      </c>
      <c r="I581" s="96"/>
      <c r="J581" s="96"/>
      <c r="K581" s="102"/>
      <c r="L581" s="103"/>
      <c r="M581" s="38"/>
      <c r="Q581" s="10" t="s">
        <v>502</v>
      </c>
      <c r="R581">
        <f>IF(F577=Q581,E577,0)+IF(F572=Q581,E572,0)+IF(F573=Q581,E573,0)+IF(Q581=F574,E574,0)+IF(F575=Q581,E575,0)+IF(F576=Q581,E576,0)</f>
        <v>0</v>
      </c>
      <c r="S581">
        <f>IF(M575=Q581,L575,0)+IF(M576=Q581,L576,0)+IF(M577=Q581,L577,0)+IF(Q581=M572,L572,0)+IF(M573=Q581,L573,0)+IF(M574=Q581,L574,0)</f>
        <v>0</v>
      </c>
      <c r="T581">
        <f>IF(F580=Q581,E580,0)+IF(F581=Q581,E581,0)+IF(F582=Q581,E582,0)+IF(Q581=F583,E583,0)+IF(F584=Q581,E584,0)+IF(F585=Q581,E585,0)</f>
        <v>0</v>
      </c>
      <c r="U581">
        <f>IF(M580=Q581,L580,0)+IF(M581=Q581,L581,0)+IF(M582=Q581,L582,0)+IF(Q581=M583,L583,0)+IF(M584=Q581,L584,0)+IF(M585=Q581,L585,0)</f>
        <v>0</v>
      </c>
      <c r="V581">
        <f>IF(F588=Q581,E588,0)+IF(F589=Q581,E589,0)+IF(F590=Q581,E590,0)+IF(Q581=F591,E591,0)+IF(F592=Q581,E592,0)+IF(F593=Q581,E593,0)</f>
        <v>0</v>
      </c>
      <c r="W581" s="63">
        <f t="shared" si="100"/>
        <v>0</v>
      </c>
      <c r="AB581" t="s">
        <v>268</v>
      </c>
      <c r="AC581">
        <f>(SUM(I572:I578))</f>
        <v>0</v>
      </c>
    </row>
    <row r="582" spans="1:29" hidden="1" outlineLevel="1" x14ac:dyDescent="0.25">
      <c r="A582" s="69" t="s">
        <v>105</v>
      </c>
      <c r="B582" s="96"/>
      <c r="C582" s="96"/>
      <c r="D582" s="102"/>
      <c r="E582" s="103"/>
      <c r="F582" s="38"/>
      <c r="H582" s="69" t="s">
        <v>105</v>
      </c>
      <c r="I582" s="96"/>
      <c r="J582" s="96"/>
      <c r="K582" s="102"/>
      <c r="L582" s="103"/>
      <c r="M582" s="38"/>
      <c r="Q582" s="10" t="s">
        <v>498</v>
      </c>
      <c r="R582">
        <f>IF(F572=Q582,E572,0)+IF(F573=Q582,E573,0)+IF(F574=Q582,E574,0)+IF(Q582=F575,E575,0)+IF(F576=Q582,E576,0)+IF(F577=Q582,E577,0)</f>
        <v>0</v>
      </c>
      <c r="S582">
        <f>IF(M575=Q582,L575,0)+IF(M576=Q582,L576,0)+IF(M577=Q582,L577,0)+IF(Q582=M572,L572,0)+IF(M573=Q582,L573,0)+IF(M574=Q582,L574,0)</f>
        <v>0</v>
      </c>
      <c r="T582">
        <f>IF(F580=Q582,E580,0)+IF(F581=Q582,E581,0)+IF(F582=Q582,E582,0)+IF(Q582=F583,E583,0)+IF(F584=Q582,E584,0)+IF(F585=Q582,E585,0)</f>
        <v>0</v>
      </c>
      <c r="U582">
        <f>IF(M580=Q582,L580,0)+IF(M581=Q582,L581,0)+IF(M582=Q582,L582,0)+IF(Q582=M583,L583,0)+IF(M584=Q582,L584,0)+IF(M585=Q582,L585,0)</f>
        <v>0</v>
      </c>
      <c r="V582">
        <f>IF(F588=Q582,E588,0)+IF(F589=Q582,E589,0)+IF(F590=Q582,E590,0)+IF(Q582=F591,E591,0)+IF(F592=Q582,E592,0)+IF(F593=Q582,E593,0)</f>
        <v>0</v>
      </c>
      <c r="W582" s="63">
        <f t="shared" si="100"/>
        <v>0</v>
      </c>
      <c r="AB582" t="s">
        <v>269</v>
      </c>
      <c r="AC582">
        <f>(SUM(B580:B586))</f>
        <v>0</v>
      </c>
    </row>
    <row r="583" spans="1:29" hidden="1" outlineLevel="1" x14ac:dyDescent="0.25">
      <c r="A583" s="69" t="s">
        <v>106</v>
      </c>
      <c r="B583" s="96"/>
      <c r="C583" s="96"/>
      <c r="D583" s="102"/>
      <c r="E583" s="103"/>
      <c r="F583" s="38"/>
      <c r="H583" s="69" t="s">
        <v>106</v>
      </c>
      <c r="I583" s="96"/>
      <c r="J583" s="96"/>
      <c r="K583" s="102"/>
      <c r="L583" s="103"/>
      <c r="M583" s="38"/>
      <c r="P583" s="72"/>
      <c r="Q583" s="73" t="s">
        <v>501</v>
      </c>
      <c r="R583" s="72">
        <f>IF(F573=Q583,E573,0)+IF(F574=Q583,E574,0)+IF(F575=Q583,E575,0)+IF(Q583=F576,E576,0)+IF(F577=Q583,E577,0)+IF(F572=Q583,E572,0)</f>
        <v>0</v>
      </c>
      <c r="S583" s="72">
        <f>IF(M575=Q583,L575,0)+IF(M576=Q583,L576,0)+IF(M577=Q583,L577,0)+IF(Q583=M572,L572,0)+IF(M573=Q583,L573,0)+IF(M574=Q583,L574,0)</f>
        <v>0</v>
      </c>
      <c r="T583" s="72">
        <f>IF(F580=Q583,E580,0)+IF(F581=Q583,E581,0)+IF(F582=Q583,E582,0)+IF(Q583=F583,E583,0)+IF(F584=Q583,E584,0)+IF(F585=Q583,E585,0)</f>
        <v>0</v>
      </c>
      <c r="U583" s="72">
        <f>IF(M580=Q583,L580,0)+IF(M581=Q583,L581,0)+IF(M582=Q583,L582,0)+IF(Q583=M583,L583,0)+IF(M584=Q583,L584,0)+IF(M585=Q583,L585,0)</f>
        <v>0</v>
      </c>
      <c r="V583" s="72">
        <f>IF(F588=Q583,E588,0)+IF(F589=Q583,E589,0)+IF(F590=Q583,E590,0)+IF(Q583=F591,E591,0)+IF(F592=Q583,E592,0)+IF(F593=Q583,E593,0)</f>
        <v>0</v>
      </c>
      <c r="W583" s="74">
        <f t="shared" si="100"/>
        <v>0</v>
      </c>
      <c r="AB583" t="s">
        <v>270</v>
      </c>
      <c r="AC583">
        <f>(SUM(I580:I586))</f>
        <v>0</v>
      </c>
    </row>
    <row r="584" spans="1:29" hidden="1" outlineLevel="1" x14ac:dyDescent="0.25">
      <c r="A584" s="69" t="s">
        <v>107</v>
      </c>
      <c r="B584" s="96"/>
      <c r="C584" s="96"/>
      <c r="D584" s="102"/>
      <c r="E584" s="103"/>
      <c r="F584" s="38"/>
      <c r="H584" s="69" t="s">
        <v>107</v>
      </c>
      <c r="I584" s="96"/>
      <c r="J584" s="96"/>
      <c r="K584" s="102"/>
      <c r="L584" s="103"/>
      <c r="M584" s="38"/>
      <c r="Q584" s="75" t="s">
        <v>169</v>
      </c>
      <c r="R584" s="2" t="e">
        <f>IF(M569="Règlement HC",K569*10%,0)</f>
        <v>#N/A</v>
      </c>
      <c r="S584" s="2" t="e">
        <f>IF(M569="Règlement HC",K569*10%,0)</f>
        <v>#N/A</v>
      </c>
      <c r="T584" s="2" t="e">
        <f>IF(M569="Règlement HC",K569*10%,0)</f>
        <v>#N/A</v>
      </c>
      <c r="U584" s="2" t="e">
        <f>IF(M569="Règlement HC",K569*10%,0)</f>
        <v>#N/A</v>
      </c>
      <c r="V584" s="2" t="e">
        <f>IF(M569="Règlement HC",K569*10%,0)</f>
        <v>#N/A</v>
      </c>
      <c r="W584" s="76"/>
      <c r="AB584" t="s">
        <v>271</v>
      </c>
      <c r="AC584">
        <f>(SUM(B588:B594))</f>
        <v>0</v>
      </c>
    </row>
    <row r="585" spans="1:29" hidden="1" outlineLevel="1" x14ac:dyDescent="0.25">
      <c r="A585" s="69" t="s">
        <v>108</v>
      </c>
      <c r="B585" s="96"/>
      <c r="C585" s="96"/>
      <c r="D585" s="102"/>
      <c r="E585" s="103"/>
      <c r="F585" s="38"/>
      <c r="H585" s="69" t="s">
        <v>108</v>
      </c>
      <c r="I585" s="96"/>
      <c r="J585" s="96"/>
      <c r="K585" s="102"/>
      <c r="L585" s="103"/>
      <c r="M585" s="38"/>
      <c r="Q585" s="75" t="s">
        <v>175</v>
      </c>
      <c r="R585" s="2" t="e">
        <f>IF(M569="Règlement HC",SUM(B572:B578)-K569,0)</f>
        <v>#N/A</v>
      </c>
      <c r="S585" s="2" t="e">
        <f>IF(M569="Règlement HC",SUM(I572:I578)-K569,0)</f>
        <v>#N/A</v>
      </c>
      <c r="T585" s="2" t="e">
        <f>IF(M569="Règlement HC",SUM(B580:B586)-K569,0)</f>
        <v>#N/A</v>
      </c>
      <c r="U585" s="2" t="e">
        <f>IF(M569="Règlement HC",SUM(I580:I586)-K569,0)</f>
        <v>#N/A</v>
      </c>
      <c r="V585" s="2" t="e">
        <f>IF(M569="Règlement HC",SUM(B588:B594)-K569,0)</f>
        <v>#N/A</v>
      </c>
      <c r="W585" s="63" t="e">
        <f>SUM((IF(R585&gt;0,R585,0)+(IF(S585&gt;0,S585,0)+(IF(T585&gt;0,T585,0)+(IF(U585&gt;0,U585,0)+(IF(V585&gt;0,V585,0)))))))</f>
        <v>#N/A</v>
      </c>
      <c r="AA585" t="s">
        <v>313</v>
      </c>
      <c r="AB585" t="s">
        <v>314</v>
      </c>
      <c r="AC585" t="e">
        <f>W589</f>
        <v>#N/A</v>
      </c>
    </row>
    <row r="586" spans="1:29" ht="15.75" hidden="1" outlineLevel="1" thickBot="1" x14ac:dyDescent="0.3">
      <c r="A586" s="70" t="s">
        <v>109</v>
      </c>
      <c r="B586" s="97"/>
      <c r="C586" s="97"/>
      <c r="D586" s="71"/>
      <c r="E586" s="104"/>
      <c r="F586" s="38"/>
      <c r="H586" s="70" t="s">
        <v>109</v>
      </c>
      <c r="I586" s="97"/>
      <c r="J586" s="97"/>
      <c r="K586" s="71"/>
      <c r="L586" s="104"/>
      <c r="M586" s="39"/>
      <c r="P586" t="s">
        <v>170</v>
      </c>
      <c r="Q586" s="10" t="s">
        <v>162</v>
      </c>
      <c r="R586" t="e">
        <f>IF(R585&gt;=R584,R584,R585)</f>
        <v>#N/A</v>
      </c>
      <c r="S586" t="e">
        <f>IF(S585&gt;=S584,S584,S585)</f>
        <v>#N/A</v>
      </c>
      <c r="T586" t="e">
        <f>IF(T585&gt;=T584,T584,T585)</f>
        <v>#N/A</v>
      </c>
      <c r="U586" t="e">
        <f>IF(U585&gt;=U584,U584,U585)</f>
        <v>#N/A</v>
      </c>
      <c r="V586" t="e">
        <f>IF(V585&gt;=V584,V584,V585)</f>
        <v>#N/A</v>
      </c>
      <c r="W586" s="63" t="e">
        <f>SUM((IF(R586&gt;0,R586,0)+(IF(S586&gt;0,S586,0)+(IF(T586&gt;0,T586,0)+(IF(U586&gt;0,U586,0)+(IF(V586&gt;0,V586,0)))))))</f>
        <v>#N/A</v>
      </c>
    </row>
    <row r="587" spans="1:29" ht="15.75" hidden="1" outlineLevel="1" thickBot="1" x14ac:dyDescent="0.3">
      <c r="A587" s="64" t="str">
        <f>A554</f>
        <v>Ne pas saisir</v>
      </c>
      <c r="B587" s="65" t="e">
        <f>B571</f>
        <v>#N/A</v>
      </c>
      <c r="C587" s="65" t="str">
        <f>C571</f>
        <v>Férié</v>
      </c>
      <c r="D587" s="66" t="e">
        <f>D571</f>
        <v>#N/A</v>
      </c>
      <c r="E587" s="66" t="e">
        <f>E571</f>
        <v>#N/A</v>
      </c>
      <c r="F587" s="67" t="str">
        <f>F571</f>
        <v>Type absence</v>
      </c>
      <c r="H587" s="77" t="s">
        <v>136</v>
      </c>
      <c r="I587" s="78" t="e">
        <f>B571</f>
        <v>#N/A</v>
      </c>
      <c r="J587" s="78" t="str">
        <f>C571</f>
        <v>Férié</v>
      </c>
      <c r="K587" s="79" t="e">
        <f>D571</f>
        <v>#N/A</v>
      </c>
      <c r="L587" s="80" t="e">
        <f>E571</f>
        <v>#N/A</v>
      </c>
      <c r="M587" s="49"/>
      <c r="P587" t="s">
        <v>170</v>
      </c>
      <c r="Q587" s="10" t="s">
        <v>163</v>
      </c>
      <c r="R587" t="e">
        <f>R585-R586</f>
        <v>#N/A</v>
      </c>
      <c r="S587" t="e">
        <f>S585-S586</f>
        <v>#N/A</v>
      </c>
      <c r="T587" t="e">
        <f>T585-T586</f>
        <v>#N/A</v>
      </c>
      <c r="U587" t="e">
        <f>U585-U586</f>
        <v>#N/A</v>
      </c>
      <c r="V587" t="e">
        <f>V585-V586</f>
        <v>#N/A</v>
      </c>
      <c r="W587" s="63" t="e">
        <f t="shared" ref="W587:W592" si="101">SUM(R587:V587)</f>
        <v>#N/A</v>
      </c>
    </row>
    <row r="588" spans="1:29" hidden="1" outlineLevel="1" x14ac:dyDescent="0.25">
      <c r="A588" s="69" t="s">
        <v>103</v>
      </c>
      <c r="B588" s="95"/>
      <c r="C588" s="95"/>
      <c r="D588" s="106"/>
      <c r="E588" s="105"/>
      <c r="F588" s="101"/>
      <c r="H588" s="81" t="s">
        <v>103</v>
      </c>
      <c r="I588" s="82">
        <f t="shared" ref="I588:I593" si="102">B572+I572+B580+I580+B588</f>
        <v>0</v>
      </c>
      <c r="J588" s="82">
        <f t="shared" ref="J588:J593" si="103">C572+J572+C580+J580+C588</f>
        <v>0</v>
      </c>
      <c r="K588" s="83">
        <f t="shared" ref="K588:K593" si="104">D572+K572+D580+K580+D588</f>
        <v>0</v>
      </c>
      <c r="L588" s="84">
        <f t="shared" ref="L588:L593" si="105">E572+L572+E580+L580+E588</f>
        <v>0</v>
      </c>
      <c r="M588" s="303" t="s">
        <v>177</v>
      </c>
      <c r="N588" s="304"/>
      <c r="O588" s="304"/>
      <c r="Q588" s="10" t="s">
        <v>164</v>
      </c>
      <c r="R588" t="e">
        <f>IF(AND(K569="non",(SUM(B572:B578)&gt;U568)),SUM(B572:B578)-U568,0)</f>
        <v>#N/A</v>
      </c>
      <c r="S588" t="e">
        <f>IF(AND(K569="non",(SUM(I572:I578)&gt;U568)),SUM(I572:I578)-U568,0)</f>
        <v>#N/A</v>
      </c>
      <c r="T588" t="e">
        <f>IF(AND(K569="non",(SUM(B580:B586)&gt;U568)),SUM(B580:B586)-U568,0)</f>
        <v>#N/A</v>
      </c>
      <c r="U588" t="e">
        <f>IF(AND(K569="non",(SUM(I580:I586)&gt;U568)),SUM(I580:I586)-U568,0)</f>
        <v>#N/A</v>
      </c>
      <c r="V588" t="e">
        <f>IF(AND(K569="non",(SUM(B588:B594)&gt;U568)),SUM(B588:B594)-U568,0)</f>
        <v>#N/A</v>
      </c>
      <c r="W588" s="63" t="e">
        <f t="shared" si="101"/>
        <v>#N/A</v>
      </c>
    </row>
    <row r="589" spans="1:29" hidden="1" outlineLevel="1" x14ac:dyDescent="0.25">
      <c r="A589" s="69" t="s">
        <v>104</v>
      </c>
      <c r="B589" s="96"/>
      <c r="C589" s="96"/>
      <c r="D589" s="102"/>
      <c r="E589" s="103"/>
      <c r="F589" s="38"/>
      <c r="H589" s="81" t="s">
        <v>104</v>
      </c>
      <c r="I589" s="88">
        <f t="shared" si="102"/>
        <v>0</v>
      </c>
      <c r="J589" s="88">
        <f t="shared" si="103"/>
        <v>0</v>
      </c>
      <c r="K589" s="89">
        <f t="shared" si="104"/>
        <v>0</v>
      </c>
      <c r="L589" s="90">
        <f t="shared" si="105"/>
        <v>0</v>
      </c>
      <c r="M589" s="49"/>
      <c r="P589" t="s">
        <v>167</v>
      </c>
      <c r="Q589" s="10" t="s">
        <v>165</v>
      </c>
      <c r="R589" t="e">
        <f>IF(H570="Cadre",0,SUM(C572:C578))</f>
        <v>#N/A</v>
      </c>
      <c r="S589" t="e">
        <f>IF(H570="Cadre",0,SUM(J572:J578))</f>
        <v>#N/A</v>
      </c>
      <c r="T589" t="e">
        <f>IF(H570="Cadre",0,SUM(C580:C586))</f>
        <v>#N/A</v>
      </c>
      <c r="U589" t="e">
        <f>IF(H570="Cadre",0,SUM(J580:J586))</f>
        <v>#N/A</v>
      </c>
      <c r="V589" t="e">
        <f>IF(H570="Cadre",0,SUM(C588:C594))</f>
        <v>#N/A</v>
      </c>
      <c r="W589" s="63" t="e">
        <f t="shared" si="101"/>
        <v>#N/A</v>
      </c>
    </row>
    <row r="590" spans="1:29" hidden="1" outlineLevel="1" x14ac:dyDescent="0.25">
      <c r="A590" s="69" t="s">
        <v>105</v>
      </c>
      <c r="B590" s="96"/>
      <c r="C590" s="96"/>
      <c r="D590" s="102"/>
      <c r="E590" s="103"/>
      <c r="F590" s="38"/>
      <c r="H590" s="81" t="s">
        <v>105</v>
      </c>
      <c r="I590" s="88">
        <f t="shared" si="102"/>
        <v>0</v>
      </c>
      <c r="J590" s="88">
        <f t="shared" si="103"/>
        <v>0</v>
      </c>
      <c r="K590" s="89">
        <f t="shared" si="104"/>
        <v>0</v>
      </c>
      <c r="L590" s="90">
        <f t="shared" si="105"/>
        <v>0</v>
      </c>
      <c r="M590" s="49"/>
      <c r="P590" t="s">
        <v>168</v>
      </c>
      <c r="Q590" s="10" t="s">
        <v>165</v>
      </c>
      <c r="R590" t="e">
        <f>IF(H570="Cadre",((SUM(C572:C578)/2)*5),0)</f>
        <v>#N/A</v>
      </c>
      <c r="S590" t="e">
        <f>IF(H570="Cadre",(SUM(J572:J578)/2*5),0)</f>
        <v>#N/A</v>
      </c>
      <c r="T590" t="e">
        <f>IF(H570="Cadre",(SUM(C580:C586)/2*5),0)</f>
        <v>#N/A</v>
      </c>
      <c r="U590" t="e">
        <f>IF(H570="Cadre",(SUM(J580:J586)/2*5),0)</f>
        <v>#N/A</v>
      </c>
      <c r="V590" t="e">
        <f>IF(H570="Cadre",(SUM(C588:C594)/2*5),0)</f>
        <v>#N/A</v>
      </c>
      <c r="W590" s="63" t="e">
        <f t="shared" si="101"/>
        <v>#N/A</v>
      </c>
    </row>
    <row r="591" spans="1:29" hidden="1" outlineLevel="1" x14ac:dyDescent="0.25">
      <c r="A591" s="69" t="s">
        <v>106</v>
      </c>
      <c r="B591" s="96"/>
      <c r="C591" s="96"/>
      <c r="D591" s="102"/>
      <c r="E591" s="103"/>
      <c r="F591" s="38"/>
      <c r="H591" s="81" t="s">
        <v>106</v>
      </c>
      <c r="I591" s="88">
        <f t="shared" si="102"/>
        <v>0</v>
      </c>
      <c r="J591" s="88">
        <f t="shared" si="103"/>
        <v>0</v>
      </c>
      <c r="K591" s="89">
        <f t="shared" si="104"/>
        <v>0</v>
      </c>
      <c r="L591" s="90">
        <f t="shared" si="105"/>
        <v>0</v>
      </c>
      <c r="M591" s="49"/>
      <c r="P591" t="s">
        <v>166</v>
      </c>
      <c r="Q591" s="10" t="s">
        <v>159</v>
      </c>
      <c r="R591" t="e">
        <f>IF(H570="Employé",B578,0)</f>
        <v>#N/A</v>
      </c>
      <c r="S591" t="e">
        <f>IF(H570="Employé",I578,0)</f>
        <v>#N/A</v>
      </c>
      <c r="T591" t="e">
        <f>IF(H570="Employé",B586,0)</f>
        <v>#N/A</v>
      </c>
      <c r="U591" t="e">
        <f>IF(H570="Employé",I586,0)</f>
        <v>#N/A</v>
      </c>
      <c r="V591" t="e">
        <f>IF(H570="Employé",B594,0)</f>
        <v>#N/A</v>
      </c>
      <c r="W591" s="63" t="e">
        <f t="shared" si="101"/>
        <v>#N/A</v>
      </c>
    </row>
    <row r="592" spans="1:29" hidden="1" outlineLevel="1" x14ac:dyDescent="0.25">
      <c r="A592" s="69" t="s">
        <v>107</v>
      </c>
      <c r="B592" s="96"/>
      <c r="C592" s="96"/>
      <c r="D592" s="102"/>
      <c r="E592" s="103"/>
      <c r="F592" s="38"/>
      <c r="H592" s="81" t="s">
        <v>107</v>
      </c>
      <c r="I592" s="88">
        <f t="shared" si="102"/>
        <v>0</v>
      </c>
      <c r="J592" s="88">
        <f t="shared" si="103"/>
        <v>0</v>
      </c>
      <c r="K592" s="89">
        <f t="shared" si="104"/>
        <v>0</v>
      </c>
      <c r="L592" s="90">
        <f t="shared" si="105"/>
        <v>0</v>
      </c>
      <c r="M592" s="303" t="s">
        <v>178</v>
      </c>
      <c r="N592" s="304"/>
      <c r="O592" s="304"/>
      <c r="P592" t="s">
        <v>297</v>
      </c>
      <c r="Q592" s="10" t="s">
        <v>159</v>
      </c>
      <c r="R592" t="e">
        <f>IF(H570="Cadre",IF(B578=2,5,0),0)</f>
        <v>#N/A</v>
      </c>
      <c r="S592" t="e">
        <f>IF(H570="Cadre",IF(I578=2,5,0),0)</f>
        <v>#N/A</v>
      </c>
      <c r="T592" t="e">
        <f>IF(H570="Cadre",IF(B586=2,5,0),0)</f>
        <v>#N/A</v>
      </c>
      <c r="U592" t="e">
        <f>IF(H570="Cadre",IF(I586=2,5,0),0)</f>
        <v>#N/A</v>
      </c>
      <c r="V592" t="e">
        <f>IF(H570="Cadre",IF(B594=2,5,0),0)</f>
        <v>#N/A</v>
      </c>
      <c r="W592" s="63" t="e">
        <f t="shared" si="101"/>
        <v>#N/A</v>
      </c>
    </row>
    <row r="593" spans="1:29" hidden="1" outlineLevel="1" x14ac:dyDescent="0.25">
      <c r="A593" s="69" t="s">
        <v>108</v>
      </c>
      <c r="B593" s="96"/>
      <c r="C593" s="96"/>
      <c r="D593" s="102"/>
      <c r="E593" s="103"/>
      <c r="F593" s="38"/>
      <c r="H593" s="81" t="s">
        <v>108</v>
      </c>
      <c r="I593" s="88">
        <f t="shared" si="102"/>
        <v>0</v>
      </c>
      <c r="J593" s="88">
        <f t="shared" si="103"/>
        <v>0</v>
      </c>
      <c r="K593" s="89">
        <f t="shared" si="104"/>
        <v>0</v>
      </c>
      <c r="L593" s="90">
        <f t="shared" si="105"/>
        <v>0</v>
      </c>
      <c r="M593" s="49"/>
      <c r="P593" t="s">
        <v>171</v>
      </c>
      <c r="Q593" s="10" t="s">
        <v>172</v>
      </c>
      <c r="R593" s="2"/>
      <c r="S593" s="2"/>
      <c r="T593" s="2"/>
      <c r="U593" s="2"/>
      <c r="V593" s="2"/>
      <c r="W593" s="91" t="e">
        <f>IF(AND(K569="non",H570="Employé"),SUM(I588:I594)+(SUM(W570:W583)-W566),(SUM(I588:I594)-W585)+(SUM(W570:W583)-W566))</f>
        <v>#N/A</v>
      </c>
    </row>
    <row r="594" spans="1:29" ht="15.75" hidden="1" outlineLevel="1" thickBot="1" x14ac:dyDescent="0.3">
      <c r="A594" s="70" t="s">
        <v>109</v>
      </c>
      <c r="B594" s="97"/>
      <c r="C594" s="97"/>
      <c r="D594" s="71"/>
      <c r="E594" s="104"/>
      <c r="F594" s="39"/>
      <c r="H594" s="92" t="s">
        <v>109</v>
      </c>
      <c r="I594" s="93">
        <f>(B578+I578+B586+I586+B594)</f>
        <v>0</v>
      </c>
      <c r="J594" s="93">
        <f>(C578+J578+C586+J586+C594)</f>
        <v>0</v>
      </c>
      <c r="K594" s="71">
        <f>(D578+K578+D586+K586+D594)</f>
        <v>0</v>
      </c>
      <c r="L594" s="94">
        <f>(E578+L578+E586+L586+E594)</f>
        <v>0</v>
      </c>
      <c r="M594" s="49"/>
      <c r="P594" t="s">
        <v>176</v>
      </c>
      <c r="Q594" s="10" t="s">
        <v>172</v>
      </c>
      <c r="R594" s="2"/>
      <c r="S594" s="2"/>
      <c r="T594" s="2"/>
      <c r="U594" s="2"/>
      <c r="V594" s="2"/>
      <c r="W594" s="91" t="e">
        <f>IF(H570="Cadre",((SUM(I588:I594)+SUM(W570:W583)-W572-W573)/2),0)</f>
        <v>#N/A</v>
      </c>
    </row>
    <row r="595" spans="1:29" ht="15" customHeight="1" collapsed="1" x14ac:dyDescent="0.25">
      <c r="D595" s="302" t="s">
        <v>298</v>
      </c>
      <c r="E595" s="302"/>
      <c r="F595" s="302"/>
      <c r="G595" s="302"/>
      <c r="H595" s="302"/>
      <c r="I595" s="302"/>
      <c r="J595" s="302"/>
      <c r="K595" s="302"/>
      <c r="L595" s="42" t="s">
        <v>295</v>
      </c>
      <c r="N595" s="43"/>
      <c r="O595" s="43" t="s">
        <v>179</v>
      </c>
      <c r="P595" s="15" t="s">
        <v>157</v>
      </c>
      <c r="AA595" s="15" t="s">
        <v>157</v>
      </c>
    </row>
    <row r="596" spans="1:29" hidden="1" outlineLevel="1" x14ac:dyDescent="0.25">
      <c r="D596" s="302"/>
      <c r="E596" s="302"/>
      <c r="F596" s="302"/>
      <c r="G596" s="302"/>
      <c r="H596" s="302"/>
      <c r="I596" s="302"/>
      <c r="J596" s="302"/>
      <c r="K596" s="302"/>
      <c r="N596" s="43"/>
      <c r="O596" s="43" t="s">
        <v>180</v>
      </c>
      <c r="AC596" t="s">
        <v>201</v>
      </c>
    </row>
    <row r="597" spans="1:29" hidden="1" outlineLevel="1" x14ac:dyDescent="0.25">
      <c r="D597" s="302"/>
      <c r="E597" s="302"/>
      <c r="F597" s="302"/>
      <c r="G597" s="302"/>
      <c r="H597" s="302"/>
      <c r="I597" s="302"/>
      <c r="J597" s="302"/>
      <c r="K597" s="302"/>
      <c r="N597" s="44"/>
      <c r="O597" s="44" t="s">
        <v>181</v>
      </c>
      <c r="AA597" s="15" t="s">
        <v>200</v>
      </c>
      <c r="AC597" s="2" t="str">
        <f>I599</f>
        <v>Juin</v>
      </c>
    </row>
    <row r="598" spans="1:29" hidden="1" outlineLevel="1" x14ac:dyDescent="0.25">
      <c r="A598" s="45" t="s">
        <v>3</v>
      </c>
      <c r="B598" s="46">
        <f>'Synthèse Horaires'!$B$4</f>
        <v>2026</v>
      </c>
      <c r="C598" s="47"/>
      <c r="D598" s="48" t="s">
        <v>1</v>
      </c>
      <c r="E598" s="46">
        <f>'Synthèse Horaires'!$D$4</f>
        <v>0</v>
      </c>
      <c r="F598" s="49"/>
      <c r="G598" s="49"/>
      <c r="H598" s="48" t="s">
        <v>2</v>
      </c>
      <c r="I598" s="47">
        <f>'Synthèse Horaires'!$I$4</f>
        <v>0</v>
      </c>
      <c r="J598" s="50"/>
      <c r="K598" s="50"/>
      <c r="N598" s="44"/>
      <c r="O598" s="44" t="s">
        <v>202</v>
      </c>
      <c r="V598" s="10" t="s">
        <v>174</v>
      </c>
      <c r="W598" s="51" t="e">
        <f>IF(K602="non",SUM(K621:K627)*(35/6),SUM(K621:K627)*(K602/6))</f>
        <v>#N/A</v>
      </c>
      <c r="AB598" t="s">
        <v>6</v>
      </c>
      <c r="AC598" s="14">
        <f>B602</f>
        <v>0</v>
      </c>
    </row>
    <row r="599" spans="1:29" hidden="1" outlineLevel="1" x14ac:dyDescent="0.25">
      <c r="A599" s="45" t="s">
        <v>10</v>
      </c>
      <c r="B599" s="49"/>
      <c r="C599" s="49"/>
      <c r="D599" s="50" t="str">
        <f>'Synthèse Horaires'!$C$6</f>
        <v>01 juin 2026 au 31 mai 2027.</v>
      </c>
      <c r="E599" s="2"/>
      <c r="H599" s="48" t="s">
        <v>205</v>
      </c>
      <c r="I599" s="47" t="str">
        <f>'Synthèse Horaires'!$I$5</f>
        <v>Juin</v>
      </c>
      <c r="N599" s="44"/>
      <c r="O599" s="44" t="s">
        <v>203</v>
      </c>
      <c r="V599" s="10" t="s">
        <v>173</v>
      </c>
      <c r="W599">
        <f>W605+W606</f>
        <v>0</v>
      </c>
      <c r="AB599" t="s">
        <v>57</v>
      </c>
      <c r="AC599" s="14" t="e">
        <f>B603</f>
        <v>#N/A</v>
      </c>
    </row>
    <row r="600" spans="1:29" hidden="1" outlineLevel="1" x14ac:dyDescent="0.25">
      <c r="AB600" t="s">
        <v>211</v>
      </c>
      <c r="AC600" s="14" t="e">
        <f>H603</f>
        <v>#N/A</v>
      </c>
    </row>
    <row r="601" spans="1:29" hidden="1" outlineLevel="1" x14ac:dyDescent="0.25">
      <c r="A601" s="4" t="s">
        <v>58</v>
      </c>
      <c r="B601" s="4"/>
      <c r="C601" s="4"/>
      <c r="D601" s="4"/>
      <c r="E601" s="4"/>
      <c r="F601" s="4"/>
      <c r="G601" s="4"/>
      <c r="H601" s="4"/>
      <c r="P601" s="53" t="s">
        <v>6</v>
      </c>
      <c r="Q601" s="2">
        <f>B602</f>
        <v>0</v>
      </c>
      <c r="T601" s="10" t="s">
        <v>76</v>
      </c>
      <c r="U601" s="2" t="e">
        <f>VLOOKUP(B602,'Base Matricule Siège'!$B$12:$H$1000,4,FALSE)</f>
        <v>#N/A</v>
      </c>
      <c r="AA601" t="s">
        <v>215</v>
      </c>
      <c r="AB601" t="s">
        <v>207</v>
      </c>
      <c r="AC601" s="14" t="e">
        <f>IF(AC600="Cadre",0,W626)</f>
        <v>#N/A</v>
      </c>
    </row>
    <row r="602" spans="1:29" hidden="1" outlineLevel="1" x14ac:dyDescent="0.25">
      <c r="A602" s="49" t="s">
        <v>18</v>
      </c>
      <c r="B602" s="113">
        <v>0</v>
      </c>
      <c r="E602" s="49"/>
      <c r="G602" s="57" t="s">
        <v>317</v>
      </c>
      <c r="H602" s="58" t="e">
        <f>VLOOKUP(B602,'Base Matricule Siège'!$B$13:$H$1000,7,FALSE)</f>
        <v>#N/A</v>
      </c>
      <c r="J602" s="10" t="s">
        <v>161</v>
      </c>
      <c r="K602" s="58" t="e">
        <f>IF((VLOOKUP('MASQUE COLLABORATEUR'!B602,'Base Matricule Siège'!$B$13:$E$1000,4,FALSE)&lt;'Base Matricule Siège'!$G$5),(VLOOKUP('MASQUE COLLABORATEUR'!B602,'Base Matricule Siège'!$B$13:$E$1000,4,FALSE)),"non")</f>
        <v>#N/A</v>
      </c>
      <c r="L602" s="114" t="s">
        <v>340</v>
      </c>
      <c r="M602" s="115" t="e">
        <f>IF(K602="non","0",VLOOKUP(B602,'Base Matricule Siège'!$B$13:$S$1000,18,FALSE))</f>
        <v>#N/A</v>
      </c>
      <c r="R602" t="s">
        <v>151</v>
      </c>
      <c r="S602" t="s">
        <v>152</v>
      </c>
      <c r="T602" t="s">
        <v>153</v>
      </c>
      <c r="U602" t="s">
        <v>154</v>
      </c>
      <c r="V602" t="s">
        <v>155</v>
      </c>
      <c r="W602" s="59" t="s">
        <v>156</v>
      </c>
      <c r="AB602" t="s">
        <v>11</v>
      </c>
      <c r="AC602" s="14" t="e">
        <f>W627</f>
        <v>#N/A</v>
      </c>
    </row>
    <row r="603" spans="1:29" ht="15.75" hidden="1" outlineLevel="1" thickBot="1" x14ac:dyDescent="0.3">
      <c r="A603" s="49" t="s">
        <v>59</v>
      </c>
      <c r="B603" s="2" t="e">
        <f>VLOOKUP(B602,'Base Matricule Siège'!$B$13:$C$1000,2,FALSE)</f>
        <v>#N/A</v>
      </c>
      <c r="C603" s="2"/>
      <c r="D603" s="2"/>
      <c r="G603" s="57" t="s">
        <v>158</v>
      </c>
      <c r="H603" s="58" t="e">
        <f>VLOOKUP(B602,'Base Matricule Siège'!$B$13:$G$1000,6,FALSE)</f>
        <v>#N/A</v>
      </c>
      <c r="P603" s="10" t="s">
        <v>142</v>
      </c>
      <c r="Q603" s="10" t="s">
        <v>149</v>
      </c>
      <c r="R603">
        <f>IF(F605=Q603,E605,0)+IF(F606=Q603,E606,0)+IF(F607=Q603,E607,0)+IF(Q603=F608,E608,0)+IF(F609=Q603,E609,0)+IF(F610=Q603,E610,0)</f>
        <v>0</v>
      </c>
      <c r="S603">
        <f>IF(M605=Q603,L605,0)+IF(M606=Q603,L606,0)+IF(M607=Q603,L607,0)+IF(Q603=M608,L608,0)+IF(M609=Q603,L609,0)+IF(M610=Q603,L610,0)</f>
        <v>0</v>
      </c>
      <c r="T603">
        <f>IF(F613=Q603,E613,0)+IF(F614=Q603,E614,0)+IF(F615=Q603,E615,0)+IF(Q603=F616,E616,0)+IF(F617=Q603,E617,0)+IF(F618=Q603,E618,0)</f>
        <v>0</v>
      </c>
      <c r="U603">
        <f>IF(M613=Q603,L613,0)+IF(M614=Q603,L614,0)+IF(M615=Q603,L615,0)+IF(Q603=M616,L616,0)+IF(M617=Q603,L617,0)+IF(M618=Q603,L618,0)</f>
        <v>0</v>
      </c>
      <c r="V603">
        <f>IF(F621=Q603,E621,0)+IF(F622=Q603,E622,0)+IF(F623=Q603,E623,0)+IF(Q603=F624,E624,0)+IF(F625=Q603,E625,0)+IF(F626=Q603,E626,0)</f>
        <v>0</v>
      </c>
      <c r="W603" s="63">
        <f>SUM(R603:V603)</f>
        <v>0</v>
      </c>
      <c r="AB603" t="s">
        <v>208</v>
      </c>
      <c r="AC603" s="14">
        <f>SUM(K621:K627)*2</f>
        <v>0</v>
      </c>
    </row>
    <row r="604" spans="1:29" ht="15.75" hidden="1" outlineLevel="1" thickBot="1" x14ac:dyDescent="0.3">
      <c r="A604" s="64" t="str">
        <f>A571</f>
        <v>Semaine 23</v>
      </c>
      <c r="B604" s="65" t="e">
        <f>IF(H603="Cadre","Demi J. Réalisées","H. Réalisées")</f>
        <v>#N/A</v>
      </c>
      <c r="C604" s="65" t="s">
        <v>141</v>
      </c>
      <c r="D604" s="66" t="e">
        <f>IF(H603="Cadre","CP en Demi J.","CP en jours")</f>
        <v>#N/A</v>
      </c>
      <c r="E604" s="66" t="e">
        <f>IF(H603="Cadre","Abs. En Demi J.","Absence en H.")</f>
        <v>#N/A</v>
      </c>
      <c r="F604" s="67" t="s">
        <v>110</v>
      </c>
      <c r="H604" s="64" t="str">
        <f>H571</f>
        <v>Semaine 24</v>
      </c>
      <c r="I604" s="65" t="e">
        <f>B604</f>
        <v>#N/A</v>
      </c>
      <c r="J604" s="65" t="str">
        <f>C604</f>
        <v>Férié</v>
      </c>
      <c r="K604" s="66" t="e">
        <f>D604</f>
        <v>#N/A</v>
      </c>
      <c r="L604" s="66" t="e">
        <f>E604</f>
        <v>#N/A</v>
      </c>
      <c r="M604" s="67" t="str">
        <f>F604</f>
        <v>Type absence</v>
      </c>
      <c r="Q604" s="10" t="s">
        <v>143</v>
      </c>
      <c r="R604">
        <f>IF(F605=Q604,E605,0)+IF(F606=Q604,E606,0)+IF(F607=Q604,E607,0)+IF(Q604=F608,E608,0)+IF(F610=Q604,E609,0)+IF(F609=Q604,E610,0)</f>
        <v>0</v>
      </c>
      <c r="S604">
        <f>IF(M606=Q604,L606,0)+IF(M607=Q604,L607,0)+IF(M608=Q604,L608,0)+IF(Q604=M609,L609,0)+IF(M610=Q604,L610,0)+IF(M605=Q604,L605,0)</f>
        <v>0</v>
      </c>
      <c r="T604">
        <f>IF(F613=Q604,E613,0)+IF(F614=Q604,E614,0)+IF(F615=Q604,E615,0)+IF(Q604=F616,E616,0)+IF(F617=Q604,E617,0)+IF(F618=Q604,E618,0)</f>
        <v>0</v>
      </c>
      <c r="U604">
        <f>IF(M613=Q604,L613,0)+IF(M614=Q604,L614,0)+IF(M615=Q604,L615,0)+IF(Q604=M616,L616,0)+IF(M617=Q604,L617,0)+IF(M618=Q604,L618,0)</f>
        <v>0</v>
      </c>
      <c r="V604">
        <f>IF(F621=Q604,E621,0)+IF(F622=Q604,E622,0)+IF(F623=Q604,E623,0)+IF(Q604=F624,E624,0)+IF(F625=Q604,E625,0)+IF(F626=Q604,E626,0)</f>
        <v>0</v>
      </c>
      <c r="W604" s="63">
        <f t="shared" ref="W604:W616" si="106">SUM(R604:V604)</f>
        <v>0</v>
      </c>
      <c r="AB604" t="s">
        <v>8</v>
      </c>
      <c r="AC604" s="14"/>
    </row>
    <row r="605" spans="1:29" hidden="1" outlineLevel="1" x14ac:dyDescent="0.25">
      <c r="A605" s="68" t="s">
        <v>103</v>
      </c>
      <c r="B605" s="98"/>
      <c r="C605" s="98"/>
      <c r="D605" s="99"/>
      <c r="E605" s="100"/>
      <c r="F605" s="101"/>
      <c r="H605" s="69" t="s">
        <v>103</v>
      </c>
      <c r="I605" s="95"/>
      <c r="J605" s="95"/>
      <c r="K605" s="106"/>
      <c r="L605" s="105"/>
      <c r="M605" s="101"/>
      <c r="Q605" s="10" t="s">
        <v>144</v>
      </c>
      <c r="R605">
        <f>IF(F607=Q605,E607,0)+IF(F608=Q605,E608,0)+IF(F609=Q605,E609,0)+IF(Q605=F610,E610,0)+IF(F605=Q605,E605,0)+IF(F606=Q605,E606,0)</f>
        <v>0</v>
      </c>
      <c r="S605">
        <f>IF(M607=Q605,L607,0)+IF(M608=Q605,L608,0)+IF(M609=Q605,L609,0)+IF(Q605=M610,L610,0)+IF(M605=Q605,L605,0)+IF(M606=Q605,L606,0)</f>
        <v>0</v>
      </c>
      <c r="T605">
        <f>IF(F613=Q605,E613,0)+IF(F614=Q605,E614,0)+IF(F615=Q605,E615,0)+IF(Q605=F616,E616,0)+IF(F617=Q605,E617,0)+IF(F618=Q605,E618,0)</f>
        <v>0</v>
      </c>
      <c r="U605">
        <f>IF(M613=Q605,L613,0)+IF(M614=Q605,L614,0)+IF(M615=Q605,L615,0)+IF(Q605=M616,L616,0)+IF(M617=Q605,L617,0)+IF(M618=Q605,L618,0)</f>
        <v>0</v>
      </c>
      <c r="V605">
        <f>IF(F621=Q605,E621,0)+IF(F622=Q605,E622,0)+IF(F623=Q605,E623,0)+IF(Q605=F624,E624,0)+IF(F625=Q605,E625,0)+IF(F626=Q605,E626,0)</f>
        <v>0</v>
      </c>
      <c r="W605" s="63">
        <f t="shared" si="106"/>
        <v>0</v>
      </c>
      <c r="AB605" t="s">
        <v>209</v>
      </c>
      <c r="AC605" s="14">
        <f>W605</f>
        <v>0</v>
      </c>
    </row>
    <row r="606" spans="1:29" hidden="1" outlineLevel="1" x14ac:dyDescent="0.25">
      <c r="A606" s="69" t="s">
        <v>104</v>
      </c>
      <c r="B606" s="96"/>
      <c r="C606" s="96"/>
      <c r="D606" s="102"/>
      <c r="E606" s="103"/>
      <c r="F606" s="38"/>
      <c r="H606" s="69" t="s">
        <v>104</v>
      </c>
      <c r="I606" s="96"/>
      <c r="J606" s="96"/>
      <c r="K606" s="102"/>
      <c r="L606" s="103"/>
      <c r="M606" s="38"/>
      <c r="Q606" s="10" t="s">
        <v>145</v>
      </c>
      <c r="R606">
        <f>IF(F608=Q606,E608,0)+IF(F609=Q606,E609,0)+IF(F610=Q606,E610,0)+IF(Q606=F605,E605,0)+IF(F606=Q606,E606,0)+IF(F607=Q606,E607,0)</f>
        <v>0</v>
      </c>
      <c r="S606">
        <f>IF(M608=Q606,L608,0)+IF(M609=Q606,L609,0)+IF(M610=Q606,L610,0)+IF(Q606=M605,L605,0)+IF(M606=Q606,L606,0)+IF(M607=Q606,L607,0)</f>
        <v>0</v>
      </c>
      <c r="T606">
        <f>IF(F613=Q606,$E613,0)+IF(F614=Q606,E614,0)+IF(F615=Q606,E615,0)+IF(Q606=F616,E616,0)+IF(F617=Q606,E617,0)+IF(F618=Q606,E618,0)</f>
        <v>0</v>
      </c>
      <c r="U606">
        <f>IF(M613=Q606,L613,0)+IF(M614=Q606,L614,0)+IF(M615=Q606,L615,0)+IF(Q606=M616,L616,0)+IF(M617=Q606,L617,0)+IF(M618=Q606,L618,0)</f>
        <v>0</v>
      </c>
      <c r="V606">
        <f>IF(F621=Q606,E621,0)+IF(F622=Q606,E622,0)+IF(F623=Q606,E623,0)+IF(Q606=F624,E624,0)+IF(F625=Q606,E625,0)+IF(F626=Q606,E626,0)</f>
        <v>0</v>
      </c>
      <c r="W606" s="63">
        <f t="shared" si="106"/>
        <v>0</v>
      </c>
      <c r="AB606" t="s">
        <v>210</v>
      </c>
      <c r="AC606" s="14">
        <f>SUM(W603:W616)-W605</f>
        <v>0</v>
      </c>
    </row>
    <row r="607" spans="1:29" hidden="1" outlineLevel="1" x14ac:dyDescent="0.25">
      <c r="A607" s="69" t="s">
        <v>105</v>
      </c>
      <c r="B607" s="96"/>
      <c r="C607" s="96"/>
      <c r="D607" s="102"/>
      <c r="E607" s="103"/>
      <c r="F607" s="38"/>
      <c r="H607" s="69" t="s">
        <v>105</v>
      </c>
      <c r="I607" s="96"/>
      <c r="J607" s="96"/>
      <c r="K607" s="102"/>
      <c r="L607" s="103"/>
      <c r="M607" s="38"/>
      <c r="Q607" s="10" t="s">
        <v>212</v>
      </c>
      <c r="R607">
        <f>IF(F609=Q607,E609,0)+IF(F610=Q607,E610,0)+IF(F605=Q607,E605,0)+IF(Q607=F606,E606,0)+IF(F607=Q607,E607,0)+IF(F608=Q607,E608,0)</f>
        <v>0</v>
      </c>
      <c r="S607">
        <f>IF(M608=Q607,L608,0)+IF(M609=Q607,L609,0)+IF(M610=Q607,L610,0)+IF(Q607=M605,L605,0)+IF(M606=Q607,L606,0)+IF(M607=Q607,L607,0)</f>
        <v>0</v>
      </c>
      <c r="T607">
        <f>IF(F613=Q607,E613,0)+IF(F614=Q607,E614,0)+IF(F615=Q607,E615,0)+IF(Q607=F616,E616,0)+IF(F617=Q607,E617,0)+IF(F618=Q607,E618,0)</f>
        <v>0</v>
      </c>
      <c r="U607">
        <f>IF(M613=Q607,L613,0)+IF(M614=Q607,L614,0)+IF(M615=Q607,L615,0)+IF(Q607=M616,L616,0)+IF(M617=Q607,L617,0)+IF(M618=Q607,L618,0)</f>
        <v>0</v>
      </c>
      <c r="V607">
        <f>IF(F621=Q607,E621,0)+IF(F622=Q607,E622,0)+IF(F623=Q607,E623,0)+IF(Q607=F624,E624,0)+IF(F625=Q607,E625,0)+IF(F626=Q607,E626,0)</f>
        <v>0</v>
      </c>
      <c r="W607" s="63">
        <f t="shared" si="106"/>
        <v>0</v>
      </c>
      <c r="AA607" t="s">
        <v>214</v>
      </c>
      <c r="AB607" t="s">
        <v>213</v>
      </c>
      <c r="AC607" s="14" t="e">
        <f>IF(AC600="Cadre",(W607/2),(W607/7))</f>
        <v>#N/A</v>
      </c>
    </row>
    <row r="608" spans="1:29" hidden="1" outlineLevel="1" x14ac:dyDescent="0.25">
      <c r="A608" s="69" t="s">
        <v>106</v>
      </c>
      <c r="B608" s="96"/>
      <c r="C608" s="96"/>
      <c r="D608" s="102"/>
      <c r="E608" s="103"/>
      <c r="F608" s="38"/>
      <c r="H608" s="69" t="s">
        <v>106</v>
      </c>
      <c r="I608" s="96"/>
      <c r="J608" s="96"/>
      <c r="K608" s="102"/>
      <c r="L608" s="103"/>
      <c r="M608" s="38"/>
      <c r="Q608" s="10" t="s">
        <v>146</v>
      </c>
      <c r="R608">
        <f>IF(F610=Q608,E610,0)+IF(F605=Q608,E605,0)+IF(F606=Q608,E606,0)+IF(Q608=F607,E607,0)+IF(F608=Q608,E608,0)+IF(F609=Q608,E609,0)</f>
        <v>0</v>
      </c>
      <c r="S608">
        <f>IF(M608=Q608,L608,0)+IF(M609=Q608,L609,0)+IF(M610=Q608,L610,0)+IF(Q608=M605,$L$11,0)+IF(M606=Q608,L606,0)+IF(M607=Q608,L607,0)</f>
        <v>0</v>
      </c>
      <c r="T608">
        <f>IF(F613=Q608,E613,0)+IF(F614=Q608,E614,0)+IF(F615=Q608,E615,0)+IF(Q608=F616,E616,0)+IF(F617=Q608,E617,0)+IF(F618=Q608,E618,0)</f>
        <v>0</v>
      </c>
      <c r="U608">
        <f>IF(M613=Q608,L613,0)+IF(M614=Q608,L614,0)+IF(M615=Q608,L615,0)+IF(Q608=M616,L616,0)+IF(M617=Q608,L617,0)+IF(M618=Q608,L618,0)</f>
        <v>0</v>
      </c>
      <c r="V608">
        <f>IF(F621=Q608,E621,0)+IF(F622=Q608,E622,0)+IF(F623=Q608,E623,0)+IF(Q608=F624,E624,0)+IF(F625=Q608,E625,0)+IF(F626=Q608,E626,0)</f>
        <v>0</v>
      </c>
      <c r="W608" s="63">
        <f t="shared" si="106"/>
        <v>0</v>
      </c>
      <c r="AA608" t="s">
        <v>216</v>
      </c>
      <c r="AB608" t="s">
        <v>217</v>
      </c>
      <c r="AC608" s="14" t="e">
        <f>W620+W621</f>
        <v>#N/A</v>
      </c>
    </row>
    <row r="609" spans="1:29" hidden="1" outlineLevel="1" x14ac:dyDescent="0.25">
      <c r="A609" s="69" t="s">
        <v>107</v>
      </c>
      <c r="B609" s="96"/>
      <c r="C609" s="96"/>
      <c r="D609" s="102"/>
      <c r="E609" s="103"/>
      <c r="F609" s="38"/>
      <c r="H609" s="69" t="s">
        <v>107</v>
      </c>
      <c r="I609" s="96"/>
      <c r="J609" s="96"/>
      <c r="K609" s="102"/>
      <c r="L609" s="103"/>
      <c r="M609" s="38"/>
      <c r="Q609" s="10" t="s">
        <v>499</v>
      </c>
      <c r="R609">
        <f>IF(F605=Q609,E605,0)+IF(F606=Q609,E606,0)+IF(F607=Q609,E607,0)+IF(Q609=F608,E608,0)+IF(F609=Q609,E609,0)+IF(F610=Q609,E610,0)</f>
        <v>0</v>
      </c>
      <c r="S609">
        <f>IF(M608=Q609,L608,0)+IF(M609=Q609,L609,0)+IF(M610=Q609,L610,0)+IF(Q609=M605,L605,0)+IF(M606=Q609,L606,0)+IF(M607=Q609,L607,0)</f>
        <v>0</v>
      </c>
      <c r="T609">
        <f>IF(F613=Q609,E613,0)+IF(F614=Q609,E614,0)+IF(F615=Q609,E615,0)+IF(Q609=F616,E616,0)+IF(F617=Q609,E617,0)+IF(F618=Q609,E618,0)</f>
        <v>0</v>
      </c>
      <c r="U609">
        <f>IF(M613=Q609,L613,0)+IF(M614=Q609,L614,0)+IF(M615=Q609,L615,0)+IF(Q609=M616,L616,0)+IF(M617=Q609,L617,0)+IF(M618=Q609,L618,0)</f>
        <v>0</v>
      </c>
      <c r="V609">
        <f>IF(F621=Q609,E621,0)+IF(F622=Q609,E622,0)+IF(F623=Q609,E623,0)+IF(Q609=F624,E624,0)+IF(F625=Q609,E625,0)+IF(F626=Q609,E626,0)</f>
        <v>0</v>
      </c>
      <c r="W609" s="63">
        <f t="shared" si="106"/>
        <v>0</v>
      </c>
      <c r="AA609" t="s">
        <v>218</v>
      </c>
      <c r="AB609" t="s">
        <v>219</v>
      </c>
      <c r="AC609" s="14" t="e">
        <f>W619</f>
        <v>#N/A</v>
      </c>
    </row>
    <row r="610" spans="1:29" hidden="1" outlineLevel="1" x14ac:dyDescent="0.25">
      <c r="A610" s="69" t="s">
        <v>108</v>
      </c>
      <c r="B610" s="96"/>
      <c r="C610" s="96"/>
      <c r="D610" s="102"/>
      <c r="E610" s="103"/>
      <c r="F610" s="38"/>
      <c r="H610" s="69" t="s">
        <v>108</v>
      </c>
      <c r="I610" s="96"/>
      <c r="J610" s="96"/>
      <c r="K610" s="102"/>
      <c r="L610" s="103"/>
      <c r="M610" s="38"/>
      <c r="Q610" s="10" t="s">
        <v>147</v>
      </c>
      <c r="R610">
        <f>IF(F606=Q610,E606,0)+IF(F607=Q610,E607,0)+IF(F608=Q610,E608,0)+IF(Q610=F609,E609,0)+IF(F610=Q610,E610,0)+IF(F605=Q610,E605,0)</f>
        <v>0</v>
      </c>
      <c r="S610">
        <f>IF(M608=Q610,L608,0)+IF(M609=Q610,L609,0)+IF(M610=Q610,L610,0)+IF(Q610=M605,L605,0)+IF(M606=Q610,L606,0)+IF(M607=Q610,L607,0)</f>
        <v>0</v>
      </c>
      <c r="T610">
        <f>IF(F613=Q610,E613,0)+IF(F614=Q610,E614,0)+IF(F615=Q610,E615,0)+IF(Q610=F616,E616,0)+IF(F617=Q610,E617,0)+IF(F618=Q610,E618,0)</f>
        <v>0</v>
      </c>
      <c r="U610">
        <f>IF(M613=Q610,L613,0)+IF(M614=Q610,L614,0)+IF(M615=Q610,L615,0)+IF(Q610=M616,L616,0)+IF(M617=Q610,L617,0)+IF(M618=Q610,L618,0)</f>
        <v>0</v>
      </c>
      <c r="V610">
        <f>IF(F621=Q610,E621,0)+IF(F622=Q610,E622,0)+IF(F623=Q610,E623,0)+IF(Q610=F624,E624,0)+IF(F625=Q610,E625,0)+IF(F626=Q610,E626,0)</f>
        <v>0</v>
      </c>
      <c r="W610" s="63">
        <f t="shared" si="106"/>
        <v>0</v>
      </c>
      <c r="AA610" t="s">
        <v>166</v>
      </c>
      <c r="AB610" t="s">
        <v>220</v>
      </c>
      <c r="AC610" s="14" t="e">
        <f>W624</f>
        <v>#N/A</v>
      </c>
    </row>
    <row r="611" spans="1:29" ht="15.75" hidden="1" outlineLevel="1" thickBot="1" x14ac:dyDescent="0.3">
      <c r="A611" s="70" t="s">
        <v>109</v>
      </c>
      <c r="B611" s="97"/>
      <c r="C611" s="97"/>
      <c r="D611" s="71"/>
      <c r="E611" s="104"/>
      <c r="F611" s="38"/>
      <c r="H611" s="70" t="s">
        <v>109</v>
      </c>
      <c r="I611" s="97"/>
      <c r="J611" s="97"/>
      <c r="K611" s="71"/>
      <c r="L611" s="104"/>
      <c r="M611" s="38"/>
      <c r="Q611" s="10" t="s">
        <v>500</v>
      </c>
      <c r="R611">
        <f>IF(F607=Q611,E607,0)+IF(F608=Q611,E608,0)+IF(F609=Q611,E609,0)+IF(Q611=F610,E610,0)+IF(F605=Q611,E605,0)+IF(F606=Q611,E606,0)</f>
        <v>0</v>
      </c>
      <c r="S611">
        <f>IF(M608=Q611,L608,0)+IF(M609=Q611,L609,0)+IF(M610=Q611,L610,0)+IF(Q611=M605,L605,0)+IF(M606=Q611,L606,0)+IF(M607=Q611,L607,0)</f>
        <v>0</v>
      </c>
      <c r="T611">
        <f>IF(F613=Q611,E613,0)+IF(F614=Q611,E614,0)+IF(F615=Q611,E615,0)+IF(Q611=F616,E616,0)+IF(F617=Q611,E617,0)+IF(F618=Q611,E618,0)</f>
        <v>0</v>
      </c>
      <c r="U611">
        <f>IF(M613=Q611,L613,0)+IF(M614=Q611,L614,0)+IF(M615=Q611,L615,0)+IF(Q611=M616,L616,0)+IF(M617=Q611,L617,0)+IF(M618=Q611,L618,0)</f>
        <v>0</v>
      </c>
      <c r="V611">
        <f>IF(F621=Q611,E621,0)+IF(F622=Q611,E622,0)+IF(F623=Q611,E623,0)+IF(Q611=F624,E624,0)+IF(F625=Q611,E625,0)+IF(F626=Q611,E626,0)</f>
        <v>0</v>
      </c>
      <c r="W611" s="63">
        <f t="shared" si="106"/>
        <v>0</v>
      </c>
      <c r="AA611" t="s">
        <v>222</v>
      </c>
      <c r="AB611" t="s">
        <v>220</v>
      </c>
      <c r="AC611" s="14" t="e">
        <f>W625</f>
        <v>#N/A</v>
      </c>
    </row>
    <row r="612" spans="1:29" ht="15.75" hidden="1" outlineLevel="1" thickBot="1" x14ac:dyDescent="0.3">
      <c r="A612" s="64" t="str">
        <f>A579</f>
        <v>Ne pas saisir</v>
      </c>
      <c r="B612" s="65" t="e">
        <f>B604</f>
        <v>#N/A</v>
      </c>
      <c r="C612" s="65" t="str">
        <f>C604</f>
        <v>Férié</v>
      </c>
      <c r="D612" s="66" t="e">
        <f>D604</f>
        <v>#N/A</v>
      </c>
      <c r="E612" s="66" t="e">
        <f>E604</f>
        <v>#N/A</v>
      </c>
      <c r="F612" s="67" t="str">
        <f>F604</f>
        <v>Type absence</v>
      </c>
      <c r="H612" s="64" t="str">
        <f>H579</f>
        <v>Ne pas saisir</v>
      </c>
      <c r="I612" s="65" t="e">
        <f>B604</f>
        <v>#N/A</v>
      </c>
      <c r="J612" s="65" t="str">
        <f>C604</f>
        <v>Férié</v>
      </c>
      <c r="K612" s="66" t="e">
        <f>D604</f>
        <v>#N/A</v>
      </c>
      <c r="L612" s="66" t="e">
        <f>E604</f>
        <v>#N/A</v>
      </c>
      <c r="M612" s="67" t="str">
        <f>F604</f>
        <v>Type absence</v>
      </c>
      <c r="Q612" s="10" t="s">
        <v>148</v>
      </c>
      <c r="R612">
        <f>IF(F608=Q612,E608,0)+IF(F609=Q612,E609,0)+IF(F610=Q612,E610,0)+IF(Q612=F605,E605,0)+IF(F606=Q612,E606,0)+IF(F607=Q612,E607,0)</f>
        <v>0</v>
      </c>
      <c r="S612">
        <f>IF(M608=Q612,L608,0)+IF(M609=Q612,L609,0)+IF(M610=Q612,L610,0)+IF(Q612=M605,L605,0)+IF(M606=Q612,L606,0)+IF(M607=Q612,L607,0)</f>
        <v>0</v>
      </c>
      <c r="T612">
        <f>IF(F613=Q612,E613,0)+IF(F614=Q612,E614,0)+IF(F615=Q612,E615,0)+IF(Q612=F616,E616,0)+IF(F617=Q612,E617,0)+IF(F618=Q612,E618,0)</f>
        <v>0</v>
      </c>
      <c r="U612">
        <f>IF(M613=Q612,L613,0)+IF(M614=Q612,L614,0)+IF(M615=Q612,L615,0)+IF(Q612=M616,L616,0)+IF(M617=Q612,L617,0)+IF(M618=Q612,L618,0)</f>
        <v>0</v>
      </c>
      <c r="V612">
        <f>IF(F621=Q612,E621,0)+IF(F622=Q612,E622,0)+IF(F623=Q612,E623,0)+IF(Q612=F624,E624,0)+IF(F625=Q612,E625,0)+IF(F626=Q612,E626,0)</f>
        <v>0</v>
      </c>
      <c r="W612" s="63">
        <f t="shared" si="106"/>
        <v>0</v>
      </c>
      <c r="AA612" t="s">
        <v>223</v>
      </c>
      <c r="AB612" t="s">
        <v>224</v>
      </c>
      <c r="AC612" s="14" t="e">
        <f>W623</f>
        <v>#N/A</v>
      </c>
    </row>
    <row r="613" spans="1:29" hidden="1" outlineLevel="1" x14ac:dyDescent="0.25">
      <c r="A613" s="69" t="s">
        <v>103</v>
      </c>
      <c r="B613" s="95"/>
      <c r="C613" s="95"/>
      <c r="D613" s="106"/>
      <c r="E613" s="105"/>
      <c r="F613" s="101"/>
      <c r="H613" s="69" t="s">
        <v>103</v>
      </c>
      <c r="I613" s="95"/>
      <c r="J613" s="95"/>
      <c r="K613" s="106"/>
      <c r="L613" s="105"/>
      <c r="M613" s="101"/>
      <c r="Q613" s="10" t="s">
        <v>150</v>
      </c>
      <c r="R613">
        <f>IF(F609=Q613,E609,0)+IF(F610=Q613,E610,0)+IF(F605=Q613,E605,0)+IF(Q613=F606,E606,0)+IF(F607=Q613,E607,0)+IF(F608=Q613,E608,0)</f>
        <v>0</v>
      </c>
      <c r="S613">
        <f>IF(M608=Q613,L608,0)+IF(M609=Q613,L609,0)+IF(M610=Q613,L610,0)+IF(Q613=M605,L605,0)+IF(M606=Q613,L606,0)+IF(M607=Q613,L607,0)</f>
        <v>0</v>
      </c>
      <c r="T613">
        <f>IF(F613=Q613,E613,0)+IF(F614=Q613,E614,0)+IF(F615=Q613,E615,0)+IF(Q613=F616,E616,0)+IF(F617=Q613,E617,0)+IF(F618=Q613,E618,0)</f>
        <v>0</v>
      </c>
      <c r="U613">
        <f>IF(M613=Q613,L613,0)+IF(M614=Q613,L614,0)+IF(M615=Q613,L615,0)+IF(Q613=M616,L616,0)+IF(M617=Q613,L617,0)+IF(M618=Q613,L618,0)</f>
        <v>0</v>
      </c>
      <c r="V613">
        <f>IF(F621=Q613,E621,0)+IF(F622=Q613,E622,0)+IF(F623=Q613,E623,0)+IF(Q613=F624,E624,0)+IF(F625=Q613,E625,0)+IF(F626=Q613,E626,0)</f>
        <v>0</v>
      </c>
      <c r="W613" s="63">
        <f t="shared" si="106"/>
        <v>0</v>
      </c>
      <c r="AB613" t="s">
        <v>267</v>
      </c>
      <c r="AC613">
        <f>(SUM(B605:B611))</f>
        <v>0</v>
      </c>
    </row>
    <row r="614" spans="1:29" hidden="1" outlineLevel="1" x14ac:dyDescent="0.25">
      <c r="A614" s="69" t="s">
        <v>104</v>
      </c>
      <c r="B614" s="96"/>
      <c r="C614" s="96"/>
      <c r="D614" s="102"/>
      <c r="E614" s="103"/>
      <c r="F614" s="38"/>
      <c r="H614" s="69" t="s">
        <v>104</v>
      </c>
      <c r="I614" s="96"/>
      <c r="J614" s="96"/>
      <c r="K614" s="102"/>
      <c r="L614" s="103"/>
      <c r="M614" s="38"/>
      <c r="Q614" s="10" t="s">
        <v>502</v>
      </c>
      <c r="R614">
        <f>IF(F610=Q614,E610,0)+IF(F605=Q614,E605,0)+IF(F606=Q614,E606,0)+IF(Q614=F607,E607,0)+IF(F608=Q614,E608,0)+IF(F609=Q614,E609,0)</f>
        <v>0</v>
      </c>
      <c r="S614">
        <f>IF(M608=Q614,L608,0)+IF(M609=Q614,L609,0)+IF(M610=Q614,L610,0)+IF(Q614=M605,L605,0)+IF(M606=Q614,L606,0)+IF(M607=Q614,L607,0)</f>
        <v>0</v>
      </c>
      <c r="T614">
        <f>IF(F613=Q614,E613,0)+IF(F614=Q614,E614,0)+IF(F615=Q614,E615,0)+IF(Q614=F616,E616,0)+IF(F617=Q614,E617,0)+IF(F618=Q614,E618,0)</f>
        <v>0</v>
      </c>
      <c r="U614">
        <f>IF(M613=Q614,L613,0)+IF(M614=Q614,L614,0)+IF(M615=Q614,L615,0)+IF(Q614=M616,L616,0)+IF(M617=Q614,L617,0)+IF(M618=Q614,L618,0)</f>
        <v>0</v>
      </c>
      <c r="V614">
        <f>IF(F621=Q614,E621,0)+IF(F622=Q614,E622,0)+IF(F623=Q614,E623,0)+IF(Q614=F624,E624,0)+IF(F625=Q614,E625,0)+IF(F626=Q614,E626,0)</f>
        <v>0</v>
      </c>
      <c r="W614" s="63">
        <f t="shared" si="106"/>
        <v>0</v>
      </c>
      <c r="AB614" t="s">
        <v>268</v>
      </c>
      <c r="AC614">
        <f>(SUM(I605:I611))</f>
        <v>0</v>
      </c>
    </row>
    <row r="615" spans="1:29" hidden="1" outlineLevel="1" x14ac:dyDescent="0.25">
      <c r="A615" s="69" t="s">
        <v>105</v>
      </c>
      <c r="B615" s="96"/>
      <c r="C615" s="96"/>
      <c r="D615" s="102"/>
      <c r="E615" s="103"/>
      <c r="F615" s="38"/>
      <c r="H615" s="69" t="s">
        <v>105</v>
      </c>
      <c r="I615" s="96"/>
      <c r="J615" s="96"/>
      <c r="K615" s="102"/>
      <c r="L615" s="103"/>
      <c r="M615" s="38"/>
      <c r="Q615" s="10" t="s">
        <v>498</v>
      </c>
      <c r="R615">
        <f>IF(F605=Q615,E605,0)+IF(F606=Q615,E606,0)+IF(F607=Q615,E607,0)+IF(Q615=F608,E608,0)+IF(F609=Q615,E609,0)+IF(F610=Q615,E610,0)</f>
        <v>0</v>
      </c>
      <c r="S615">
        <f>IF(M608=Q615,L608,0)+IF(M609=Q615,L609,0)+IF(M610=Q615,L610,0)+IF(Q615=M605,L605,0)+IF(M606=Q615,L606,0)+IF(M607=Q615,L607,0)</f>
        <v>0</v>
      </c>
      <c r="T615">
        <f>IF(F613=Q615,E613,0)+IF(F614=Q615,E614,0)+IF(F615=Q615,E615,0)+IF(Q615=F616,E616,0)+IF(F617=Q615,E617,0)+IF(F618=Q615,E618,0)</f>
        <v>0</v>
      </c>
      <c r="U615">
        <f>IF(M613=Q615,L613,0)+IF(M614=Q615,L614,0)+IF(M615=Q615,L615,0)+IF(Q615=M616,L616,0)+IF(M617=Q615,L617,0)+IF(M618=Q615,L618,0)</f>
        <v>0</v>
      </c>
      <c r="V615">
        <f>IF(F621=Q615,E621,0)+IF(F622=Q615,E622,0)+IF(F623=Q615,E623,0)+IF(Q615=F624,E624,0)+IF(F625=Q615,E625,0)+IF(F626=Q615,E626,0)</f>
        <v>0</v>
      </c>
      <c r="W615" s="63">
        <f t="shared" si="106"/>
        <v>0</v>
      </c>
      <c r="AB615" t="s">
        <v>269</v>
      </c>
      <c r="AC615">
        <f>(SUM(B613:B619))</f>
        <v>0</v>
      </c>
    </row>
    <row r="616" spans="1:29" hidden="1" outlineLevel="1" x14ac:dyDescent="0.25">
      <c r="A616" s="69" t="s">
        <v>106</v>
      </c>
      <c r="B616" s="96"/>
      <c r="C616" s="96"/>
      <c r="D616" s="102"/>
      <c r="E616" s="103"/>
      <c r="F616" s="38"/>
      <c r="H616" s="69" t="s">
        <v>106</v>
      </c>
      <c r="I616" s="96"/>
      <c r="J616" s="96"/>
      <c r="K616" s="102"/>
      <c r="L616" s="103"/>
      <c r="M616" s="38"/>
      <c r="P616" s="72"/>
      <c r="Q616" s="73" t="s">
        <v>501</v>
      </c>
      <c r="R616" s="72">
        <f>IF(F606=Q616,E606,0)+IF(F607=Q616,E607,0)+IF(F608=Q616,E608,0)+IF(Q616=F609,E609,0)+IF(F610=Q616,E610,0)+IF(F605=Q616,E605,0)</f>
        <v>0</v>
      </c>
      <c r="S616" s="72">
        <f>IF(M608=Q616,L608,0)+IF(M609=Q616,L609,0)+IF(M610=Q616,L610,0)+IF(Q616=M605,L605,0)+IF(M606=Q616,L606,0)+IF(M607=Q616,L607,0)</f>
        <v>0</v>
      </c>
      <c r="T616" s="72">
        <f>IF(F613=Q616,E613,0)+IF(F614=Q616,E614,0)+IF(F615=Q616,E615,0)+IF(Q616=F616,E616,0)+IF(F617=Q616,E617,0)+IF(F618=Q616,E618,0)</f>
        <v>0</v>
      </c>
      <c r="U616" s="72">
        <f>IF(M613=Q616,L613,0)+IF(M614=Q616,L614,0)+IF(M615=Q616,L615,0)+IF(Q616=M616,L616,0)+IF(M617=Q616,L617,0)+IF(M618=Q616,L618,0)</f>
        <v>0</v>
      </c>
      <c r="V616" s="72">
        <f>IF(F621=Q616,E621,0)+IF(F622=Q616,E622,0)+IF(F623=Q616,E623,0)+IF(Q616=F624,E624,0)+IF(F625=Q616,E625,0)+IF(F626=Q616,E626,0)</f>
        <v>0</v>
      </c>
      <c r="W616" s="74">
        <f t="shared" si="106"/>
        <v>0</v>
      </c>
      <c r="AB616" t="s">
        <v>270</v>
      </c>
      <c r="AC616">
        <f>(SUM(I613:I619))</f>
        <v>0</v>
      </c>
    </row>
    <row r="617" spans="1:29" hidden="1" outlineLevel="1" x14ac:dyDescent="0.25">
      <c r="A617" s="69" t="s">
        <v>107</v>
      </c>
      <c r="B617" s="96"/>
      <c r="C617" s="96"/>
      <c r="D617" s="102"/>
      <c r="E617" s="103"/>
      <c r="F617" s="38"/>
      <c r="H617" s="69" t="s">
        <v>107</v>
      </c>
      <c r="I617" s="96"/>
      <c r="J617" s="96"/>
      <c r="K617" s="102"/>
      <c r="L617" s="103"/>
      <c r="M617" s="38"/>
      <c r="Q617" s="75" t="s">
        <v>169</v>
      </c>
      <c r="R617" s="2" t="e">
        <f>IF(M602="Règlement HC",K602*10%,0)</f>
        <v>#N/A</v>
      </c>
      <c r="S617" s="2" t="e">
        <f>IF(M602="Règlement HC",K602*10%,0)</f>
        <v>#N/A</v>
      </c>
      <c r="T617" s="2" t="e">
        <f>IF(M602="Règlement HC",K602*10%,0)</f>
        <v>#N/A</v>
      </c>
      <c r="U617" s="2" t="e">
        <f>IF(M602="Règlement HC",K602*10%,0)</f>
        <v>#N/A</v>
      </c>
      <c r="V617" s="2" t="e">
        <f>IF(M602="Règlement HC",K602*10%,0)</f>
        <v>#N/A</v>
      </c>
      <c r="W617" s="76"/>
      <c r="AB617" t="s">
        <v>271</v>
      </c>
      <c r="AC617">
        <f>(SUM(B621:B627))</f>
        <v>0</v>
      </c>
    </row>
    <row r="618" spans="1:29" hidden="1" outlineLevel="1" x14ac:dyDescent="0.25">
      <c r="A618" s="69" t="s">
        <v>108</v>
      </c>
      <c r="B618" s="96"/>
      <c r="C618" s="96"/>
      <c r="D618" s="102"/>
      <c r="E618" s="103"/>
      <c r="F618" s="38"/>
      <c r="H618" s="69" t="s">
        <v>108</v>
      </c>
      <c r="I618" s="96"/>
      <c r="J618" s="96"/>
      <c r="K618" s="102"/>
      <c r="L618" s="103"/>
      <c r="M618" s="38"/>
      <c r="Q618" s="75" t="s">
        <v>175</v>
      </c>
      <c r="R618" s="2" t="e">
        <f>IF(M602="Règlement HC",SUM(B605:B611)-K602,0)</f>
        <v>#N/A</v>
      </c>
      <c r="S618" s="2" t="e">
        <f>IF(M602="Règlement HC",SUM(I605:I611)-K602,0)</f>
        <v>#N/A</v>
      </c>
      <c r="T618" s="2" t="e">
        <f>IF(M602="Règlement HC",SUM(B613:B619)-K602,0)</f>
        <v>#N/A</v>
      </c>
      <c r="U618" s="2" t="e">
        <f>IF(M602="Règlement HC",SUM(I613:I619)-K602,0)</f>
        <v>#N/A</v>
      </c>
      <c r="V618" s="2" t="e">
        <f>IF(M602="Règlement HC",SUM(B621:B627)-K602,0)</f>
        <v>#N/A</v>
      </c>
      <c r="W618" s="63" t="e">
        <f>SUM((IF(R618&gt;0,R618,0)+(IF(S618&gt;0,S618,0)+(IF(T618&gt;0,T618,0)+(IF(U618&gt;0,U618,0)+(IF(V618&gt;0,V618,0)))))))</f>
        <v>#N/A</v>
      </c>
      <c r="AA618" t="s">
        <v>313</v>
      </c>
      <c r="AB618" t="s">
        <v>314</v>
      </c>
      <c r="AC618" t="e">
        <f>W622</f>
        <v>#N/A</v>
      </c>
    </row>
    <row r="619" spans="1:29" ht="15.75" hidden="1" outlineLevel="1" thickBot="1" x14ac:dyDescent="0.3">
      <c r="A619" s="70" t="s">
        <v>109</v>
      </c>
      <c r="B619" s="97"/>
      <c r="C619" s="97"/>
      <c r="D619" s="71"/>
      <c r="E619" s="104"/>
      <c r="F619" s="38"/>
      <c r="H619" s="70" t="s">
        <v>109</v>
      </c>
      <c r="I619" s="97"/>
      <c r="J619" s="97"/>
      <c r="K619" s="71"/>
      <c r="L619" s="104"/>
      <c r="M619" s="39"/>
      <c r="P619" t="s">
        <v>170</v>
      </c>
      <c r="Q619" s="10" t="s">
        <v>162</v>
      </c>
      <c r="R619" t="e">
        <f>IF(R618&gt;=R617,R617,R618)</f>
        <v>#N/A</v>
      </c>
      <c r="S619" t="e">
        <f>IF(S618&gt;=S617,S617,S618)</f>
        <v>#N/A</v>
      </c>
      <c r="T619" t="e">
        <f>IF(T618&gt;=T617,T617,T618)</f>
        <v>#N/A</v>
      </c>
      <c r="U619" t="e">
        <f>IF(U618&gt;=U617,U617,U618)</f>
        <v>#N/A</v>
      </c>
      <c r="V619" t="e">
        <f>IF(V618&gt;=V617,V617,V618)</f>
        <v>#N/A</v>
      </c>
      <c r="W619" s="63" t="e">
        <f>SUM((IF(R619&gt;0,R619,0)+(IF(S619&gt;0,S619,0)+(IF(T619&gt;0,T619,0)+(IF(U619&gt;0,U619,0)+(IF(V619&gt;0,V619,0)))))))</f>
        <v>#N/A</v>
      </c>
    </row>
    <row r="620" spans="1:29" ht="15.75" hidden="1" outlineLevel="1" thickBot="1" x14ac:dyDescent="0.3">
      <c r="A620" s="64" t="str">
        <f>A587</f>
        <v>Ne pas saisir</v>
      </c>
      <c r="B620" s="65" t="e">
        <f>B604</f>
        <v>#N/A</v>
      </c>
      <c r="C620" s="65" t="str">
        <f>C604</f>
        <v>Férié</v>
      </c>
      <c r="D620" s="66" t="e">
        <f>D604</f>
        <v>#N/A</v>
      </c>
      <c r="E620" s="66" t="e">
        <f>E604</f>
        <v>#N/A</v>
      </c>
      <c r="F620" s="67" t="str">
        <f>F604</f>
        <v>Type absence</v>
      </c>
      <c r="H620" s="77" t="s">
        <v>136</v>
      </c>
      <c r="I620" s="78" t="e">
        <f>B604</f>
        <v>#N/A</v>
      </c>
      <c r="J620" s="78" t="str">
        <f>C604</f>
        <v>Férié</v>
      </c>
      <c r="K620" s="79" t="e">
        <f>D604</f>
        <v>#N/A</v>
      </c>
      <c r="L620" s="80" t="e">
        <f>E604</f>
        <v>#N/A</v>
      </c>
      <c r="M620" s="49"/>
      <c r="P620" t="s">
        <v>170</v>
      </c>
      <c r="Q620" s="10" t="s">
        <v>163</v>
      </c>
      <c r="R620" t="e">
        <f>R618-R619</f>
        <v>#N/A</v>
      </c>
      <c r="S620" t="e">
        <f>S618-S619</f>
        <v>#N/A</v>
      </c>
      <c r="T620" t="e">
        <f>T618-T619</f>
        <v>#N/A</v>
      </c>
      <c r="U620" t="e">
        <f>U618-U619</f>
        <v>#N/A</v>
      </c>
      <c r="V620" t="e">
        <f>V618-V619</f>
        <v>#N/A</v>
      </c>
      <c r="W620" s="63" t="e">
        <f t="shared" ref="W620:W625" si="107">SUM(R620:V620)</f>
        <v>#N/A</v>
      </c>
    </row>
    <row r="621" spans="1:29" hidden="1" outlineLevel="1" x14ac:dyDescent="0.25">
      <c r="A621" s="69" t="s">
        <v>103</v>
      </c>
      <c r="B621" s="95"/>
      <c r="C621" s="95"/>
      <c r="D621" s="106"/>
      <c r="E621" s="105"/>
      <c r="F621" s="101"/>
      <c r="H621" s="81" t="s">
        <v>103</v>
      </c>
      <c r="I621" s="82">
        <f t="shared" ref="I621:I626" si="108">B605+I605+B613+I613+B621</f>
        <v>0</v>
      </c>
      <c r="J621" s="82">
        <f t="shared" ref="J621:J626" si="109">C605+J605+C613+J613+C621</f>
        <v>0</v>
      </c>
      <c r="K621" s="83">
        <f t="shared" ref="K621:K626" si="110">D605+K605+D613+K613+D621</f>
        <v>0</v>
      </c>
      <c r="L621" s="84">
        <f t="shared" ref="L621:L626" si="111">E605+L605+E613+L613+E621</f>
        <v>0</v>
      </c>
      <c r="M621" s="303" t="s">
        <v>177</v>
      </c>
      <c r="N621" s="304"/>
      <c r="O621" s="304"/>
      <c r="Q621" s="10" t="s">
        <v>164</v>
      </c>
      <c r="R621" t="e">
        <f>IF(AND(K602="non",(SUM(B605:B611)&gt;U601)),SUM(B605:B611)-U601,0)</f>
        <v>#N/A</v>
      </c>
      <c r="S621" t="e">
        <f>IF(AND(K602="non",(SUM(I605:I611)&gt;U601)),SUM(I605:I611)-U601,0)</f>
        <v>#N/A</v>
      </c>
      <c r="T621" t="e">
        <f>IF(AND(K602="non",(SUM(B613:B619)&gt;U601)),SUM(B613:B619)-U601,0)</f>
        <v>#N/A</v>
      </c>
      <c r="U621" t="e">
        <f>IF(AND(K602="non",(SUM(I613:I619)&gt;U601)),SUM(I613:I619)-U601,0)</f>
        <v>#N/A</v>
      </c>
      <c r="V621" t="e">
        <f>IF(AND(K602="non",(SUM(B621:B627)&gt;U601)),SUM(B621:B627)-U601,0)</f>
        <v>#N/A</v>
      </c>
      <c r="W621" s="63" t="e">
        <f t="shared" si="107"/>
        <v>#N/A</v>
      </c>
    </row>
    <row r="622" spans="1:29" hidden="1" outlineLevel="1" x14ac:dyDescent="0.25">
      <c r="A622" s="69" t="s">
        <v>104</v>
      </c>
      <c r="B622" s="96"/>
      <c r="C622" s="96"/>
      <c r="D622" s="102"/>
      <c r="E622" s="103"/>
      <c r="F622" s="38"/>
      <c r="H622" s="81" t="s">
        <v>104</v>
      </c>
      <c r="I622" s="88">
        <f t="shared" si="108"/>
        <v>0</v>
      </c>
      <c r="J622" s="88">
        <f t="shared" si="109"/>
        <v>0</v>
      </c>
      <c r="K622" s="89">
        <f t="shared" si="110"/>
        <v>0</v>
      </c>
      <c r="L622" s="90">
        <f t="shared" si="111"/>
        <v>0</v>
      </c>
      <c r="M622" s="49"/>
      <c r="P622" t="s">
        <v>167</v>
      </c>
      <c r="Q622" s="10" t="s">
        <v>165</v>
      </c>
      <c r="R622" t="e">
        <f>IF(H603="Cadre",0,SUM(C605:C611))</f>
        <v>#N/A</v>
      </c>
      <c r="S622" t="e">
        <f>IF(H603="Cadre",0,SUM(J605:J611))</f>
        <v>#N/A</v>
      </c>
      <c r="T622" t="e">
        <f>IF(H603="Cadre",0,SUM(C613:C619))</f>
        <v>#N/A</v>
      </c>
      <c r="U622" t="e">
        <f>IF(H603="Cadre",0,SUM(J613:J619))</f>
        <v>#N/A</v>
      </c>
      <c r="V622" t="e">
        <f>IF(H603="Cadre",0,SUM(C621:C627))</f>
        <v>#N/A</v>
      </c>
      <c r="W622" s="63" t="e">
        <f t="shared" si="107"/>
        <v>#N/A</v>
      </c>
    </row>
    <row r="623" spans="1:29" hidden="1" outlineLevel="1" x14ac:dyDescent="0.25">
      <c r="A623" s="69" t="s">
        <v>105</v>
      </c>
      <c r="B623" s="96"/>
      <c r="C623" s="96"/>
      <c r="D623" s="102"/>
      <c r="E623" s="103"/>
      <c r="F623" s="38"/>
      <c r="H623" s="81" t="s">
        <v>105</v>
      </c>
      <c r="I623" s="88">
        <f t="shared" si="108"/>
        <v>0</v>
      </c>
      <c r="J623" s="88">
        <f t="shared" si="109"/>
        <v>0</v>
      </c>
      <c r="K623" s="89">
        <f t="shared" si="110"/>
        <v>0</v>
      </c>
      <c r="L623" s="90">
        <f t="shared" si="111"/>
        <v>0</v>
      </c>
      <c r="M623" s="49"/>
      <c r="P623" t="s">
        <v>168</v>
      </c>
      <c r="Q623" s="10" t="s">
        <v>165</v>
      </c>
      <c r="R623" t="e">
        <f>IF(H603="Cadre",((SUM(C605:C611)/2)*5),0)</f>
        <v>#N/A</v>
      </c>
      <c r="S623" t="e">
        <f>IF(H603="Cadre",(SUM(J605:J611)/2*5),0)</f>
        <v>#N/A</v>
      </c>
      <c r="T623" t="e">
        <f>IF(H603="Cadre",(SUM(C613:C619)/2*5),0)</f>
        <v>#N/A</v>
      </c>
      <c r="U623" t="e">
        <f>IF(H603="Cadre",(SUM(J613:J619)/2*5),0)</f>
        <v>#N/A</v>
      </c>
      <c r="V623" t="e">
        <f>IF(H603="Cadre",(SUM(C621:C627)/2*5),0)</f>
        <v>#N/A</v>
      </c>
      <c r="W623" s="63" t="e">
        <f t="shared" si="107"/>
        <v>#N/A</v>
      </c>
    </row>
    <row r="624" spans="1:29" hidden="1" outlineLevel="1" x14ac:dyDescent="0.25">
      <c r="A624" s="69" t="s">
        <v>106</v>
      </c>
      <c r="B624" s="96"/>
      <c r="C624" s="96"/>
      <c r="D624" s="102"/>
      <c r="E624" s="103"/>
      <c r="F624" s="38"/>
      <c r="H624" s="81" t="s">
        <v>106</v>
      </c>
      <c r="I624" s="88">
        <f t="shared" si="108"/>
        <v>0</v>
      </c>
      <c r="J624" s="88">
        <f t="shared" si="109"/>
        <v>0</v>
      </c>
      <c r="K624" s="89">
        <f t="shared" si="110"/>
        <v>0</v>
      </c>
      <c r="L624" s="90">
        <f t="shared" si="111"/>
        <v>0</v>
      </c>
      <c r="M624" s="49"/>
      <c r="P624" t="s">
        <v>166</v>
      </c>
      <c r="Q624" s="10" t="s">
        <v>159</v>
      </c>
      <c r="R624" t="e">
        <f>IF(H603="Employé",B611,0)</f>
        <v>#N/A</v>
      </c>
      <c r="S624" t="e">
        <f>IF(H603="Employé",I611,0)</f>
        <v>#N/A</v>
      </c>
      <c r="T624" t="e">
        <f>IF(H603="Employé",B619,0)</f>
        <v>#N/A</v>
      </c>
      <c r="U624" t="e">
        <f>IF(H603="Employé",I619,0)</f>
        <v>#N/A</v>
      </c>
      <c r="V624" t="e">
        <f>IF(H603="Employé",B627,0)</f>
        <v>#N/A</v>
      </c>
      <c r="W624" s="63" t="e">
        <f t="shared" si="107"/>
        <v>#N/A</v>
      </c>
    </row>
    <row r="625" spans="1:29" hidden="1" outlineLevel="1" x14ac:dyDescent="0.25">
      <c r="A625" s="69" t="s">
        <v>107</v>
      </c>
      <c r="B625" s="96"/>
      <c r="C625" s="96"/>
      <c r="D625" s="102"/>
      <c r="E625" s="103"/>
      <c r="F625" s="38"/>
      <c r="H625" s="81" t="s">
        <v>107</v>
      </c>
      <c r="I625" s="88">
        <f t="shared" si="108"/>
        <v>0</v>
      </c>
      <c r="J625" s="88">
        <f t="shared" si="109"/>
        <v>0</v>
      </c>
      <c r="K625" s="89">
        <f t="shared" si="110"/>
        <v>0</v>
      </c>
      <c r="L625" s="90">
        <f t="shared" si="111"/>
        <v>0</v>
      </c>
      <c r="M625" s="303" t="s">
        <v>178</v>
      </c>
      <c r="N625" s="304"/>
      <c r="O625" s="304"/>
      <c r="P625" t="s">
        <v>297</v>
      </c>
      <c r="Q625" s="10" t="s">
        <v>159</v>
      </c>
      <c r="R625" t="e">
        <f>IF(H603="Cadre",IF(B611=2,5,0),0)</f>
        <v>#N/A</v>
      </c>
      <c r="S625" t="e">
        <f>IF(H603="Cadre",IF(I611=2,5,0),0)</f>
        <v>#N/A</v>
      </c>
      <c r="T625" t="e">
        <f>IF(H603="Cadre",IF(B619=2,5,0),0)</f>
        <v>#N/A</v>
      </c>
      <c r="U625" t="e">
        <f>IF(H603="Cadre",IF(I619=2,5,0),0)</f>
        <v>#N/A</v>
      </c>
      <c r="V625" t="e">
        <f>IF(H603="Cadre",IF(B627=2,5,0),0)</f>
        <v>#N/A</v>
      </c>
      <c r="W625" s="63" t="e">
        <f t="shared" si="107"/>
        <v>#N/A</v>
      </c>
    </row>
    <row r="626" spans="1:29" hidden="1" outlineLevel="1" x14ac:dyDescent="0.25">
      <c r="A626" s="69" t="s">
        <v>108</v>
      </c>
      <c r="B626" s="96"/>
      <c r="C626" s="96"/>
      <c r="D626" s="102"/>
      <c r="E626" s="103"/>
      <c r="F626" s="38"/>
      <c r="H626" s="81" t="s">
        <v>108</v>
      </c>
      <c r="I626" s="88">
        <f t="shared" si="108"/>
        <v>0</v>
      </c>
      <c r="J626" s="88">
        <f t="shared" si="109"/>
        <v>0</v>
      </c>
      <c r="K626" s="89">
        <f t="shared" si="110"/>
        <v>0</v>
      </c>
      <c r="L626" s="90">
        <f t="shared" si="111"/>
        <v>0</v>
      </c>
      <c r="M626" s="49"/>
      <c r="P626" t="s">
        <v>171</v>
      </c>
      <c r="Q626" s="10" t="s">
        <v>172</v>
      </c>
      <c r="R626" s="2"/>
      <c r="S626" s="2"/>
      <c r="T626" s="2"/>
      <c r="U626" s="2"/>
      <c r="V626" s="2"/>
      <c r="W626" s="91" t="e">
        <f>IF(AND(K602="non",H603="Employé"),SUM(I621:I627)+(SUM(W603:W616)-W599),(SUM(I621:I627)-W618)+(SUM(W603:W616)-W599))</f>
        <v>#N/A</v>
      </c>
    </row>
    <row r="627" spans="1:29" ht="15.75" hidden="1" outlineLevel="1" thickBot="1" x14ac:dyDescent="0.3">
      <c r="A627" s="70" t="s">
        <v>109</v>
      </c>
      <c r="B627" s="97"/>
      <c r="C627" s="97"/>
      <c r="D627" s="71"/>
      <c r="E627" s="104"/>
      <c r="F627" s="39"/>
      <c r="H627" s="92" t="s">
        <v>109</v>
      </c>
      <c r="I627" s="93">
        <f>(B611+I611+B619+I619+B627)</f>
        <v>0</v>
      </c>
      <c r="J627" s="93">
        <f>(C611+J611+C619+J619+C627)</f>
        <v>0</v>
      </c>
      <c r="K627" s="71">
        <f>(D611+K611+D619+K619+D627)</f>
        <v>0</v>
      </c>
      <c r="L627" s="94">
        <f>(E611+L611+E619+L619+E627)</f>
        <v>0</v>
      </c>
      <c r="M627" s="49"/>
      <c r="P627" t="s">
        <v>176</v>
      </c>
      <c r="Q627" s="10" t="s">
        <v>172</v>
      </c>
      <c r="R627" s="2"/>
      <c r="S627" s="2"/>
      <c r="T627" s="2"/>
      <c r="U627" s="2"/>
      <c r="V627" s="2"/>
      <c r="W627" s="91" t="e">
        <f>IF(H603="Cadre",((SUM(I621:I627)+SUM(W603:W616)-W605-W606)/2),0)</f>
        <v>#N/A</v>
      </c>
    </row>
    <row r="628" spans="1:29" ht="15" customHeight="1" collapsed="1" x14ac:dyDescent="0.25">
      <c r="D628" s="302" t="s">
        <v>298</v>
      </c>
      <c r="E628" s="302"/>
      <c r="F628" s="302"/>
      <c r="G628" s="302"/>
      <c r="H628" s="302"/>
      <c r="I628" s="302"/>
      <c r="J628" s="302"/>
      <c r="K628" s="302"/>
      <c r="L628" s="42" t="s">
        <v>296</v>
      </c>
      <c r="N628" s="43"/>
      <c r="O628" s="43" t="s">
        <v>179</v>
      </c>
      <c r="P628" s="15" t="s">
        <v>157</v>
      </c>
      <c r="AA628" s="15" t="s">
        <v>157</v>
      </c>
    </row>
    <row r="629" spans="1:29" hidden="1" outlineLevel="1" x14ac:dyDescent="0.25">
      <c r="D629" s="302"/>
      <c r="E629" s="302"/>
      <c r="F629" s="302"/>
      <c r="G629" s="302"/>
      <c r="H629" s="302"/>
      <c r="I629" s="302"/>
      <c r="J629" s="302"/>
      <c r="K629" s="302"/>
      <c r="N629" s="43"/>
      <c r="O629" s="43" t="s">
        <v>180</v>
      </c>
      <c r="AC629" t="s">
        <v>201</v>
      </c>
    </row>
    <row r="630" spans="1:29" hidden="1" outlineLevel="1" x14ac:dyDescent="0.25">
      <c r="D630" s="302"/>
      <c r="E630" s="302"/>
      <c r="F630" s="302"/>
      <c r="G630" s="302"/>
      <c r="H630" s="302"/>
      <c r="I630" s="302"/>
      <c r="J630" s="302"/>
      <c r="K630" s="302"/>
      <c r="N630" s="44"/>
      <c r="O630" s="44" t="s">
        <v>181</v>
      </c>
      <c r="AA630" s="15" t="s">
        <v>200</v>
      </c>
      <c r="AC630" s="2" t="str">
        <f>I632</f>
        <v>Juin</v>
      </c>
    </row>
    <row r="631" spans="1:29" hidden="1" outlineLevel="1" x14ac:dyDescent="0.25">
      <c r="A631" s="45" t="s">
        <v>3</v>
      </c>
      <c r="B631" s="46">
        <f>'Synthèse Horaires'!$B$4</f>
        <v>2026</v>
      </c>
      <c r="C631" s="47"/>
      <c r="D631" s="48" t="s">
        <v>1</v>
      </c>
      <c r="E631" s="46">
        <f>'Synthèse Horaires'!$D$4</f>
        <v>0</v>
      </c>
      <c r="F631" s="49"/>
      <c r="G631" s="49"/>
      <c r="H631" s="48" t="s">
        <v>2</v>
      </c>
      <c r="I631" s="47">
        <f>'Synthèse Horaires'!$I$4</f>
        <v>0</v>
      </c>
      <c r="J631" s="50"/>
      <c r="K631" s="50"/>
      <c r="N631" s="44"/>
      <c r="O631" s="44" t="s">
        <v>202</v>
      </c>
      <c r="V631" s="10" t="s">
        <v>174</v>
      </c>
      <c r="W631" s="51" t="e">
        <f>IF(K635="non",SUM(K654:K660)*(35/6),SUM(K654:K660)*(K635/6))</f>
        <v>#N/A</v>
      </c>
      <c r="AB631" t="s">
        <v>6</v>
      </c>
      <c r="AC631" s="14">
        <f>B635</f>
        <v>0</v>
      </c>
    </row>
    <row r="632" spans="1:29" hidden="1" outlineLevel="1" x14ac:dyDescent="0.25">
      <c r="A632" s="45" t="s">
        <v>10</v>
      </c>
      <c r="B632" s="49"/>
      <c r="C632" s="49"/>
      <c r="D632" s="50" t="str">
        <f>'Synthèse Horaires'!$C$6</f>
        <v>01 juin 2026 au 31 mai 2027.</v>
      </c>
      <c r="E632" s="2"/>
      <c r="H632" s="48" t="s">
        <v>205</v>
      </c>
      <c r="I632" s="47" t="str">
        <f>'Synthèse Horaires'!$I$5</f>
        <v>Juin</v>
      </c>
      <c r="N632" s="44"/>
      <c r="O632" s="44" t="s">
        <v>203</v>
      </c>
      <c r="V632" s="10" t="s">
        <v>173</v>
      </c>
      <c r="W632">
        <f>W638+W639</f>
        <v>0</v>
      </c>
      <c r="AB632" t="s">
        <v>57</v>
      </c>
      <c r="AC632" s="14" t="e">
        <f>B636</f>
        <v>#N/A</v>
      </c>
    </row>
    <row r="633" spans="1:29" hidden="1" outlineLevel="1" x14ac:dyDescent="0.25">
      <c r="AB633" t="s">
        <v>211</v>
      </c>
      <c r="AC633" s="14" t="e">
        <f>H636</f>
        <v>#N/A</v>
      </c>
    </row>
    <row r="634" spans="1:29" hidden="1" outlineLevel="1" x14ac:dyDescent="0.25">
      <c r="A634" s="4" t="s">
        <v>58</v>
      </c>
      <c r="B634" s="4"/>
      <c r="C634" s="4"/>
      <c r="D634" s="4"/>
      <c r="E634" s="4"/>
      <c r="F634" s="4"/>
      <c r="G634" s="4"/>
      <c r="H634" s="4"/>
      <c r="P634" s="53" t="s">
        <v>6</v>
      </c>
      <c r="Q634" s="2">
        <f>B635</f>
        <v>0</v>
      </c>
      <c r="T634" s="10" t="s">
        <v>76</v>
      </c>
      <c r="U634" s="2" t="e">
        <f>VLOOKUP(B635,'Base Matricule Siège'!$B$12:$H$1000,4,FALSE)</f>
        <v>#N/A</v>
      </c>
      <c r="AA634" t="s">
        <v>215</v>
      </c>
      <c r="AB634" t="s">
        <v>207</v>
      </c>
      <c r="AC634" s="14" t="e">
        <f>IF(AC633="Cadre",0,W659)</f>
        <v>#N/A</v>
      </c>
    </row>
    <row r="635" spans="1:29" hidden="1" outlineLevel="1" x14ac:dyDescent="0.25">
      <c r="A635" s="49" t="s">
        <v>18</v>
      </c>
      <c r="B635" s="113">
        <v>0</v>
      </c>
      <c r="E635" s="49"/>
      <c r="G635" s="57" t="s">
        <v>317</v>
      </c>
      <c r="H635" s="58" t="e">
        <f>VLOOKUP(B635,'Base Matricule Siège'!$B$13:$H$1000,7,FALSE)</f>
        <v>#N/A</v>
      </c>
      <c r="J635" s="10" t="s">
        <v>161</v>
      </c>
      <c r="K635" s="58" t="e">
        <f>IF((VLOOKUP('MASQUE COLLABORATEUR'!B635,'Base Matricule Siège'!$B$13:$E$1000,4,FALSE)&lt;'Base Matricule Siège'!$G$5),(VLOOKUP('MASQUE COLLABORATEUR'!B635,'Base Matricule Siège'!$B$13:$E$1000,4,FALSE)),"non")</f>
        <v>#N/A</v>
      </c>
      <c r="L635" s="114" t="s">
        <v>340</v>
      </c>
      <c r="M635" s="115" t="e">
        <f>IF(K635="non","0",VLOOKUP(B635,'Base Matricule Siège'!$B$13:$S$1000,18,FALSE))</f>
        <v>#N/A</v>
      </c>
      <c r="R635" t="s">
        <v>151</v>
      </c>
      <c r="S635" t="s">
        <v>152</v>
      </c>
      <c r="T635" t="s">
        <v>153</v>
      </c>
      <c r="U635" t="s">
        <v>154</v>
      </c>
      <c r="V635" t="s">
        <v>155</v>
      </c>
      <c r="W635" s="59" t="s">
        <v>156</v>
      </c>
      <c r="AB635" t="s">
        <v>11</v>
      </c>
      <c r="AC635" s="14" t="e">
        <f>W660</f>
        <v>#N/A</v>
      </c>
    </row>
    <row r="636" spans="1:29" ht="15.75" hidden="1" outlineLevel="1" thickBot="1" x14ac:dyDescent="0.3">
      <c r="A636" s="49" t="s">
        <v>59</v>
      </c>
      <c r="B636" s="2" t="e">
        <f>VLOOKUP(B635,'Base Matricule Siège'!$B$13:$C$1000,2,FALSE)</f>
        <v>#N/A</v>
      </c>
      <c r="C636" s="2"/>
      <c r="D636" s="2"/>
      <c r="G636" s="57" t="s">
        <v>158</v>
      </c>
      <c r="H636" s="58" t="e">
        <f>VLOOKUP(B635,'Base Matricule Siège'!$B$13:$G$1000,6,FALSE)</f>
        <v>#N/A</v>
      </c>
      <c r="P636" s="10" t="s">
        <v>142</v>
      </c>
      <c r="Q636" s="10" t="s">
        <v>149</v>
      </c>
      <c r="R636">
        <f>IF(F638=Q636,E638,0)+IF(F639=Q636,E639,0)+IF(F640=Q636,E640,0)+IF(Q636=F641,E641,0)+IF(F642=Q636,E642,0)+IF(F643=Q636,E643,0)</f>
        <v>0</v>
      </c>
      <c r="S636">
        <f>IF(M638=Q636,L638,0)+IF(M639=Q636,L639,0)+IF(M640=Q636,L640,0)+IF(Q636=M641,L641,0)+IF(M642=Q636,L642,0)+IF(M643=Q636,L643,0)</f>
        <v>0</v>
      </c>
      <c r="T636">
        <f>IF(F646=Q636,E646,0)+IF(F647=Q636,E647,0)+IF(F648=Q636,E648,0)+IF(Q636=F649,E649,0)+IF(F650=Q636,E650,0)+IF(F651=Q636,E651,0)</f>
        <v>0</v>
      </c>
      <c r="U636">
        <f>IF(M646=Q636,L646,0)+IF(M647=Q636,L647,0)+IF(M648=Q636,L648,0)+IF(Q636=M649,L649,0)+IF(M650=Q636,L650,0)+IF(M651=Q636,L651,0)</f>
        <v>0</v>
      </c>
      <c r="V636">
        <f>IF(F654=Q636,E654,0)+IF(F655=Q636,E655,0)+IF(F656=Q636,E656,0)+IF(Q636=F657,E657,0)+IF(F658=Q636,E658,0)+IF(F659=Q636,E659,0)</f>
        <v>0</v>
      </c>
      <c r="W636" s="63">
        <f>SUM(R636:V636)</f>
        <v>0</v>
      </c>
      <c r="AB636" t="s">
        <v>208</v>
      </c>
      <c r="AC636" s="14">
        <f>SUM(K654:K660)*2</f>
        <v>0</v>
      </c>
    </row>
    <row r="637" spans="1:29" ht="15.75" hidden="1" outlineLevel="1" thickBot="1" x14ac:dyDescent="0.3">
      <c r="A637" s="64" t="str">
        <f>A604</f>
        <v>Semaine 23</v>
      </c>
      <c r="B637" s="65" t="e">
        <f>IF(H636="Cadre","Demi J. Réalisées","H. Réalisées")</f>
        <v>#N/A</v>
      </c>
      <c r="C637" s="65" t="s">
        <v>141</v>
      </c>
      <c r="D637" s="66" t="e">
        <f>IF(H636="Cadre","CP en Demi J.","CP en jours")</f>
        <v>#N/A</v>
      </c>
      <c r="E637" s="66" t="e">
        <f>IF(H636="Cadre","Abs. En Demi J.","Absence en H.")</f>
        <v>#N/A</v>
      </c>
      <c r="F637" s="67" t="s">
        <v>110</v>
      </c>
      <c r="H637" s="64" t="str">
        <f>H604</f>
        <v>Semaine 24</v>
      </c>
      <c r="I637" s="65" t="e">
        <f>B637</f>
        <v>#N/A</v>
      </c>
      <c r="J637" s="65" t="str">
        <f>C637</f>
        <v>Férié</v>
      </c>
      <c r="K637" s="66" t="e">
        <f>D637</f>
        <v>#N/A</v>
      </c>
      <c r="L637" s="66" t="e">
        <f>E637</f>
        <v>#N/A</v>
      </c>
      <c r="M637" s="67" t="str">
        <f>F637</f>
        <v>Type absence</v>
      </c>
      <c r="Q637" s="10" t="s">
        <v>143</v>
      </c>
      <c r="R637">
        <f>IF(F638=Q637,E638,0)+IF(F639=Q637,E639,0)+IF(F640=Q637,E640,0)+IF(Q637=F641,E641,0)+IF(F643=Q637,E642,0)+IF(F642=Q637,E643,0)</f>
        <v>0</v>
      </c>
      <c r="S637">
        <f>IF(M639=Q637,L639,0)+IF(M640=Q637,L640,0)+IF(M641=Q637,L641,0)+IF(Q637=M642,L642,0)+IF(M643=Q637,L643,0)+IF(M638=Q637,L638,0)</f>
        <v>0</v>
      </c>
      <c r="T637">
        <f>IF(F646=Q637,E646,0)+IF(F647=Q637,E647,0)+IF(F648=Q637,E648,0)+IF(Q637=F649,E649,0)+IF(F650=Q637,E650,0)+IF(F651=Q637,E651,0)</f>
        <v>0</v>
      </c>
      <c r="U637">
        <f>IF(M646=Q637,L646,0)+IF(M647=Q637,L647,0)+IF(M648=Q637,L648,0)+IF(Q637=M649,L649,0)+IF(M650=Q637,L650,0)+IF(M651=Q637,L651,0)</f>
        <v>0</v>
      </c>
      <c r="V637">
        <f>IF(F654=Q637,E654,0)+IF(F655=Q637,E655,0)+IF(F656=Q637,E656,0)+IF(Q637=F657,E657,0)+IF(F658=Q637,E658,0)+IF(F659=Q637,E659,0)</f>
        <v>0</v>
      </c>
      <c r="W637" s="63">
        <f t="shared" ref="W637:W649" si="112">SUM(R637:V637)</f>
        <v>0</v>
      </c>
      <c r="AB637" t="s">
        <v>8</v>
      </c>
      <c r="AC637" s="14"/>
    </row>
    <row r="638" spans="1:29" hidden="1" outlineLevel="1" x14ac:dyDescent="0.25">
      <c r="A638" s="68" t="s">
        <v>103</v>
      </c>
      <c r="B638" s="98"/>
      <c r="C638" s="98"/>
      <c r="D638" s="99"/>
      <c r="E638" s="100"/>
      <c r="F638" s="101"/>
      <c r="H638" s="69" t="s">
        <v>103</v>
      </c>
      <c r="I638" s="95"/>
      <c r="J638" s="95"/>
      <c r="K638" s="106"/>
      <c r="L638" s="105"/>
      <c r="M638" s="101"/>
      <c r="Q638" s="10" t="s">
        <v>144</v>
      </c>
      <c r="R638">
        <f>IF(F640=Q638,E640,0)+IF(F641=Q638,E641,0)+IF(F642=Q638,E642,0)+IF(Q638=F643,E643,0)+IF(F638=Q638,E638,0)+IF(F639=Q638,E639,0)</f>
        <v>0</v>
      </c>
      <c r="S638">
        <f>IF(M640=Q638,L640,0)+IF(M641=Q638,L641,0)+IF(M642=Q638,L642,0)+IF(Q638=M643,L643,0)+IF(M638=Q638,L638,0)+IF(M639=Q638,L639,0)</f>
        <v>0</v>
      </c>
      <c r="T638">
        <f>IF(F646=Q638,E646,0)+IF(F647=Q638,E647,0)+IF(F648=Q638,E648,0)+IF(Q638=F649,E649,0)+IF(F650=Q638,E650,0)+IF(F651=Q638,E651,0)</f>
        <v>0</v>
      </c>
      <c r="U638">
        <f>IF(M646=Q638,L646,0)+IF(M647=Q638,L647,0)+IF(M648=Q638,L648,0)+IF(Q638=M649,L649,0)+IF(M650=Q638,L650,0)+IF(M651=Q638,L651,0)</f>
        <v>0</v>
      </c>
      <c r="V638">
        <f>IF(F654=Q638,E654,0)+IF(F655=Q638,E655,0)+IF(F656=Q638,E656,0)+IF(Q638=F657,E657,0)+IF(F658=Q638,E658,0)+IF(F659=Q638,E659,0)</f>
        <v>0</v>
      </c>
      <c r="W638" s="63">
        <f t="shared" si="112"/>
        <v>0</v>
      </c>
      <c r="AB638" t="s">
        <v>209</v>
      </c>
      <c r="AC638" s="14">
        <f>W638</f>
        <v>0</v>
      </c>
    </row>
    <row r="639" spans="1:29" hidden="1" outlineLevel="1" x14ac:dyDescent="0.25">
      <c r="A639" s="69" t="s">
        <v>104</v>
      </c>
      <c r="B639" s="96"/>
      <c r="C639" s="96"/>
      <c r="D639" s="102"/>
      <c r="E639" s="103"/>
      <c r="F639" s="38"/>
      <c r="H639" s="69" t="s">
        <v>104</v>
      </c>
      <c r="I639" s="96"/>
      <c r="J639" s="96"/>
      <c r="K639" s="102"/>
      <c r="L639" s="103"/>
      <c r="M639" s="38"/>
      <c r="Q639" s="10" t="s">
        <v>145</v>
      </c>
      <c r="R639">
        <f>IF(F641=Q639,E641,0)+IF(F642=Q639,E642,0)+IF(F643=Q639,E643,0)+IF(Q639=F638,E638,0)+IF(F639=Q639,E639,0)+IF(F640=Q639,E640,0)</f>
        <v>0</v>
      </c>
      <c r="S639">
        <f>IF(M641=Q639,L641,0)+IF(M642=Q639,L642,0)+IF(M643=Q639,L643,0)+IF(Q639=M638,L638,0)+IF(M639=Q639,L639,0)+IF(M640=Q639,L640,0)</f>
        <v>0</v>
      </c>
      <c r="T639">
        <f>IF(F646=Q639,$E646,0)+IF(F647=Q639,E647,0)+IF(F648=Q639,E648,0)+IF(Q639=F649,E649,0)+IF(F650=Q639,E650,0)+IF(F651=Q639,E651,0)</f>
        <v>0</v>
      </c>
      <c r="U639">
        <f>IF(M646=Q639,L646,0)+IF(M647=Q639,L647,0)+IF(M648=Q639,L648,0)+IF(Q639=M649,L649,0)+IF(M650=Q639,L650,0)+IF(M651=Q639,L651,0)</f>
        <v>0</v>
      </c>
      <c r="V639">
        <f>IF(F654=Q639,E654,0)+IF(F655=Q639,E655,0)+IF(F656=Q639,E656,0)+IF(Q639=F657,E657,0)+IF(F658=Q639,E658,0)+IF(F659=Q639,E659,0)</f>
        <v>0</v>
      </c>
      <c r="W639" s="63">
        <f t="shared" si="112"/>
        <v>0</v>
      </c>
      <c r="AB639" t="s">
        <v>210</v>
      </c>
      <c r="AC639" s="14">
        <f>SUM(W636:W649)-W638</f>
        <v>0</v>
      </c>
    </row>
    <row r="640" spans="1:29" hidden="1" outlineLevel="1" x14ac:dyDescent="0.25">
      <c r="A640" s="69" t="s">
        <v>105</v>
      </c>
      <c r="B640" s="96"/>
      <c r="C640" s="96"/>
      <c r="D640" s="102"/>
      <c r="E640" s="103"/>
      <c r="F640" s="38"/>
      <c r="H640" s="69" t="s">
        <v>105</v>
      </c>
      <c r="I640" s="96"/>
      <c r="J640" s="96"/>
      <c r="K640" s="102"/>
      <c r="L640" s="103"/>
      <c r="M640" s="38"/>
      <c r="Q640" s="10" t="s">
        <v>212</v>
      </c>
      <c r="R640">
        <f>IF(F642=Q640,E642,0)+IF(F643=Q640,E643,0)+IF(F638=Q640,E638,0)+IF(Q640=F639,E639,0)+IF(F640=Q640,E640,0)+IF(F641=Q640,E641,0)</f>
        <v>0</v>
      </c>
      <c r="S640">
        <f>IF(M641=Q640,L641,0)+IF(M642=Q640,L642,0)+IF(M643=Q640,L643,0)+IF(Q640=M638,L638,0)+IF(M639=Q640,L639,0)+IF(M640=Q640,L640,0)</f>
        <v>0</v>
      </c>
      <c r="T640">
        <f>IF(F646=Q640,E646,0)+IF(F647=Q640,E647,0)+IF(F648=Q640,E648,0)+IF(Q640=F649,E649,0)+IF(F650=Q640,E650,0)+IF(F651=Q640,E651,0)</f>
        <v>0</v>
      </c>
      <c r="U640">
        <f>IF(M646=Q640,L646,0)+IF(M647=Q640,L647,0)+IF(M648=Q640,L648,0)+IF(Q640=M649,L649,0)+IF(M650=Q640,L650,0)+IF(M651=Q640,L651,0)</f>
        <v>0</v>
      </c>
      <c r="V640">
        <f>IF(F654=Q640,E654,0)+IF(F655=Q640,E655,0)+IF(F656=Q640,E656,0)+IF(Q640=F657,E657,0)+IF(F658=Q640,E658,0)+IF(F659=Q640,E659,0)</f>
        <v>0</v>
      </c>
      <c r="W640" s="63">
        <f t="shared" si="112"/>
        <v>0</v>
      </c>
      <c r="AA640" t="s">
        <v>214</v>
      </c>
      <c r="AB640" t="s">
        <v>213</v>
      </c>
      <c r="AC640" s="14" t="e">
        <f>IF(AC633="Cadre",(W640/2),(W640/7))</f>
        <v>#N/A</v>
      </c>
    </row>
    <row r="641" spans="1:29" hidden="1" outlineLevel="1" x14ac:dyDescent="0.25">
      <c r="A641" s="69" t="s">
        <v>106</v>
      </c>
      <c r="B641" s="96"/>
      <c r="C641" s="96"/>
      <c r="D641" s="102"/>
      <c r="E641" s="103"/>
      <c r="F641" s="38"/>
      <c r="H641" s="69" t="s">
        <v>106</v>
      </c>
      <c r="I641" s="96"/>
      <c r="J641" s="96"/>
      <c r="K641" s="102"/>
      <c r="L641" s="103"/>
      <c r="M641" s="38"/>
      <c r="Q641" s="10" t="s">
        <v>146</v>
      </c>
      <c r="R641">
        <f>IF(F643=Q641,E643,0)+IF(F638=Q641,E638,0)+IF(F639=Q641,E639,0)+IF(Q641=F640,E640,0)+IF(F641=Q641,E641,0)+IF(F642=Q641,E642,0)</f>
        <v>0</v>
      </c>
      <c r="S641">
        <f>IF(M641=Q641,L641,0)+IF(M642=Q641,L642,0)+IF(M643=Q641,L643,0)+IF(Q641=M638,$L$11,0)+IF(M639=Q641,L639,0)+IF(M640=Q641,L640,0)</f>
        <v>0</v>
      </c>
      <c r="T641">
        <f>IF(F646=Q641,E646,0)+IF(F647=Q641,E647,0)+IF(F648=Q641,E648,0)+IF(Q641=F649,E649,0)+IF(F650=Q641,E650,0)+IF(F651=Q641,E651,0)</f>
        <v>0</v>
      </c>
      <c r="U641">
        <f>IF(M646=Q641,L646,0)+IF(M647=Q641,L647,0)+IF(M648=Q641,L648,0)+IF(Q641=M649,L649,0)+IF(M650=Q641,L650,0)+IF(M651=Q641,L651,0)</f>
        <v>0</v>
      </c>
      <c r="V641">
        <f>IF(F654=Q641,E654,0)+IF(F655=Q641,E655,0)+IF(F656=Q641,E656,0)+IF(Q641=F657,E657,0)+IF(F658=Q641,E658,0)+IF(F659=Q641,E659,0)</f>
        <v>0</v>
      </c>
      <c r="W641" s="63">
        <f t="shared" si="112"/>
        <v>0</v>
      </c>
      <c r="AA641" t="s">
        <v>216</v>
      </c>
      <c r="AB641" t="s">
        <v>217</v>
      </c>
      <c r="AC641" s="14" t="e">
        <f>W653+W654</f>
        <v>#N/A</v>
      </c>
    </row>
    <row r="642" spans="1:29" hidden="1" outlineLevel="1" x14ac:dyDescent="0.25">
      <c r="A642" s="69" t="s">
        <v>107</v>
      </c>
      <c r="B642" s="96"/>
      <c r="C642" s="96"/>
      <c r="D642" s="102"/>
      <c r="E642" s="103"/>
      <c r="F642" s="38"/>
      <c r="H642" s="69" t="s">
        <v>107</v>
      </c>
      <c r="I642" s="96"/>
      <c r="J642" s="96"/>
      <c r="K642" s="102"/>
      <c r="L642" s="103"/>
      <c r="M642" s="38"/>
      <c r="Q642" s="10" t="s">
        <v>499</v>
      </c>
      <c r="R642">
        <f>IF(F638=Q642,E638,0)+IF(F639=Q642,E639,0)+IF(F640=Q642,E640,0)+IF(Q642=F641,E641,0)+IF(F642=Q642,E642,0)+IF(F643=Q642,E643,0)</f>
        <v>0</v>
      </c>
      <c r="S642">
        <f>IF(M641=Q642,L641,0)+IF(M642=Q642,L642,0)+IF(M643=Q642,L643,0)+IF(Q642=M638,L638,0)+IF(M639=Q642,L639,0)+IF(M640=Q642,L640,0)</f>
        <v>0</v>
      </c>
      <c r="T642">
        <f>IF(F646=Q642,E646,0)+IF(F647=Q642,E647,0)+IF(F648=Q642,E648,0)+IF(Q642=F649,E649,0)+IF(F650=Q642,E650,0)+IF(F651=Q642,E651,0)</f>
        <v>0</v>
      </c>
      <c r="U642">
        <f>IF(M646=Q642,L646,0)+IF(M647=Q642,L647,0)+IF(M648=Q642,L648,0)+IF(Q642=M649,L649,0)+IF(M650=Q642,L650,0)+IF(M651=Q642,L651,0)</f>
        <v>0</v>
      </c>
      <c r="V642">
        <f>IF(F654=Q642,E654,0)+IF(F655=Q642,E655,0)+IF(F656=Q642,E656,0)+IF(Q642=F657,E657,0)+IF(F658=Q642,E658,0)+IF(F659=Q642,E659,0)</f>
        <v>0</v>
      </c>
      <c r="W642" s="63">
        <f t="shared" si="112"/>
        <v>0</v>
      </c>
      <c r="AA642" t="s">
        <v>218</v>
      </c>
      <c r="AB642" t="s">
        <v>219</v>
      </c>
      <c r="AC642" s="14" t="e">
        <f>W652</f>
        <v>#N/A</v>
      </c>
    </row>
    <row r="643" spans="1:29" hidden="1" outlineLevel="1" x14ac:dyDescent="0.25">
      <c r="A643" s="69" t="s">
        <v>108</v>
      </c>
      <c r="B643" s="96"/>
      <c r="C643" s="96"/>
      <c r="D643" s="102"/>
      <c r="E643" s="103"/>
      <c r="F643" s="38"/>
      <c r="H643" s="69" t="s">
        <v>108</v>
      </c>
      <c r="I643" s="96"/>
      <c r="J643" s="96"/>
      <c r="K643" s="102"/>
      <c r="L643" s="103"/>
      <c r="M643" s="38"/>
      <c r="Q643" s="10" t="s">
        <v>147</v>
      </c>
      <c r="R643">
        <f>IF(F639=Q643,E639,0)+IF(F640=Q643,E640,0)+IF(F641=Q643,E641,0)+IF(Q643=F642,E642,0)+IF(F643=Q643,E643,0)+IF(F638=Q643,E638,0)</f>
        <v>0</v>
      </c>
      <c r="S643">
        <f>IF(M641=Q643,L641,0)+IF(M642=Q643,L642,0)+IF(M643=Q643,L643,0)+IF(Q643=M638,L638,0)+IF(M639=Q643,L639,0)+IF(M640=Q643,L640,0)</f>
        <v>0</v>
      </c>
      <c r="T643">
        <f>IF(F646=Q643,E646,0)+IF(F647=Q643,E647,0)+IF(F648=Q643,E648,0)+IF(Q643=F649,E649,0)+IF(F650=Q643,E650,0)+IF(F651=Q643,E651,0)</f>
        <v>0</v>
      </c>
      <c r="U643">
        <f>IF(M646=Q643,L646,0)+IF(M647=Q643,L647,0)+IF(M648=Q643,L648,0)+IF(Q643=M649,L649,0)+IF(M650=Q643,L650,0)+IF(M651=Q643,L651,0)</f>
        <v>0</v>
      </c>
      <c r="V643">
        <f>IF(F654=Q643,E654,0)+IF(F655=Q643,E655,0)+IF(F656=Q643,E656,0)+IF(Q643=F657,E657,0)+IF(F658=Q643,E658,0)+IF(F659=Q643,E659,0)</f>
        <v>0</v>
      </c>
      <c r="W643" s="63">
        <f t="shared" si="112"/>
        <v>0</v>
      </c>
      <c r="AA643" t="s">
        <v>166</v>
      </c>
      <c r="AB643" t="s">
        <v>220</v>
      </c>
      <c r="AC643" s="14" t="e">
        <f>W657</f>
        <v>#N/A</v>
      </c>
    </row>
    <row r="644" spans="1:29" ht="15.75" hidden="1" outlineLevel="1" thickBot="1" x14ac:dyDescent="0.3">
      <c r="A644" s="70" t="s">
        <v>109</v>
      </c>
      <c r="B644" s="97"/>
      <c r="C644" s="97"/>
      <c r="D644" s="71"/>
      <c r="E644" s="104"/>
      <c r="F644" s="38"/>
      <c r="H644" s="70" t="s">
        <v>109</v>
      </c>
      <c r="I644" s="97"/>
      <c r="J644" s="97"/>
      <c r="K644" s="71"/>
      <c r="L644" s="104"/>
      <c r="M644" s="38"/>
      <c r="Q644" s="10" t="s">
        <v>500</v>
      </c>
      <c r="R644">
        <f>IF(F640=Q644,E640,0)+IF(F641=Q644,E641,0)+IF(F642=Q644,E642,0)+IF(Q644=F643,E643,0)+IF(F638=Q644,E638,0)+IF(F639=Q644,E639,0)</f>
        <v>0</v>
      </c>
      <c r="S644">
        <f>IF(M641=Q644,L641,0)+IF(M642=Q644,L642,0)+IF(M643=Q644,L643,0)+IF(Q644=M638,L638,0)+IF(M639=Q644,L639,0)+IF(M640=Q644,L640,0)</f>
        <v>0</v>
      </c>
      <c r="T644">
        <f>IF(F646=Q644,E646,0)+IF(F647=Q644,E647,0)+IF(F648=Q644,E648,0)+IF(Q644=F649,E649,0)+IF(F650=Q644,E650,0)+IF(F651=Q644,E651,0)</f>
        <v>0</v>
      </c>
      <c r="U644">
        <f>IF(M646=Q644,L646,0)+IF(M647=Q644,L647,0)+IF(M648=Q644,L648,0)+IF(Q644=M649,L649,0)+IF(M650=Q644,L650,0)+IF(M651=Q644,L651,0)</f>
        <v>0</v>
      </c>
      <c r="V644">
        <f>IF(F654=Q644,E654,0)+IF(F655=Q644,E655,0)+IF(F656=Q644,E656,0)+IF(Q644=F657,E657,0)+IF(F658=Q644,E658,0)+IF(F659=Q644,E659,0)</f>
        <v>0</v>
      </c>
      <c r="W644" s="63">
        <f t="shared" si="112"/>
        <v>0</v>
      </c>
      <c r="AA644" t="s">
        <v>222</v>
      </c>
      <c r="AB644" t="s">
        <v>220</v>
      </c>
      <c r="AC644" s="14" t="e">
        <f>W658</f>
        <v>#N/A</v>
      </c>
    </row>
    <row r="645" spans="1:29" ht="15.75" hidden="1" outlineLevel="1" thickBot="1" x14ac:dyDescent="0.3">
      <c r="A645" s="64" t="str">
        <f>A612</f>
        <v>Ne pas saisir</v>
      </c>
      <c r="B645" s="65" t="e">
        <f>B637</f>
        <v>#N/A</v>
      </c>
      <c r="C645" s="65" t="str">
        <f>C637</f>
        <v>Férié</v>
      </c>
      <c r="D645" s="66" t="e">
        <f>D637</f>
        <v>#N/A</v>
      </c>
      <c r="E645" s="66" t="e">
        <f>E637</f>
        <v>#N/A</v>
      </c>
      <c r="F645" s="67" t="str">
        <f>F637</f>
        <v>Type absence</v>
      </c>
      <c r="H645" s="64" t="str">
        <f>H612</f>
        <v>Ne pas saisir</v>
      </c>
      <c r="I645" s="65" t="e">
        <f>B637</f>
        <v>#N/A</v>
      </c>
      <c r="J645" s="65" t="str">
        <f>C637</f>
        <v>Férié</v>
      </c>
      <c r="K645" s="66" t="e">
        <f>D637</f>
        <v>#N/A</v>
      </c>
      <c r="L645" s="66" t="e">
        <f>E637</f>
        <v>#N/A</v>
      </c>
      <c r="M645" s="67" t="str">
        <f>F637</f>
        <v>Type absence</v>
      </c>
      <c r="Q645" s="10" t="s">
        <v>148</v>
      </c>
      <c r="R645">
        <f>IF(F641=Q645,E641,0)+IF(F642=Q645,E642,0)+IF(F643=Q645,E643,0)+IF(Q645=F638,E638,0)+IF(F639=Q645,E639,0)+IF(F640=Q645,E640,0)</f>
        <v>0</v>
      </c>
      <c r="S645">
        <f>IF(M641=Q645,L641,0)+IF(M642=Q645,L642,0)+IF(M643=Q645,L643,0)+IF(Q645=M638,L638,0)+IF(M639=Q645,L639,0)+IF(M640=Q645,L640,0)</f>
        <v>0</v>
      </c>
      <c r="T645">
        <f>IF(F646=Q645,E646,0)+IF(F647=Q645,E647,0)+IF(F648=Q645,E648,0)+IF(Q645=F649,E649,0)+IF(F650=Q645,E650,0)+IF(F651=Q645,E651,0)</f>
        <v>0</v>
      </c>
      <c r="U645">
        <f>IF(M646=Q645,L646,0)+IF(M647=Q645,L647,0)+IF(M648=Q645,L648,0)+IF(Q645=M649,L649,0)+IF(M650=Q645,L650,0)+IF(M651=Q645,L651,0)</f>
        <v>0</v>
      </c>
      <c r="V645">
        <f>IF(F654=Q645,E654,0)+IF(F655=Q645,E655,0)+IF(F656=Q645,E656,0)+IF(Q645=F657,E657,0)+IF(F658=Q645,E658,0)+IF(F659=Q645,E659,0)</f>
        <v>0</v>
      </c>
      <c r="W645" s="63">
        <f t="shared" si="112"/>
        <v>0</v>
      </c>
      <c r="AA645" t="s">
        <v>223</v>
      </c>
      <c r="AB645" t="s">
        <v>224</v>
      </c>
      <c r="AC645" s="14" t="e">
        <f>W656</f>
        <v>#N/A</v>
      </c>
    </row>
    <row r="646" spans="1:29" hidden="1" outlineLevel="1" x14ac:dyDescent="0.25">
      <c r="A646" s="69" t="s">
        <v>103</v>
      </c>
      <c r="B646" s="95"/>
      <c r="C646" s="95"/>
      <c r="D646" s="106"/>
      <c r="E646" s="105"/>
      <c r="F646" s="101"/>
      <c r="H646" s="69" t="s">
        <v>103</v>
      </c>
      <c r="I646" s="95"/>
      <c r="J646" s="95"/>
      <c r="K646" s="106"/>
      <c r="L646" s="105"/>
      <c r="M646" s="101"/>
      <c r="Q646" s="10" t="s">
        <v>150</v>
      </c>
      <c r="R646">
        <f>IF(F642=Q646,E642,0)+IF(F643=Q646,E643,0)+IF(F638=Q646,E638,0)+IF(Q646=F639,E639,0)+IF(F640=Q646,E640,0)+IF(F641=Q646,E641,0)</f>
        <v>0</v>
      </c>
      <c r="S646">
        <f>IF(M641=Q646,L641,0)+IF(M642=Q646,L642,0)+IF(M643=Q646,L643,0)+IF(Q646=M638,L638,0)+IF(M639=Q646,L639,0)+IF(M640=Q646,L640,0)</f>
        <v>0</v>
      </c>
      <c r="T646">
        <f>IF(F646=Q646,E646,0)+IF(F647=Q646,E647,0)+IF(F648=Q646,E648,0)+IF(Q646=F649,E649,0)+IF(F650=Q646,E650,0)+IF(F651=Q646,E651,0)</f>
        <v>0</v>
      </c>
      <c r="U646">
        <f>IF(M646=Q646,L646,0)+IF(M647=Q646,L647,0)+IF(M648=Q646,L648,0)+IF(Q646=M649,L649,0)+IF(M650=Q646,L650,0)+IF(M651=Q646,L651,0)</f>
        <v>0</v>
      </c>
      <c r="V646">
        <f>IF(F654=Q646,E654,0)+IF(F655=Q646,E655,0)+IF(F656=Q646,E656,0)+IF(Q646=F657,E657,0)+IF(F658=Q646,E658,0)+IF(F659=Q646,E659,0)</f>
        <v>0</v>
      </c>
      <c r="W646" s="63">
        <f t="shared" si="112"/>
        <v>0</v>
      </c>
      <c r="AB646" t="s">
        <v>267</v>
      </c>
      <c r="AC646">
        <f>(SUM(B638:B644))</f>
        <v>0</v>
      </c>
    </row>
    <row r="647" spans="1:29" hidden="1" outlineLevel="1" x14ac:dyDescent="0.25">
      <c r="A647" s="69" t="s">
        <v>104</v>
      </c>
      <c r="B647" s="96"/>
      <c r="C647" s="96"/>
      <c r="D647" s="102"/>
      <c r="E647" s="103"/>
      <c r="F647" s="38"/>
      <c r="H647" s="69" t="s">
        <v>104</v>
      </c>
      <c r="I647" s="96"/>
      <c r="J647" s="96"/>
      <c r="K647" s="102"/>
      <c r="L647" s="103"/>
      <c r="M647" s="38"/>
      <c r="Q647" s="10" t="s">
        <v>502</v>
      </c>
      <c r="R647">
        <f>IF(F643=Q647,E643,0)+IF(F638=Q647,E638,0)+IF(F639=Q647,E639,0)+IF(Q647=F640,E640,0)+IF(F641=Q647,E641,0)+IF(F642=Q647,E642,0)</f>
        <v>0</v>
      </c>
      <c r="S647">
        <f>IF(M641=Q647,L641,0)+IF(M642=Q647,L642,0)+IF(M643=Q647,L643,0)+IF(Q647=M638,L638,0)+IF(M639=Q647,L639,0)+IF(M640=Q647,L640,0)</f>
        <v>0</v>
      </c>
      <c r="T647">
        <f>IF(F646=Q647,E646,0)+IF(F647=Q647,E647,0)+IF(F648=Q647,E648,0)+IF(Q647=F649,E649,0)+IF(F650=Q647,E650,0)+IF(F651=Q647,E651,0)</f>
        <v>0</v>
      </c>
      <c r="U647">
        <f>IF(M646=Q647,L646,0)+IF(M647=Q647,L647,0)+IF(M648=Q647,L648,0)+IF(Q647=M649,L649,0)+IF(M650=Q647,L650,0)+IF(M651=Q647,L651,0)</f>
        <v>0</v>
      </c>
      <c r="V647">
        <f>IF(F654=Q647,E654,0)+IF(F655=Q647,E655,0)+IF(F656=Q647,E656,0)+IF(Q647=F657,E657,0)+IF(F658=Q647,E658,0)+IF(F659=Q647,E659,0)</f>
        <v>0</v>
      </c>
      <c r="W647" s="63">
        <f t="shared" si="112"/>
        <v>0</v>
      </c>
      <c r="AB647" t="s">
        <v>268</v>
      </c>
      <c r="AC647">
        <f>(SUM(I638:I644))</f>
        <v>0</v>
      </c>
    </row>
    <row r="648" spans="1:29" hidden="1" outlineLevel="1" x14ac:dyDescent="0.25">
      <c r="A648" s="69" t="s">
        <v>105</v>
      </c>
      <c r="B648" s="96"/>
      <c r="C648" s="96"/>
      <c r="D648" s="102"/>
      <c r="E648" s="103"/>
      <c r="F648" s="38"/>
      <c r="H648" s="69" t="s">
        <v>105</v>
      </c>
      <c r="I648" s="96"/>
      <c r="J648" s="96"/>
      <c r="K648" s="102"/>
      <c r="L648" s="103"/>
      <c r="M648" s="38"/>
      <c r="Q648" s="10" t="s">
        <v>498</v>
      </c>
      <c r="R648">
        <f>IF(F638=Q648,E638,0)+IF(F639=Q648,E639,0)+IF(F640=Q648,E640,0)+IF(Q648=F641,E641,0)+IF(F642=Q648,E642,0)+IF(F643=Q648,E643,0)</f>
        <v>0</v>
      </c>
      <c r="S648">
        <f>IF(M641=Q648,L641,0)+IF(M642=Q648,L642,0)+IF(M643=Q648,L643,0)+IF(Q648=M638,L638,0)+IF(M639=Q648,L639,0)+IF(M640=Q648,L640,0)</f>
        <v>0</v>
      </c>
      <c r="T648">
        <f>IF(F646=Q648,E646,0)+IF(F647=Q648,E647,0)+IF(F648=Q648,E648,0)+IF(Q648=F649,E649,0)+IF(F650=Q648,E650,0)+IF(F651=Q648,E651,0)</f>
        <v>0</v>
      </c>
      <c r="U648">
        <f>IF(M646=Q648,L646,0)+IF(M647=Q648,L647,0)+IF(M648=Q648,L648,0)+IF(Q648=M649,L649,0)+IF(M650=Q648,L650,0)+IF(M651=Q648,L651,0)</f>
        <v>0</v>
      </c>
      <c r="V648">
        <f>IF(F654=Q648,E654,0)+IF(F655=Q648,E655,0)+IF(F656=Q648,E656,0)+IF(Q648=F657,E657,0)+IF(F658=Q648,E658,0)+IF(F659=Q648,E659,0)</f>
        <v>0</v>
      </c>
      <c r="W648" s="63">
        <f t="shared" si="112"/>
        <v>0</v>
      </c>
      <c r="AB648" t="s">
        <v>269</v>
      </c>
      <c r="AC648">
        <f>(SUM(B646:B652))</f>
        <v>0</v>
      </c>
    </row>
    <row r="649" spans="1:29" hidden="1" outlineLevel="1" x14ac:dyDescent="0.25">
      <c r="A649" s="69" t="s">
        <v>106</v>
      </c>
      <c r="B649" s="96"/>
      <c r="C649" s="96"/>
      <c r="D649" s="102"/>
      <c r="E649" s="103"/>
      <c r="F649" s="38"/>
      <c r="H649" s="69" t="s">
        <v>106</v>
      </c>
      <c r="I649" s="96"/>
      <c r="J649" s="96"/>
      <c r="K649" s="102"/>
      <c r="L649" s="103"/>
      <c r="M649" s="38"/>
      <c r="P649" s="72"/>
      <c r="Q649" s="73" t="s">
        <v>501</v>
      </c>
      <c r="R649" s="72">
        <f>IF(F639=Q649,E639,0)+IF(F640=Q649,E640,0)+IF(F641=Q649,E641,0)+IF(Q649=F642,E642,0)+IF(F643=Q649,E643,0)+IF(F638=Q649,E638,0)</f>
        <v>0</v>
      </c>
      <c r="S649" s="72">
        <f>IF(M641=Q649,L641,0)+IF(M642=Q649,L642,0)+IF(M643=Q649,L643,0)+IF(Q649=M638,L638,0)+IF(M639=Q649,L639,0)+IF(M640=Q649,L640,0)</f>
        <v>0</v>
      </c>
      <c r="T649" s="72">
        <f>IF(F646=Q649,E646,0)+IF(F647=Q649,E647,0)+IF(F648=Q649,E648,0)+IF(Q649=F649,E649,0)+IF(F650=Q649,E650,0)+IF(F651=Q649,E651,0)</f>
        <v>0</v>
      </c>
      <c r="U649" s="72">
        <f>IF(M646=Q649,L646,0)+IF(M647=Q649,L647,0)+IF(M648=Q649,L648,0)+IF(Q649=M649,L649,0)+IF(M650=Q649,L650,0)+IF(M651=Q649,L651,0)</f>
        <v>0</v>
      </c>
      <c r="V649" s="72">
        <f>IF(F654=Q649,E654,0)+IF(F655=Q649,E655,0)+IF(F656=Q649,E656,0)+IF(Q649=F657,E657,0)+IF(F658=Q649,E658,0)+IF(F659=Q649,E659,0)</f>
        <v>0</v>
      </c>
      <c r="W649" s="74">
        <f t="shared" si="112"/>
        <v>0</v>
      </c>
      <c r="AB649" t="s">
        <v>270</v>
      </c>
      <c r="AC649">
        <f>(SUM(I646:I652))</f>
        <v>0</v>
      </c>
    </row>
    <row r="650" spans="1:29" hidden="1" outlineLevel="1" x14ac:dyDescent="0.25">
      <c r="A650" s="69" t="s">
        <v>107</v>
      </c>
      <c r="B650" s="96"/>
      <c r="C650" s="96"/>
      <c r="D650" s="102"/>
      <c r="E650" s="103"/>
      <c r="F650" s="38"/>
      <c r="H650" s="69" t="s">
        <v>107</v>
      </c>
      <c r="I650" s="96"/>
      <c r="J650" s="96"/>
      <c r="K650" s="102"/>
      <c r="L650" s="103"/>
      <c r="M650" s="38"/>
      <c r="Q650" s="75" t="s">
        <v>169</v>
      </c>
      <c r="R650" s="2" t="e">
        <f>IF(M635="Règlement HC",K635*10%,0)</f>
        <v>#N/A</v>
      </c>
      <c r="S650" s="2" t="e">
        <f>IF(M635="Règlement HC",K635*10%,0)</f>
        <v>#N/A</v>
      </c>
      <c r="T650" s="2" t="e">
        <f>IF(M635="Règlement HC",K635*10%,0)</f>
        <v>#N/A</v>
      </c>
      <c r="U650" s="2" t="e">
        <f>IF(M635="Règlement HC",K635*10%,0)</f>
        <v>#N/A</v>
      </c>
      <c r="V650" s="2" t="e">
        <f>IF(M635="Règlement HC",K635*10%,0)</f>
        <v>#N/A</v>
      </c>
      <c r="W650" s="76"/>
      <c r="AB650" t="s">
        <v>271</v>
      </c>
      <c r="AC650">
        <f>(SUM(B654:B660))</f>
        <v>0</v>
      </c>
    </row>
    <row r="651" spans="1:29" hidden="1" outlineLevel="1" x14ac:dyDescent="0.25">
      <c r="A651" s="69" t="s">
        <v>108</v>
      </c>
      <c r="B651" s="96"/>
      <c r="C651" s="96"/>
      <c r="D651" s="102"/>
      <c r="E651" s="103"/>
      <c r="F651" s="38"/>
      <c r="H651" s="69" t="s">
        <v>108</v>
      </c>
      <c r="I651" s="96"/>
      <c r="J651" s="96"/>
      <c r="K651" s="102"/>
      <c r="L651" s="103"/>
      <c r="M651" s="38"/>
      <c r="Q651" s="75" t="s">
        <v>175</v>
      </c>
      <c r="R651" s="2" t="e">
        <f>IF(M635="Règlement HC",SUM(B638:B644)-K635,0)</f>
        <v>#N/A</v>
      </c>
      <c r="S651" s="2" t="e">
        <f>IF(M635="Règlement HC",SUM(I638:I644)-K635,0)</f>
        <v>#N/A</v>
      </c>
      <c r="T651" s="2" t="e">
        <f>IF(M635="Règlement HC",SUM(B646:B652)-K635,0)</f>
        <v>#N/A</v>
      </c>
      <c r="U651" s="2" t="e">
        <f>IF(M635="Règlement HC",SUM(I646:I652)-K635,0)</f>
        <v>#N/A</v>
      </c>
      <c r="V651" s="2" t="e">
        <f>IF(M635="Règlement HC",SUM(B654:B660)-K635,0)</f>
        <v>#N/A</v>
      </c>
      <c r="W651" s="63" t="e">
        <f>SUM((IF(R651&gt;0,R651,0)+(IF(S651&gt;0,S651,0)+(IF(T651&gt;0,T651,0)+(IF(U651&gt;0,U651,0)+(IF(V651&gt;0,V651,0)))))))</f>
        <v>#N/A</v>
      </c>
      <c r="AA651" t="s">
        <v>313</v>
      </c>
      <c r="AB651" t="s">
        <v>314</v>
      </c>
      <c r="AC651" t="e">
        <f>W655</f>
        <v>#N/A</v>
      </c>
    </row>
    <row r="652" spans="1:29" ht="15.75" hidden="1" outlineLevel="1" thickBot="1" x14ac:dyDescent="0.3">
      <c r="A652" s="70" t="s">
        <v>109</v>
      </c>
      <c r="B652" s="97"/>
      <c r="C652" s="97"/>
      <c r="D652" s="71"/>
      <c r="E652" s="104"/>
      <c r="F652" s="38"/>
      <c r="H652" s="70" t="s">
        <v>109</v>
      </c>
      <c r="I652" s="97"/>
      <c r="J652" s="97"/>
      <c r="K652" s="71"/>
      <c r="L652" s="104"/>
      <c r="M652" s="39"/>
      <c r="P652" t="s">
        <v>170</v>
      </c>
      <c r="Q652" s="10" t="s">
        <v>162</v>
      </c>
      <c r="R652" t="e">
        <f>IF(R651&gt;=R650,R650,R651)</f>
        <v>#N/A</v>
      </c>
      <c r="S652" t="e">
        <f>IF(S651&gt;=S650,S650,S651)</f>
        <v>#N/A</v>
      </c>
      <c r="T652" t="e">
        <f>IF(T651&gt;=T650,T650,T651)</f>
        <v>#N/A</v>
      </c>
      <c r="U652" t="e">
        <f>IF(U651&gt;=U650,U650,U651)</f>
        <v>#N/A</v>
      </c>
      <c r="V652" t="e">
        <f>IF(V651&gt;=V650,V650,V651)</f>
        <v>#N/A</v>
      </c>
      <c r="W652" s="63" t="e">
        <f>SUM((IF(R652&gt;0,R652,0)+(IF(S652&gt;0,S652,0)+(IF(T652&gt;0,T652,0)+(IF(U652&gt;0,U652,0)+(IF(V652&gt;0,V652,0)))))))</f>
        <v>#N/A</v>
      </c>
    </row>
    <row r="653" spans="1:29" ht="15.75" hidden="1" outlineLevel="1" thickBot="1" x14ac:dyDescent="0.3">
      <c r="A653" s="64" t="str">
        <f>A620</f>
        <v>Ne pas saisir</v>
      </c>
      <c r="B653" s="65" t="e">
        <f>B637</f>
        <v>#N/A</v>
      </c>
      <c r="C653" s="65" t="str">
        <f>C637</f>
        <v>Férié</v>
      </c>
      <c r="D653" s="66" t="e">
        <f>D637</f>
        <v>#N/A</v>
      </c>
      <c r="E653" s="66" t="e">
        <f>E637</f>
        <v>#N/A</v>
      </c>
      <c r="F653" s="67" t="str">
        <f>F637</f>
        <v>Type absence</v>
      </c>
      <c r="H653" s="77" t="s">
        <v>136</v>
      </c>
      <c r="I653" s="78" t="e">
        <f>B637</f>
        <v>#N/A</v>
      </c>
      <c r="J653" s="78" t="str">
        <f>C637</f>
        <v>Férié</v>
      </c>
      <c r="K653" s="79" t="e">
        <f>D637</f>
        <v>#N/A</v>
      </c>
      <c r="L653" s="80" t="e">
        <f>E637</f>
        <v>#N/A</v>
      </c>
      <c r="M653" s="49"/>
      <c r="P653" t="s">
        <v>170</v>
      </c>
      <c r="Q653" s="10" t="s">
        <v>163</v>
      </c>
      <c r="R653" t="e">
        <f>R651-R652</f>
        <v>#N/A</v>
      </c>
      <c r="S653" t="e">
        <f>S651-S652</f>
        <v>#N/A</v>
      </c>
      <c r="T653" t="e">
        <f>T651-T652</f>
        <v>#N/A</v>
      </c>
      <c r="U653" t="e">
        <f>U651-U652</f>
        <v>#N/A</v>
      </c>
      <c r="V653" t="e">
        <f>V651-V652</f>
        <v>#N/A</v>
      </c>
      <c r="W653" s="63" t="e">
        <f t="shared" ref="W653:W658" si="113">SUM(R653:V653)</f>
        <v>#N/A</v>
      </c>
    </row>
    <row r="654" spans="1:29" hidden="1" outlineLevel="1" x14ac:dyDescent="0.25">
      <c r="A654" s="69" t="s">
        <v>103</v>
      </c>
      <c r="B654" s="95"/>
      <c r="C654" s="95"/>
      <c r="D654" s="106"/>
      <c r="E654" s="105"/>
      <c r="F654" s="101"/>
      <c r="H654" s="81" t="s">
        <v>103</v>
      </c>
      <c r="I654" s="82">
        <f t="shared" ref="I654:I659" si="114">B638+I638+B646+I646+B654</f>
        <v>0</v>
      </c>
      <c r="J654" s="82">
        <f t="shared" ref="J654:J659" si="115">C638+J638+C646+J646+C654</f>
        <v>0</v>
      </c>
      <c r="K654" s="83">
        <f t="shared" ref="K654:K659" si="116">D638+K638+D646+K646+D654</f>
        <v>0</v>
      </c>
      <c r="L654" s="84">
        <f t="shared" ref="L654:L659" si="117">E638+L638+E646+L646+E654</f>
        <v>0</v>
      </c>
      <c r="M654" s="303" t="s">
        <v>177</v>
      </c>
      <c r="N654" s="304"/>
      <c r="O654" s="304"/>
      <c r="Q654" s="10" t="s">
        <v>164</v>
      </c>
      <c r="R654" t="e">
        <f>IF(AND(K635="non",(SUM(B638:B644)&gt;U634)),SUM(B638:B644)-U634,0)</f>
        <v>#N/A</v>
      </c>
      <c r="S654" t="e">
        <f>IF(AND(K635="non",(SUM(I638:I644)&gt;U634)),SUM(I638:I644)-U634,0)</f>
        <v>#N/A</v>
      </c>
      <c r="T654" t="e">
        <f>IF(AND(K635="non",(SUM(B646:B652)&gt;U634)),SUM(B646:B652)-U634,0)</f>
        <v>#N/A</v>
      </c>
      <c r="U654" t="e">
        <f>IF(AND(K635="non",(SUM(I646:I652)&gt;U634)),SUM(I646:I652)-U634,0)</f>
        <v>#N/A</v>
      </c>
      <c r="V654" t="e">
        <f>IF(AND(K635="non",(SUM(B654:B660)&gt;U634)),SUM(B654:B660)-U634,0)</f>
        <v>#N/A</v>
      </c>
      <c r="W654" s="63" t="e">
        <f t="shared" si="113"/>
        <v>#N/A</v>
      </c>
    </row>
    <row r="655" spans="1:29" hidden="1" outlineLevel="1" x14ac:dyDescent="0.25">
      <c r="A655" s="69" t="s">
        <v>104</v>
      </c>
      <c r="B655" s="96"/>
      <c r="C655" s="96"/>
      <c r="D655" s="102"/>
      <c r="E655" s="103"/>
      <c r="F655" s="38"/>
      <c r="H655" s="81" t="s">
        <v>104</v>
      </c>
      <c r="I655" s="88">
        <f t="shared" si="114"/>
        <v>0</v>
      </c>
      <c r="J655" s="88">
        <f t="shared" si="115"/>
        <v>0</v>
      </c>
      <c r="K655" s="89">
        <f t="shared" si="116"/>
        <v>0</v>
      </c>
      <c r="L655" s="90">
        <f t="shared" si="117"/>
        <v>0</v>
      </c>
      <c r="M655" s="49"/>
      <c r="P655" t="s">
        <v>167</v>
      </c>
      <c r="Q655" s="10" t="s">
        <v>165</v>
      </c>
      <c r="R655" t="e">
        <f>IF(H636="Cadre",0,SUM(C638:C644))</f>
        <v>#N/A</v>
      </c>
      <c r="S655" t="e">
        <f>IF(H636="Cadre",0,SUM(J638:J644))</f>
        <v>#N/A</v>
      </c>
      <c r="T655" t="e">
        <f>IF(H636="Cadre",0,SUM(C646:C652))</f>
        <v>#N/A</v>
      </c>
      <c r="U655" t="e">
        <f>IF(H636="Cadre",0,SUM(J646:J652))</f>
        <v>#N/A</v>
      </c>
      <c r="V655" t="e">
        <f>IF(H636="Cadre",0,SUM(C654:C660))</f>
        <v>#N/A</v>
      </c>
      <c r="W655" s="63" t="e">
        <f t="shared" si="113"/>
        <v>#N/A</v>
      </c>
    </row>
    <row r="656" spans="1:29" hidden="1" outlineLevel="1" x14ac:dyDescent="0.25">
      <c r="A656" s="69" t="s">
        <v>105</v>
      </c>
      <c r="B656" s="96"/>
      <c r="C656" s="96"/>
      <c r="D656" s="102"/>
      <c r="E656" s="103"/>
      <c r="F656" s="38"/>
      <c r="H656" s="81" t="s">
        <v>105</v>
      </c>
      <c r="I656" s="88">
        <f t="shared" si="114"/>
        <v>0</v>
      </c>
      <c r="J656" s="88">
        <f t="shared" si="115"/>
        <v>0</v>
      </c>
      <c r="K656" s="89">
        <f t="shared" si="116"/>
        <v>0</v>
      </c>
      <c r="L656" s="90">
        <f t="shared" si="117"/>
        <v>0</v>
      </c>
      <c r="M656" s="49"/>
      <c r="P656" t="s">
        <v>168</v>
      </c>
      <c r="Q656" s="10" t="s">
        <v>165</v>
      </c>
      <c r="R656" t="e">
        <f>IF(H636="Cadre",((SUM(C638:C644)/2)*5),0)</f>
        <v>#N/A</v>
      </c>
      <c r="S656" t="e">
        <f>IF(H636="Cadre",(SUM(J638:J644)/2*5),0)</f>
        <v>#N/A</v>
      </c>
      <c r="T656" t="e">
        <f>IF(H636="Cadre",(SUM(C646:C652)/2*5),0)</f>
        <v>#N/A</v>
      </c>
      <c r="U656" t="e">
        <f>IF(H636="Cadre",(SUM(J646:J652)/2*5),0)</f>
        <v>#N/A</v>
      </c>
      <c r="V656" t="e">
        <f>IF(H636="Cadre",(SUM(C654:C660)/2*5),0)</f>
        <v>#N/A</v>
      </c>
      <c r="W656" s="63" t="e">
        <f t="shared" si="113"/>
        <v>#N/A</v>
      </c>
    </row>
    <row r="657" spans="1:23" hidden="1" outlineLevel="1" x14ac:dyDescent="0.25">
      <c r="A657" s="69" t="s">
        <v>106</v>
      </c>
      <c r="B657" s="96"/>
      <c r="C657" s="96"/>
      <c r="D657" s="102"/>
      <c r="E657" s="103"/>
      <c r="F657" s="38"/>
      <c r="H657" s="81" t="s">
        <v>106</v>
      </c>
      <c r="I657" s="88">
        <f t="shared" si="114"/>
        <v>0</v>
      </c>
      <c r="J657" s="88">
        <f t="shared" si="115"/>
        <v>0</v>
      </c>
      <c r="K657" s="89">
        <f t="shared" si="116"/>
        <v>0</v>
      </c>
      <c r="L657" s="90">
        <f t="shared" si="117"/>
        <v>0</v>
      </c>
      <c r="M657" s="49"/>
      <c r="P657" t="s">
        <v>166</v>
      </c>
      <c r="Q657" s="10" t="s">
        <v>159</v>
      </c>
      <c r="R657" t="e">
        <f>IF(H636="Employé",B644,0)</f>
        <v>#N/A</v>
      </c>
      <c r="S657" t="e">
        <f>IF(H636="Employé",I644,0)</f>
        <v>#N/A</v>
      </c>
      <c r="T657" t="e">
        <f>IF(H636="Employé",B652,0)</f>
        <v>#N/A</v>
      </c>
      <c r="U657" t="e">
        <f>IF(H636="Employé",I652,0)</f>
        <v>#N/A</v>
      </c>
      <c r="V657" t="e">
        <f>IF(H636="Employé",B660,0)</f>
        <v>#N/A</v>
      </c>
      <c r="W657" s="63" t="e">
        <f t="shared" si="113"/>
        <v>#N/A</v>
      </c>
    </row>
    <row r="658" spans="1:23" hidden="1" outlineLevel="1" x14ac:dyDescent="0.25">
      <c r="A658" s="69" t="s">
        <v>107</v>
      </c>
      <c r="B658" s="96"/>
      <c r="C658" s="96"/>
      <c r="D658" s="102"/>
      <c r="E658" s="103"/>
      <c r="F658" s="38"/>
      <c r="H658" s="81" t="s">
        <v>107</v>
      </c>
      <c r="I658" s="88">
        <f t="shared" si="114"/>
        <v>0</v>
      </c>
      <c r="J658" s="88">
        <f t="shared" si="115"/>
        <v>0</v>
      </c>
      <c r="K658" s="89">
        <f t="shared" si="116"/>
        <v>0</v>
      </c>
      <c r="L658" s="90">
        <f t="shared" si="117"/>
        <v>0</v>
      </c>
      <c r="M658" s="303" t="s">
        <v>178</v>
      </c>
      <c r="N658" s="304"/>
      <c r="O658" s="304"/>
      <c r="P658" t="s">
        <v>297</v>
      </c>
      <c r="Q658" s="10" t="s">
        <v>159</v>
      </c>
      <c r="R658" t="e">
        <f>IF(H636="Cadre",IF(B644=2,5,0),0)</f>
        <v>#N/A</v>
      </c>
      <c r="S658" t="e">
        <f>IF(H636="Cadre",IF(I644=2,5,0),0)</f>
        <v>#N/A</v>
      </c>
      <c r="T658" t="e">
        <f>IF(H636="Cadre",IF(B652=2,5,0),0)</f>
        <v>#N/A</v>
      </c>
      <c r="U658" t="e">
        <f>IF(H636="Cadre",IF(I652=2,5,0),0)</f>
        <v>#N/A</v>
      </c>
      <c r="V658" t="e">
        <f>IF(H636="Cadre",IF(B660=2,5,0),0)</f>
        <v>#N/A</v>
      </c>
      <c r="W658" s="63" t="e">
        <f t="shared" si="113"/>
        <v>#N/A</v>
      </c>
    </row>
    <row r="659" spans="1:23" hidden="1" outlineLevel="1" x14ac:dyDescent="0.25">
      <c r="A659" s="69" t="s">
        <v>108</v>
      </c>
      <c r="B659" s="96"/>
      <c r="C659" s="96"/>
      <c r="D659" s="102"/>
      <c r="E659" s="103"/>
      <c r="F659" s="38"/>
      <c r="H659" s="81" t="s">
        <v>108</v>
      </c>
      <c r="I659" s="88">
        <f t="shared" si="114"/>
        <v>0</v>
      </c>
      <c r="J659" s="88">
        <f t="shared" si="115"/>
        <v>0</v>
      </c>
      <c r="K659" s="89">
        <f t="shared" si="116"/>
        <v>0</v>
      </c>
      <c r="L659" s="90">
        <f t="shared" si="117"/>
        <v>0</v>
      </c>
      <c r="M659" s="49"/>
      <c r="P659" t="s">
        <v>171</v>
      </c>
      <c r="Q659" s="10" t="s">
        <v>172</v>
      </c>
      <c r="R659" s="2"/>
      <c r="S659" s="2"/>
      <c r="T659" s="2"/>
      <c r="U659" s="2"/>
      <c r="V659" s="2"/>
      <c r="W659" s="91" t="e">
        <f>IF(AND(K635="non",H636="Employé"),SUM(I654:I660)+(SUM(W636:W649)-W632),(SUM(I654:I660)-W651)+(SUM(W636:W649)-W632))</f>
        <v>#N/A</v>
      </c>
    </row>
    <row r="660" spans="1:23" ht="15.75" hidden="1" outlineLevel="1" thickBot="1" x14ac:dyDescent="0.3">
      <c r="A660" s="70" t="s">
        <v>109</v>
      </c>
      <c r="B660" s="97"/>
      <c r="C660" s="97"/>
      <c r="D660" s="71"/>
      <c r="E660" s="104"/>
      <c r="F660" s="39"/>
      <c r="H660" s="92" t="s">
        <v>109</v>
      </c>
      <c r="I660" s="93">
        <f>(B644+I644+B652+I652+B660)</f>
        <v>0</v>
      </c>
      <c r="J660" s="93">
        <f>(C644+J644+C652+J652+C660)</f>
        <v>0</v>
      </c>
      <c r="K660" s="71">
        <f>(D644+K644+D652+K652+D660)</f>
        <v>0</v>
      </c>
      <c r="L660" s="94">
        <f>(E644+L644+E652+L652+E660)</f>
        <v>0</v>
      </c>
      <c r="M660" s="49"/>
      <c r="P660" t="s">
        <v>176</v>
      </c>
      <c r="Q660" s="10" t="s">
        <v>172</v>
      </c>
      <c r="R660" s="2"/>
      <c r="S660" s="2"/>
      <c r="T660" s="2"/>
      <c r="U660" s="2"/>
      <c r="V660" s="2"/>
      <c r="W660" s="91" t="e">
        <f>IF(H636="Cadre",((SUM(I654:I660)+SUM(W636:W649)-W638-W639)/2),0)</f>
        <v>#N/A</v>
      </c>
    </row>
    <row r="661" spans="1:23" collapsed="1" x14ac:dyDescent="0.25"/>
  </sheetData>
  <sheetProtection algorithmName="SHA-512" hashValue="WecvX2f188FW3xZvz/Ts/G8a6FAZ4iHqe3dgfbBtj8nYJymq3g6eHIzqRCLMsX8258xfGKRZ696SBYYj18fgEw==" saltValue="zIvFDewlXPhcKmrUxM25LA==" spinCount="100000" sheet="1" objects="1" scenarios="1"/>
  <mergeCells count="61">
    <mergeCell ref="M658:O658"/>
    <mergeCell ref="D595:K597"/>
    <mergeCell ref="M621:O621"/>
    <mergeCell ref="M625:O625"/>
    <mergeCell ref="D628:K630"/>
    <mergeCell ref="M654:O654"/>
    <mergeCell ref="M555:O555"/>
    <mergeCell ref="M559:O559"/>
    <mergeCell ref="D562:K564"/>
    <mergeCell ref="M588:O588"/>
    <mergeCell ref="M592:O592"/>
    <mergeCell ref="M493:O493"/>
    <mergeCell ref="D496:K498"/>
    <mergeCell ref="M522:O522"/>
    <mergeCell ref="M526:O526"/>
    <mergeCell ref="D529:K531"/>
    <mergeCell ref="D430:K432"/>
    <mergeCell ref="M456:O456"/>
    <mergeCell ref="M460:O460"/>
    <mergeCell ref="D463:K465"/>
    <mergeCell ref="M489:O489"/>
    <mergeCell ref="M390:O390"/>
    <mergeCell ref="M394:O394"/>
    <mergeCell ref="D397:K399"/>
    <mergeCell ref="M423:O423"/>
    <mergeCell ref="M427:O427"/>
    <mergeCell ref="M328:O328"/>
    <mergeCell ref="D331:K333"/>
    <mergeCell ref="M357:O357"/>
    <mergeCell ref="M361:O361"/>
    <mergeCell ref="D364:K366"/>
    <mergeCell ref="D265:K267"/>
    <mergeCell ref="M291:O291"/>
    <mergeCell ref="M295:O295"/>
    <mergeCell ref="D298:K300"/>
    <mergeCell ref="M324:O324"/>
    <mergeCell ref="M225:O225"/>
    <mergeCell ref="M229:O229"/>
    <mergeCell ref="D232:K234"/>
    <mergeCell ref="M258:O258"/>
    <mergeCell ref="M262:O262"/>
    <mergeCell ref="M163:O163"/>
    <mergeCell ref="D166:K168"/>
    <mergeCell ref="M192:O192"/>
    <mergeCell ref="M196:O196"/>
    <mergeCell ref="D199:K201"/>
    <mergeCell ref="D100:K102"/>
    <mergeCell ref="M126:O126"/>
    <mergeCell ref="M130:O130"/>
    <mergeCell ref="D133:K135"/>
    <mergeCell ref="M159:O159"/>
    <mergeCell ref="M60:O60"/>
    <mergeCell ref="M64:O64"/>
    <mergeCell ref="D67:K69"/>
    <mergeCell ref="M93:O93"/>
    <mergeCell ref="M97:O97"/>
    <mergeCell ref="AF4:AJ4"/>
    <mergeCell ref="D1:K3"/>
    <mergeCell ref="M27:O27"/>
    <mergeCell ref="M31:O31"/>
    <mergeCell ref="D34:K36"/>
  </mergeCells>
  <conditionalFormatting sqref="A26">
    <cfRule type="cellIs" dxfId="46" priority="26" operator="equal">
      <formula>"Ne pas saisir"</formula>
    </cfRule>
  </conditionalFormatting>
  <conditionalFormatting sqref="A59">
    <cfRule type="cellIs" dxfId="45" priority="25" operator="equal">
      <formula>"Ne pas saisir"</formula>
    </cfRule>
  </conditionalFormatting>
  <conditionalFormatting sqref="A92">
    <cfRule type="cellIs" dxfId="44" priority="24" operator="equal">
      <formula>"Ne pas saisir"</formula>
    </cfRule>
  </conditionalFormatting>
  <conditionalFormatting sqref="A125">
    <cfRule type="cellIs" dxfId="43" priority="23" operator="equal">
      <formula>"Ne pas saisir"</formula>
    </cfRule>
  </conditionalFormatting>
  <conditionalFormatting sqref="A158">
    <cfRule type="cellIs" dxfId="42" priority="22" operator="equal">
      <formula>"Ne pas saisir"</formula>
    </cfRule>
  </conditionalFormatting>
  <conditionalFormatting sqref="A191">
    <cfRule type="cellIs" dxfId="41" priority="21" operator="equal">
      <formula>"Ne pas saisir"</formula>
    </cfRule>
  </conditionalFormatting>
  <conditionalFormatting sqref="A224">
    <cfRule type="cellIs" dxfId="40" priority="20" operator="equal">
      <formula>"Ne pas saisir"</formula>
    </cfRule>
  </conditionalFormatting>
  <conditionalFormatting sqref="A257">
    <cfRule type="cellIs" dxfId="39" priority="19" operator="equal">
      <formula>"Ne pas saisir"</formula>
    </cfRule>
  </conditionalFormatting>
  <conditionalFormatting sqref="A290">
    <cfRule type="cellIs" dxfId="38" priority="18" operator="equal">
      <formula>"Ne pas saisir"</formula>
    </cfRule>
  </conditionalFormatting>
  <conditionalFormatting sqref="A323">
    <cfRule type="cellIs" dxfId="37" priority="17" operator="equal">
      <formula>"Ne pas saisir"</formula>
    </cfRule>
  </conditionalFormatting>
  <conditionalFormatting sqref="A356">
    <cfRule type="cellIs" dxfId="36" priority="16" operator="equal">
      <formula>"Ne pas saisir"</formula>
    </cfRule>
  </conditionalFormatting>
  <conditionalFormatting sqref="A389">
    <cfRule type="cellIs" dxfId="35" priority="15" operator="equal">
      <formula>"Ne pas saisir"</formula>
    </cfRule>
  </conditionalFormatting>
  <conditionalFormatting sqref="A422">
    <cfRule type="cellIs" dxfId="34" priority="14" operator="equal">
      <formula>"Ne pas saisir"</formula>
    </cfRule>
  </conditionalFormatting>
  <conditionalFormatting sqref="A455">
    <cfRule type="cellIs" dxfId="33" priority="13" operator="equal">
      <formula>"Ne pas saisir"</formula>
    </cfRule>
  </conditionalFormatting>
  <conditionalFormatting sqref="A488">
    <cfRule type="cellIs" dxfId="32" priority="12" operator="equal">
      <formula>"Ne pas saisir"</formula>
    </cfRule>
  </conditionalFormatting>
  <conditionalFormatting sqref="A521">
    <cfRule type="cellIs" dxfId="31" priority="11" operator="equal">
      <formula>"Ne pas saisir"</formula>
    </cfRule>
  </conditionalFormatting>
  <conditionalFormatting sqref="A554">
    <cfRule type="cellIs" dxfId="30" priority="10" operator="equal">
      <formula>"Ne pas saisir"</formula>
    </cfRule>
  </conditionalFormatting>
  <conditionalFormatting sqref="A587">
    <cfRule type="cellIs" dxfId="29" priority="9" operator="equal">
      <formula>"Ne pas saisir"</formula>
    </cfRule>
  </conditionalFormatting>
  <conditionalFormatting sqref="A620">
    <cfRule type="cellIs" dxfId="28" priority="8" operator="equal">
      <formula>"Ne pas saisir"</formula>
    </cfRule>
  </conditionalFormatting>
  <conditionalFormatting sqref="A653">
    <cfRule type="cellIs" dxfId="27" priority="7" operator="equal">
      <formula>"Ne pas saisir"</formula>
    </cfRule>
  </conditionalFormatting>
  <conditionalFormatting sqref="AI8:AJ27">
    <cfRule type="cellIs" dxfId="26" priority="6" operator="equal">
      <formula>"Vérifier la fiche"</formula>
    </cfRule>
  </conditionalFormatting>
  <conditionalFormatting sqref="H18">
    <cfRule type="cellIs" dxfId="25" priority="5" operator="equal">
      <formula>"Ne pas saisir"</formula>
    </cfRule>
  </conditionalFormatting>
  <conditionalFormatting sqref="H645 H612 H579 H546 H513 H480 H447 H414 H381 H348 H315 H282 H249 H216 H183 H150 H117 H84 H51">
    <cfRule type="cellIs" dxfId="24" priority="4" operator="equal">
      <formula>"Ne pas saisir"</formula>
    </cfRule>
  </conditionalFormatting>
  <conditionalFormatting sqref="A18">
    <cfRule type="cellIs" dxfId="23" priority="3" operator="equal">
      <formula>"Ne pas saisir"</formula>
    </cfRule>
  </conditionalFormatting>
  <conditionalFormatting sqref="A51 A84 A117 A150 A183 A216 A249 A282 A315 A348 A381">
    <cfRule type="cellIs" dxfId="22" priority="2" operator="equal">
      <formula>"Ne pas saisir"</formula>
    </cfRule>
  </conditionalFormatting>
  <conditionalFormatting sqref="A645 A612 A579 A546 A513 A480 A447 A414">
    <cfRule type="cellIs" dxfId="21" priority="1" operator="equal">
      <formula>"Ne pas saisir"</formula>
    </cfRule>
  </conditionalFormatting>
  <dataValidations count="2">
    <dataValidation allowBlank="1" showInputMessage="1" showErrorMessage="1" errorTitle="Choisir le motif dans la liste." error="Choisir le motif dans la liste." sqref="M27:M33 M60:M66 M93:M99 M126:M132 M159:M165 M192:M198 M225:M231 M258:M264 M291:M297 M324:M330 M357:M363 M390:M396 M423:M429 M456:M462 M489:M495 M522:M528 M555:M561 M588:M594 M621:M627 M654:M660 F620" xr:uid="{00000000-0002-0000-0100-000000000000}"/>
    <dataValidation type="list" allowBlank="1" showInputMessage="1" showErrorMessage="1" errorTitle="Choisir le motif dans la liste." error="Choisir le motif dans la liste." sqref="F11:F17 M11:M17 M19:M25 F19:F25 F27:F33 F44:F50 M44:M50 M52:M58 F52:F58 F60:F66 F77:F83 M77:M83 M85:M91 F85:F91 F93:F99 F110:F116 F118:F124 F126:F132 M118:M124 M110:M116 F143:F149 F151:F157 F159:F165 M151:M157 M143:M149 F176:F182 F184:F190 F192:F198 M184:M190 M176:M182 F209:F215 F217:F223 F225:F231 M209:M215 M217:M223 F242:F248 F250:F256 F258:F264 M250:M256 M242:M248 F275:F281 F283:F289 F291:F297 M283:M289 M275:M281 F308:F322 F324:F330 M316:M322 M308:M314 F341:F347 M341:M347 M349:M355 F349:F355 F357:F363 F374:F380 F382:F388 F390:F396 M382:M388 M374:M380 F407:F413 F415:F421 F423:F429 M415:M421 M407:M413 F440:F446 F448:F454 F456:F462 M448:M454 M440:M446 F473:F479 F481:F487 F489:F495 M481:M487 M473:M479 F506:F512 F514:F520 F522:F528 M514:M520 M506:M512 F539:F545 F547:F553 F555:F561 M547:M553 M539:M545 F572:F578 F580:F586 F588:F594 M580:M586 M572:M578 F605:F611 M605:M611 M613:M619 F613:F619 F621:F627 F638:F644 F646:F652 F654:F660 M646:M652 M638:M644" xr:uid="{C023EC15-EA8F-4113-A5CA-E01E234ECDF3}">
      <formula1>"Maladie,Accident T,Injustifiée,Sans Soldes,Ancienneté,Mariage PACS, Naissance/Adoption, Mariage enfant, Décès famille,Rentrée Scolaire,Garde enfant malade,Délégation,Chômage Partiel,Mat/Paternité"</formula1>
    </dataValidation>
  </dataValidations>
  <pageMargins left="0.25" right="0.25" top="0.75" bottom="0.75" header="0.3" footer="0.3"/>
  <pageSetup paperSize="9" scale="64"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197" r:id="rId4" name="Button 149">
              <controlPr defaultSize="0" print="0" autoFill="0" autoPict="0" macro="[0]!Print7">
                <anchor moveWithCells="1" sizeWithCells="1">
                  <from>
                    <xdr:col>31</xdr:col>
                    <xdr:colOff>28575</xdr:colOff>
                    <xdr:row>13</xdr:row>
                    <xdr:rowOff>19050</xdr:rowOff>
                  </from>
                  <to>
                    <xdr:col>32</xdr:col>
                    <xdr:colOff>809625</xdr:colOff>
                    <xdr:row>13</xdr:row>
                    <xdr:rowOff>180975</xdr:rowOff>
                  </to>
                </anchor>
              </controlPr>
            </control>
          </mc:Choice>
        </mc:AlternateContent>
        <mc:AlternateContent xmlns:mc="http://schemas.openxmlformats.org/markup-compatibility/2006">
          <mc:Choice Requires="x14">
            <control shapeId="2198" r:id="rId5" name="Button 150">
              <controlPr defaultSize="0" print="0" autoFill="0" autoPict="0" macro="[0]!Print8">
                <anchor moveWithCells="1" sizeWithCells="1">
                  <from>
                    <xdr:col>31</xdr:col>
                    <xdr:colOff>28575</xdr:colOff>
                    <xdr:row>14</xdr:row>
                    <xdr:rowOff>19050</xdr:rowOff>
                  </from>
                  <to>
                    <xdr:col>32</xdr:col>
                    <xdr:colOff>809625</xdr:colOff>
                    <xdr:row>14</xdr:row>
                    <xdr:rowOff>180975</xdr:rowOff>
                  </to>
                </anchor>
              </controlPr>
            </control>
          </mc:Choice>
        </mc:AlternateContent>
        <mc:AlternateContent xmlns:mc="http://schemas.openxmlformats.org/markup-compatibility/2006">
          <mc:Choice Requires="x14">
            <control shapeId="2199" r:id="rId6" name="Button 151">
              <controlPr defaultSize="0" print="0" autoFill="0" autoPict="0" macro="[0]!Print9">
                <anchor moveWithCells="1" sizeWithCells="1">
                  <from>
                    <xdr:col>31</xdr:col>
                    <xdr:colOff>28575</xdr:colOff>
                    <xdr:row>15</xdr:row>
                    <xdr:rowOff>19050</xdr:rowOff>
                  </from>
                  <to>
                    <xdr:col>32</xdr:col>
                    <xdr:colOff>809625</xdr:colOff>
                    <xdr:row>15</xdr:row>
                    <xdr:rowOff>180975</xdr:rowOff>
                  </to>
                </anchor>
              </controlPr>
            </control>
          </mc:Choice>
        </mc:AlternateContent>
        <mc:AlternateContent xmlns:mc="http://schemas.openxmlformats.org/markup-compatibility/2006">
          <mc:Choice Requires="x14">
            <control shapeId="2200" r:id="rId7" name="Button 152">
              <controlPr defaultSize="0" print="0" autoFill="0" autoPict="0" macro="[0]!Print10">
                <anchor moveWithCells="1" sizeWithCells="1">
                  <from>
                    <xdr:col>31</xdr:col>
                    <xdr:colOff>28575</xdr:colOff>
                    <xdr:row>16</xdr:row>
                    <xdr:rowOff>19050</xdr:rowOff>
                  </from>
                  <to>
                    <xdr:col>32</xdr:col>
                    <xdr:colOff>809625</xdr:colOff>
                    <xdr:row>16</xdr:row>
                    <xdr:rowOff>180975</xdr:rowOff>
                  </to>
                </anchor>
              </controlPr>
            </control>
          </mc:Choice>
        </mc:AlternateContent>
        <mc:AlternateContent xmlns:mc="http://schemas.openxmlformats.org/markup-compatibility/2006">
          <mc:Choice Requires="x14">
            <control shapeId="2201" r:id="rId8" name="Button 153">
              <controlPr defaultSize="0" print="0" autoFill="0" autoPict="0" macro="[0]!Print11">
                <anchor moveWithCells="1" sizeWithCells="1">
                  <from>
                    <xdr:col>31</xdr:col>
                    <xdr:colOff>28575</xdr:colOff>
                    <xdr:row>17</xdr:row>
                    <xdr:rowOff>9525</xdr:rowOff>
                  </from>
                  <to>
                    <xdr:col>32</xdr:col>
                    <xdr:colOff>809625</xdr:colOff>
                    <xdr:row>17</xdr:row>
                    <xdr:rowOff>171450</xdr:rowOff>
                  </to>
                </anchor>
              </controlPr>
            </control>
          </mc:Choice>
        </mc:AlternateContent>
        <mc:AlternateContent xmlns:mc="http://schemas.openxmlformats.org/markup-compatibility/2006">
          <mc:Choice Requires="x14">
            <control shapeId="2202" r:id="rId9" name="Button 154">
              <controlPr defaultSize="0" print="0" autoFill="0" autoPict="0" macro="[0]!Print12">
                <anchor moveWithCells="1" sizeWithCells="1">
                  <from>
                    <xdr:col>31</xdr:col>
                    <xdr:colOff>28575</xdr:colOff>
                    <xdr:row>18</xdr:row>
                    <xdr:rowOff>9525</xdr:rowOff>
                  </from>
                  <to>
                    <xdr:col>32</xdr:col>
                    <xdr:colOff>809625</xdr:colOff>
                    <xdr:row>18</xdr:row>
                    <xdr:rowOff>171450</xdr:rowOff>
                  </to>
                </anchor>
              </controlPr>
            </control>
          </mc:Choice>
        </mc:AlternateContent>
        <mc:AlternateContent xmlns:mc="http://schemas.openxmlformats.org/markup-compatibility/2006">
          <mc:Choice Requires="x14">
            <control shapeId="2203" r:id="rId10" name="Button 155">
              <controlPr defaultSize="0" print="0" autoFill="0" autoPict="0" macro="[0]!Print13">
                <anchor moveWithCells="1" sizeWithCells="1">
                  <from>
                    <xdr:col>31</xdr:col>
                    <xdr:colOff>28575</xdr:colOff>
                    <xdr:row>19</xdr:row>
                    <xdr:rowOff>19050</xdr:rowOff>
                  </from>
                  <to>
                    <xdr:col>32</xdr:col>
                    <xdr:colOff>809625</xdr:colOff>
                    <xdr:row>19</xdr:row>
                    <xdr:rowOff>180975</xdr:rowOff>
                  </to>
                </anchor>
              </controlPr>
            </control>
          </mc:Choice>
        </mc:AlternateContent>
        <mc:AlternateContent xmlns:mc="http://schemas.openxmlformats.org/markup-compatibility/2006">
          <mc:Choice Requires="x14">
            <control shapeId="2204" r:id="rId11" name="Button 156">
              <controlPr defaultSize="0" print="0" autoFill="0" autoPict="0" macro="[0]!Print14">
                <anchor moveWithCells="1" sizeWithCells="1">
                  <from>
                    <xdr:col>31</xdr:col>
                    <xdr:colOff>28575</xdr:colOff>
                    <xdr:row>20</xdr:row>
                    <xdr:rowOff>9525</xdr:rowOff>
                  </from>
                  <to>
                    <xdr:col>32</xdr:col>
                    <xdr:colOff>809625</xdr:colOff>
                    <xdr:row>20</xdr:row>
                    <xdr:rowOff>171450</xdr:rowOff>
                  </to>
                </anchor>
              </controlPr>
            </control>
          </mc:Choice>
        </mc:AlternateContent>
        <mc:AlternateContent xmlns:mc="http://schemas.openxmlformats.org/markup-compatibility/2006">
          <mc:Choice Requires="x14">
            <control shapeId="2205" r:id="rId12" name="Button 157">
              <controlPr defaultSize="0" print="0" autoFill="0" autoPict="0" macro="[0]!Print15">
                <anchor moveWithCells="1" sizeWithCells="1">
                  <from>
                    <xdr:col>31</xdr:col>
                    <xdr:colOff>28575</xdr:colOff>
                    <xdr:row>21</xdr:row>
                    <xdr:rowOff>9525</xdr:rowOff>
                  </from>
                  <to>
                    <xdr:col>32</xdr:col>
                    <xdr:colOff>809625</xdr:colOff>
                    <xdr:row>21</xdr:row>
                    <xdr:rowOff>171450</xdr:rowOff>
                  </to>
                </anchor>
              </controlPr>
            </control>
          </mc:Choice>
        </mc:AlternateContent>
        <mc:AlternateContent xmlns:mc="http://schemas.openxmlformats.org/markup-compatibility/2006">
          <mc:Choice Requires="x14">
            <control shapeId="2206" r:id="rId13" name="Button 158">
              <controlPr defaultSize="0" print="0" autoFill="0" autoPict="0" macro="[0]!Print16">
                <anchor moveWithCells="1" sizeWithCells="1">
                  <from>
                    <xdr:col>31</xdr:col>
                    <xdr:colOff>28575</xdr:colOff>
                    <xdr:row>22</xdr:row>
                    <xdr:rowOff>0</xdr:rowOff>
                  </from>
                  <to>
                    <xdr:col>32</xdr:col>
                    <xdr:colOff>809625</xdr:colOff>
                    <xdr:row>22</xdr:row>
                    <xdr:rowOff>161925</xdr:rowOff>
                  </to>
                </anchor>
              </controlPr>
            </control>
          </mc:Choice>
        </mc:AlternateContent>
        <mc:AlternateContent xmlns:mc="http://schemas.openxmlformats.org/markup-compatibility/2006">
          <mc:Choice Requires="x14">
            <control shapeId="2207" r:id="rId14" name="Button 159">
              <controlPr defaultSize="0" print="0" autoFill="0" autoPict="0" macro="[0]!Print17">
                <anchor moveWithCells="1" sizeWithCells="1">
                  <from>
                    <xdr:col>31</xdr:col>
                    <xdr:colOff>28575</xdr:colOff>
                    <xdr:row>23</xdr:row>
                    <xdr:rowOff>9525</xdr:rowOff>
                  </from>
                  <to>
                    <xdr:col>32</xdr:col>
                    <xdr:colOff>809625</xdr:colOff>
                    <xdr:row>23</xdr:row>
                    <xdr:rowOff>171450</xdr:rowOff>
                  </to>
                </anchor>
              </controlPr>
            </control>
          </mc:Choice>
        </mc:AlternateContent>
        <mc:AlternateContent xmlns:mc="http://schemas.openxmlformats.org/markup-compatibility/2006">
          <mc:Choice Requires="x14">
            <control shapeId="2208" r:id="rId15" name="Button 160">
              <controlPr defaultSize="0" print="0" autoFill="0" autoPict="0" macro="[0]!Print18">
                <anchor moveWithCells="1" sizeWithCells="1">
                  <from>
                    <xdr:col>31</xdr:col>
                    <xdr:colOff>28575</xdr:colOff>
                    <xdr:row>24</xdr:row>
                    <xdr:rowOff>0</xdr:rowOff>
                  </from>
                  <to>
                    <xdr:col>32</xdr:col>
                    <xdr:colOff>809625</xdr:colOff>
                    <xdr:row>24</xdr:row>
                    <xdr:rowOff>161925</xdr:rowOff>
                  </to>
                </anchor>
              </controlPr>
            </control>
          </mc:Choice>
        </mc:AlternateContent>
        <mc:AlternateContent xmlns:mc="http://schemas.openxmlformats.org/markup-compatibility/2006">
          <mc:Choice Requires="x14">
            <control shapeId="2209" r:id="rId16" name="Button 161">
              <controlPr defaultSize="0" print="0" autoFill="0" autoPict="0" macro="[0]!Print19">
                <anchor moveWithCells="1" sizeWithCells="1">
                  <from>
                    <xdr:col>31</xdr:col>
                    <xdr:colOff>28575</xdr:colOff>
                    <xdr:row>24</xdr:row>
                    <xdr:rowOff>190500</xdr:rowOff>
                  </from>
                  <to>
                    <xdr:col>32</xdr:col>
                    <xdr:colOff>809625</xdr:colOff>
                    <xdr:row>25</xdr:row>
                    <xdr:rowOff>152400</xdr:rowOff>
                  </to>
                </anchor>
              </controlPr>
            </control>
          </mc:Choice>
        </mc:AlternateContent>
        <mc:AlternateContent xmlns:mc="http://schemas.openxmlformats.org/markup-compatibility/2006">
          <mc:Choice Requires="x14">
            <control shapeId="2210" r:id="rId17" name="Button 162">
              <controlPr defaultSize="0" print="0" autoFill="0" autoPict="0" macro="[0]!Print20">
                <anchor moveWithCells="1" sizeWithCells="1">
                  <from>
                    <xdr:col>31</xdr:col>
                    <xdr:colOff>28575</xdr:colOff>
                    <xdr:row>25</xdr:row>
                    <xdr:rowOff>190500</xdr:rowOff>
                  </from>
                  <to>
                    <xdr:col>32</xdr:col>
                    <xdr:colOff>809625</xdr:colOff>
                    <xdr:row>26</xdr:row>
                    <xdr:rowOff>152400</xdr:rowOff>
                  </to>
                </anchor>
              </controlPr>
            </control>
          </mc:Choice>
        </mc:AlternateContent>
        <mc:AlternateContent xmlns:mc="http://schemas.openxmlformats.org/markup-compatibility/2006">
          <mc:Choice Requires="x14">
            <control shapeId="2191" r:id="rId18" name="Button 143">
              <controlPr defaultSize="0" print="0" autoFill="0" autoPict="0" macro="[0]!print1">
                <anchor moveWithCells="1" sizeWithCells="1">
                  <from>
                    <xdr:col>31</xdr:col>
                    <xdr:colOff>28575</xdr:colOff>
                    <xdr:row>7</xdr:row>
                    <xdr:rowOff>19050</xdr:rowOff>
                  </from>
                  <to>
                    <xdr:col>32</xdr:col>
                    <xdr:colOff>809625</xdr:colOff>
                    <xdr:row>7</xdr:row>
                    <xdr:rowOff>180975</xdr:rowOff>
                  </to>
                </anchor>
              </controlPr>
            </control>
          </mc:Choice>
        </mc:AlternateContent>
        <mc:AlternateContent xmlns:mc="http://schemas.openxmlformats.org/markup-compatibility/2006">
          <mc:Choice Requires="x14">
            <control shapeId="2192" r:id="rId19" name="Button 144">
              <controlPr defaultSize="0" print="0" autoFill="0" autoPict="0" macro="[0]!Print2">
                <anchor moveWithCells="1" sizeWithCells="1">
                  <from>
                    <xdr:col>31</xdr:col>
                    <xdr:colOff>28575</xdr:colOff>
                    <xdr:row>8</xdr:row>
                    <xdr:rowOff>28575</xdr:rowOff>
                  </from>
                  <to>
                    <xdr:col>32</xdr:col>
                    <xdr:colOff>809625</xdr:colOff>
                    <xdr:row>8</xdr:row>
                    <xdr:rowOff>190500</xdr:rowOff>
                  </to>
                </anchor>
              </controlPr>
            </control>
          </mc:Choice>
        </mc:AlternateContent>
        <mc:AlternateContent xmlns:mc="http://schemas.openxmlformats.org/markup-compatibility/2006">
          <mc:Choice Requires="x14">
            <control shapeId="2193" r:id="rId20" name="Button 145">
              <controlPr defaultSize="0" print="0" autoFill="0" autoPict="0" macro="[0]!Print3">
                <anchor moveWithCells="1" sizeWithCells="1">
                  <from>
                    <xdr:col>31</xdr:col>
                    <xdr:colOff>28575</xdr:colOff>
                    <xdr:row>9</xdr:row>
                    <xdr:rowOff>28575</xdr:rowOff>
                  </from>
                  <to>
                    <xdr:col>32</xdr:col>
                    <xdr:colOff>809625</xdr:colOff>
                    <xdr:row>9</xdr:row>
                    <xdr:rowOff>190500</xdr:rowOff>
                  </to>
                </anchor>
              </controlPr>
            </control>
          </mc:Choice>
        </mc:AlternateContent>
        <mc:AlternateContent xmlns:mc="http://schemas.openxmlformats.org/markup-compatibility/2006">
          <mc:Choice Requires="x14">
            <control shapeId="2194" r:id="rId21" name="Button 146">
              <controlPr defaultSize="0" print="0" autoFill="0" autoPict="0" macro="[0]!Print4">
                <anchor moveWithCells="1" sizeWithCells="1">
                  <from>
                    <xdr:col>31</xdr:col>
                    <xdr:colOff>28575</xdr:colOff>
                    <xdr:row>10</xdr:row>
                    <xdr:rowOff>19050</xdr:rowOff>
                  </from>
                  <to>
                    <xdr:col>32</xdr:col>
                    <xdr:colOff>809625</xdr:colOff>
                    <xdr:row>10</xdr:row>
                    <xdr:rowOff>180975</xdr:rowOff>
                  </to>
                </anchor>
              </controlPr>
            </control>
          </mc:Choice>
        </mc:AlternateContent>
        <mc:AlternateContent xmlns:mc="http://schemas.openxmlformats.org/markup-compatibility/2006">
          <mc:Choice Requires="x14">
            <control shapeId="2195" r:id="rId22" name="Button 147">
              <controlPr defaultSize="0" print="0" autoFill="0" autoPict="0" macro="[0]!Print5">
                <anchor moveWithCells="1" sizeWithCells="1">
                  <from>
                    <xdr:col>31</xdr:col>
                    <xdr:colOff>28575</xdr:colOff>
                    <xdr:row>11</xdr:row>
                    <xdr:rowOff>19050</xdr:rowOff>
                  </from>
                  <to>
                    <xdr:col>32</xdr:col>
                    <xdr:colOff>809625</xdr:colOff>
                    <xdr:row>11</xdr:row>
                    <xdr:rowOff>180975</xdr:rowOff>
                  </to>
                </anchor>
              </controlPr>
            </control>
          </mc:Choice>
        </mc:AlternateContent>
        <mc:AlternateContent xmlns:mc="http://schemas.openxmlformats.org/markup-compatibility/2006">
          <mc:Choice Requires="x14">
            <control shapeId="2196" r:id="rId23" name="Button 148">
              <controlPr defaultSize="0" print="0" autoFill="0" autoPict="0" macro="[0]!Print6">
                <anchor moveWithCells="1" sizeWithCells="1">
                  <from>
                    <xdr:col>31</xdr:col>
                    <xdr:colOff>28575</xdr:colOff>
                    <xdr:row>12</xdr:row>
                    <xdr:rowOff>19050</xdr:rowOff>
                  </from>
                  <to>
                    <xdr:col>32</xdr:col>
                    <xdr:colOff>809625</xdr:colOff>
                    <xdr:row>12</xdr:row>
                    <xdr:rowOff>180975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7009D7-74C7-4458-9C9C-EA6FD835DEFF}">
  <sheetPr codeName="Feuil7">
    <tabColor theme="9" tint="0.59999389629810485"/>
    <pageSetUpPr fitToPage="1"/>
  </sheetPr>
  <dimension ref="A1:T660"/>
  <sheetViews>
    <sheetView workbookViewId="0">
      <selection activeCell="B7" sqref="B7"/>
    </sheetView>
  </sheetViews>
  <sheetFormatPr baseColWidth="10" defaultRowHeight="15" x14ac:dyDescent="0.25"/>
  <cols>
    <col min="3" max="3" width="4.85546875" bestFit="1" customWidth="1"/>
    <col min="5" max="5" width="12.7109375" customWidth="1"/>
    <col min="7" max="7" width="1" customWidth="1"/>
    <col min="10" max="10" width="4.85546875" bestFit="1" customWidth="1"/>
    <col min="12" max="12" width="12" customWidth="1"/>
    <col min="14" max="14" width="15.140625" customWidth="1"/>
    <col min="20" max="20" width="11.85546875" customWidth="1"/>
  </cols>
  <sheetData>
    <row r="1" spans="1:20" x14ac:dyDescent="0.25">
      <c r="D1" s="308" t="s">
        <v>443</v>
      </c>
      <c r="E1" s="308"/>
      <c r="F1" s="308"/>
      <c r="G1" s="308"/>
      <c r="H1" s="308"/>
      <c r="I1" s="308"/>
      <c r="J1" s="308"/>
      <c r="K1" s="308"/>
      <c r="L1" s="42" t="s">
        <v>278</v>
      </c>
      <c r="N1" s="43" t="s">
        <v>442</v>
      </c>
    </row>
    <row r="2" spans="1:20" x14ac:dyDescent="0.25">
      <c r="D2" s="308"/>
      <c r="E2" s="308"/>
      <c r="F2" s="308"/>
      <c r="G2" s="308"/>
      <c r="H2" s="308"/>
      <c r="I2" s="308"/>
      <c r="J2" s="308"/>
      <c r="K2" s="308"/>
      <c r="N2" s="43" t="s">
        <v>446</v>
      </c>
    </row>
    <row r="3" spans="1:20" ht="15.75" thickBot="1" x14ac:dyDescent="0.3">
      <c r="D3" s="308"/>
      <c r="E3" s="308"/>
      <c r="F3" s="308"/>
      <c r="G3" s="308"/>
      <c r="H3" s="308"/>
      <c r="I3" s="308"/>
      <c r="J3" s="308"/>
      <c r="K3" s="308"/>
      <c r="N3" s="44"/>
    </row>
    <row r="4" spans="1:20" x14ac:dyDescent="0.25">
      <c r="A4" s="45" t="s">
        <v>3</v>
      </c>
      <c r="B4" s="46">
        <f>'MASQUE COLLABORATEUR'!B4</f>
        <v>2026</v>
      </c>
      <c r="C4" s="47"/>
      <c r="D4" s="48" t="s">
        <v>1</v>
      </c>
      <c r="E4" s="46">
        <f>'MASQUE COLLABORATEUR'!E4</f>
        <v>0</v>
      </c>
      <c r="F4" s="49"/>
      <c r="G4" s="49"/>
      <c r="H4" s="48" t="s">
        <v>2</v>
      </c>
      <c r="I4" s="47">
        <f>'MASQUE COLLABORATEUR'!I4</f>
        <v>0</v>
      </c>
      <c r="J4" s="50"/>
      <c r="K4" s="50"/>
      <c r="N4" s="44"/>
      <c r="P4" s="305" t="s">
        <v>449</v>
      </c>
      <c r="Q4" s="306"/>
      <c r="R4" s="306"/>
      <c r="S4" s="306"/>
      <c r="T4" s="307"/>
    </row>
    <row r="5" spans="1:20" ht="15.75" thickBot="1" x14ac:dyDescent="0.3">
      <c r="A5" s="45" t="s">
        <v>10</v>
      </c>
      <c r="B5" s="49"/>
      <c r="C5" s="49"/>
      <c r="D5" s="50" t="str">
        <f>'MASQUE COLLABORATEUR'!D5</f>
        <v>01 juin 2026 au 31 mai 2027.</v>
      </c>
      <c r="E5" s="2"/>
      <c r="H5" s="48" t="s">
        <v>205</v>
      </c>
      <c r="I5" s="47" t="str">
        <f>'MASQUE COLLABORATEUR'!I5</f>
        <v>Juin</v>
      </c>
      <c r="N5" s="44"/>
      <c r="P5" s="24" t="s">
        <v>319</v>
      </c>
      <c r="T5" s="21"/>
    </row>
    <row r="6" spans="1:20" x14ac:dyDescent="0.25">
      <c r="A6" s="192" t="s">
        <v>448</v>
      </c>
      <c r="B6" s="193"/>
      <c r="C6" s="193"/>
      <c r="D6" s="194"/>
      <c r="E6" s="194"/>
      <c r="F6" s="194"/>
      <c r="G6" s="194"/>
      <c r="H6" s="194"/>
      <c r="I6" s="194"/>
      <c r="J6" s="194"/>
      <c r="K6" s="194"/>
      <c r="L6" s="194"/>
      <c r="M6" s="194"/>
      <c r="N6" s="195"/>
      <c r="P6" s="24" t="s">
        <v>321</v>
      </c>
      <c r="T6" s="21"/>
    </row>
    <row r="7" spans="1:20" ht="15.75" thickBot="1" x14ac:dyDescent="0.3">
      <c r="A7" s="196"/>
      <c r="B7" s="197"/>
      <c r="C7" s="197"/>
      <c r="D7" s="197"/>
      <c r="E7" s="197"/>
      <c r="F7" s="197"/>
      <c r="G7" s="197"/>
      <c r="H7" s="197"/>
      <c r="I7" s="198"/>
      <c r="J7" s="198"/>
      <c r="K7" s="198"/>
      <c r="L7" s="198"/>
      <c r="M7" s="198"/>
      <c r="N7" s="199"/>
      <c r="P7" s="41"/>
      <c r="Q7" s="40"/>
      <c r="R7" s="54" t="s">
        <v>6</v>
      </c>
      <c r="S7" s="55" t="s">
        <v>320</v>
      </c>
      <c r="T7" s="56"/>
    </row>
    <row r="8" spans="1:20" x14ac:dyDescent="0.25">
      <c r="A8" s="49" t="s">
        <v>18</v>
      </c>
      <c r="B8" s="113">
        <f>'MASQUE COLLABORATEUR'!B8</f>
        <v>0</v>
      </c>
      <c r="E8" s="49"/>
      <c r="G8" s="57" t="s">
        <v>317</v>
      </c>
      <c r="H8" s="58" t="e">
        <f>'MASQUE COLLABORATEUR'!H8</f>
        <v>#N/A</v>
      </c>
      <c r="J8" s="10" t="s">
        <v>161</v>
      </c>
      <c r="K8" s="58" t="e">
        <f>'MASQUE COLLABORATEUR'!K8</f>
        <v>#N/A</v>
      </c>
      <c r="P8" s="41"/>
      <c r="Q8" s="40"/>
      <c r="R8" s="60">
        <f>B8</f>
        <v>0</v>
      </c>
      <c r="S8" s="61" t="str">
        <f>IF(ISERROR(B9),"Vérifier la fiche",B9)</f>
        <v>Vérifier la fiche</v>
      </c>
      <c r="T8" s="62"/>
    </row>
    <row r="9" spans="1:20" ht="15.75" thickBot="1" x14ac:dyDescent="0.3">
      <c r="A9" s="49" t="s">
        <v>59</v>
      </c>
      <c r="B9" s="2" t="e">
        <f>'MASQUE COLLABORATEUR'!B9</f>
        <v>#N/A</v>
      </c>
      <c r="C9" s="2"/>
      <c r="D9" s="2"/>
      <c r="G9" s="57" t="s">
        <v>158</v>
      </c>
      <c r="H9" s="58" t="e">
        <f>'MASQUE COLLABORATEUR'!H9</f>
        <v>#N/A</v>
      </c>
      <c r="P9" s="41"/>
      <c r="Q9" s="40"/>
      <c r="R9" s="60">
        <f>B41</f>
        <v>0</v>
      </c>
      <c r="S9" s="61" t="str">
        <f>IF(ISERROR(B42),"Vérifier la fiche",B42)</f>
        <v>Vérifier la fiche</v>
      </c>
      <c r="T9" s="62"/>
    </row>
    <row r="10" spans="1:20" ht="15.75" thickBot="1" x14ac:dyDescent="0.3">
      <c r="A10" s="64" t="str">
        <f>"Semaine "&amp;'Base Matricule Siège'!O3&amp;""</f>
        <v>Semaine 25</v>
      </c>
      <c r="B10" s="65" t="e">
        <f>'MASQUE COLLABORATEUR'!B10</f>
        <v>#N/A</v>
      </c>
      <c r="C10" s="65" t="s">
        <v>141</v>
      </c>
      <c r="D10" s="66" t="e">
        <f>'MASQUE COLLABORATEUR'!D10</f>
        <v>#N/A</v>
      </c>
      <c r="E10" s="66" t="e">
        <f>'MASQUE COLLABORATEUR'!E10</f>
        <v>#N/A</v>
      </c>
      <c r="F10" s="67" t="s">
        <v>110</v>
      </c>
      <c r="H10" s="64" t="str">
        <f>"Semaine "&amp;'Base Matricule Siège'!O4&amp;""</f>
        <v>Semaine 26</v>
      </c>
      <c r="I10" s="65" t="e">
        <f>'MASQUE COLLABORATEUR'!I10</f>
        <v>#N/A</v>
      </c>
      <c r="J10" s="65" t="s">
        <v>141</v>
      </c>
      <c r="K10" s="66" t="e">
        <f>'MASQUE COLLABORATEUR'!K10</f>
        <v>#N/A</v>
      </c>
      <c r="L10" s="66" t="e">
        <f>'MASQUE COLLABORATEUR'!L10</f>
        <v>#N/A</v>
      </c>
      <c r="M10" s="67" t="s">
        <v>110</v>
      </c>
      <c r="P10" s="41"/>
      <c r="Q10" s="40"/>
      <c r="R10" s="60">
        <f>B74</f>
        <v>0</v>
      </c>
      <c r="S10" s="61" t="str">
        <f>IF(ISERROR(B75),"Vérifier la fiche",B75)</f>
        <v>Vérifier la fiche</v>
      </c>
      <c r="T10" s="62"/>
    </row>
    <row r="11" spans="1:20" x14ac:dyDescent="0.25">
      <c r="A11" s="68" t="s">
        <v>103</v>
      </c>
      <c r="B11" s="98"/>
      <c r="C11" s="98"/>
      <c r="D11" s="99"/>
      <c r="E11" s="100"/>
      <c r="F11" s="101"/>
      <c r="H11" s="69" t="s">
        <v>103</v>
      </c>
      <c r="I11" s="95"/>
      <c r="J11" s="95"/>
      <c r="K11" s="106"/>
      <c r="L11" s="105"/>
      <c r="M11" s="101"/>
      <c r="P11" s="41"/>
      <c r="Q11" s="40"/>
      <c r="R11" s="60">
        <f>B107</f>
        <v>0</v>
      </c>
      <c r="S11" s="61" t="str">
        <f>IF(ISERROR(B108),"Vérifier la fiche",B108)</f>
        <v>Vérifier la fiche</v>
      </c>
      <c r="T11" s="62"/>
    </row>
    <row r="12" spans="1:20" x14ac:dyDescent="0.25">
      <c r="A12" s="69" t="s">
        <v>104</v>
      </c>
      <c r="B12" s="96"/>
      <c r="C12" s="96"/>
      <c r="D12" s="102"/>
      <c r="E12" s="103"/>
      <c r="F12" s="38"/>
      <c r="H12" s="69" t="s">
        <v>104</v>
      </c>
      <c r="I12" s="96"/>
      <c r="J12" s="96"/>
      <c r="K12" s="102"/>
      <c r="L12" s="103"/>
      <c r="M12" s="38"/>
      <c r="P12" s="41"/>
      <c r="Q12" s="40"/>
      <c r="R12" s="60">
        <f>B140</f>
        <v>0</v>
      </c>
      <c r="S12" s="61" t="str">
        <f>IF(ISERROR(B141),"Vérifier la fiche",B141)</f>
        <v>Vérifier la fiche</v>
      </c>
      <c r="T12" s="62"/>
    </row>
    <row r="13" spans="1:20" x14ac:dyDescent="0.25">
      <c r="A13" s="69" t="s">
        <v>105</v>
      </c>
      <c r="B13" s="96"/>
      <c r="C13" s="96"/>
      <c r="D13" s="102"/>
      <c r="E13" s="103"/>
      <c r="F13" s="38"/>
      <c r="H13" s="69" t="s">
        <v>105</v>
      </c>
      <c r="I13" s="96"/>
      <c r="J13" s="96"/>
      <c r="K13" s="102"/>
      <c r="L13" s="103"/>
      <c r="M13" s="38"/>
      <c r="P13" s="41"/>
      <c r="Q13" s="40"/>
      <c r="R13" s="60">
        <f>B173</f>
        <v>0</v>
      </c>
      <c r="S13" s="61" t="str">
        <f>IF(ISERROR(B174),"Vérifier la fiche",B174)</f>
        <v>Vérifier la fiche</v>
      </c>
      <c r="T13" s="62"/>
    </row>
    <row r="14" spans="1:20" x14ac:dyDescent="0.25">
      <c r="A14" s="69" t="s">
        <v>106</v>
      </c>
      <c r="B14" s="96"/>
      <c r="C14" s="96"/>
      <c r="D14" s="102"/>
      <c r="E14" s="103"/>
      <c r="F14" s="38"/>
      <c r="H14" s="69" t="s">
        <v>106</v>
      </c>
      <c r="I14" s="96"/>
      <c r="J14" s="96"/>
      <c r="K14" s="102"/>
      <c r="L14" s="103"/>
      <c r="M14" s="38"/>
      <c r="P14" s="41"/>
      <c r="Q14" s="40"/>
      <c r="R14" s="60">
        <f>B206</f>
        <v>0</v>
      </c>
      <c r="S14" s="61" t="str">
        <f>IF(ISERROR(B207),"Vérifier la fiche",B207)</f>
        <v>Vérifier la fiche</v>
      </c>
      <c r="T14" s="62"/>
    </row>
    <row r="15" spans="1:20" x14ac:dyDescent="0.25">
      <c r="A15" s="69" t="s">
        <v>107</v>
      </c>
      <c r="B15" s="96"/>
      <c r="C15" s="96"/>
      <c r="D15" s="102"/>
      <c r="E15" s="103"/>
      <c r="F15" s="38"/>
      <c r="H15" s="69" t="s">
        <v>107</v>
      </c>
      <c r="I15" s="96"/>
      <c r="J15" s="96"/>
      <c r="K15" s="102"/>
      <c r="L15" s="103"/>
      <c r="M15" s="38"/>
      <c r="P15" s="41"/>
      <c r="Q15" s="40"/>
      <c r="R15" s="60">
        <f>B239</f>
        <v>0</v>
      </c>
      <c r="S15" s="61" t="str">
        <f>IF(ISERROR(B240),"Vérifier la fiche",B240)</f>
        <v>Vérifier la fiche</v>
      </c>
      <c r="T15" s="62"/>
    </row>
    <row r="16" spans="1:20" x14ac:dyDescent="0.25">
      <c r="A16" s="69" t="s">
        <v>108</v>
      </c>
      <c r="B16" s="96"/>
      <c r="C16" s="96"/>
      <c r="D16" s="102"/>
      <c r="E16" s="103"/>
      <c r="F16" s="38"/>
      <c r="H16" s="69" t="s">
        <v>108</v>
      </c>
      <c r="I16" s="96"/>
      <c r="J16" s="96"/>
      <c r="K16" s="102"/>
      <c r="L16" s="103"/>
      <c r="M16" s="38"/>
      <c r="P16" s="41"/>
      <c r="Q16" s="40"/>
      <c r="R16" s="60">
        <f>B272</f>
        <v>0</v>
      </c>
      <c r="S16" s="61" t="str">
        <f>IF(ISERROR(B273),"Vérifier la fiche",B273)</f>
        <v>Vérifier la fiche</v>
      </c>
      <c r="T16" s="62"/>
    </row>
    <row r="17" spans="1:20" ht="15.75" thickBot="1" x14ac:dyDescent="0.3">
      <c r="A17" s="70" t="s">
        <v>109</v>
      </c>
      <c r="B17" s="97"/>
      <c r="C17" s="97"/>
      <c r="D17" s="71"/>
      <c r="E17" s="104"/>
      <c r="F17" s="38"/>
      <c r="H17" s="70" t="s">
        <v>109</v>
      </c>
      <c r="I17" s="97"/>
      <c r="J17" s="97"/>
      <c r="K17" s="71"/>
      <c r="L17" s="104"/>
      <c r="M17" s="38"/>
      <c r="P17" s="41"/>
      <c r="Q17" s="40"/>
      <c r="R17" s="60">
        <f>B305</f>
        <v>0</v>
      </c>
      <c r="S17" s="61" t="str">
        <f>IF(ISERROR(B306),"Vérifier la fiche",B306)</f>
        <v>Vérifier la fiche</v>
      </c>
      <c r="T17" s="62"/>
    </row>
    <row r="18" spans="1:20" ht="15.75" thickBot="1" x14ac:dyDescent="0.3">
      <c r="A18" s="64" t="str">
        <f>"Semaine "&amp;'Base Matricule Siège'!O5&amp;""</f>
        <v>Semaine 27</v>
      </c>
      <c r="B18" s="65" t="e">
        <f>'MASQUE COLLABORATEUR'!B18</f>
        <v>#N/A</v>
      </c>
      <c r="C18" s="65" t="s">
        <v>141</v>
      </c>
      <c r="D18" s="66" t="e">
        <f>'MASQUE COLLABORATEUR'!D18</f>
        <v>#N/A</v>
      </c>
      <c r="E18" s="66" t="e">
        <f>'MASQUE COLLABORATEUR'!E18</f>
        <v>#N/A</v>
      </c>
      <c r="F18" s="67" t="s">
        <v>110</v>
      </c>
      <c r="H18" s="64" t="str">
        <f>"Semaine "&amp;'Base Matricule Siège'!O6&amp;""</f>
        <v>Semaine 28</v>
      </c>
      <c r="I18" s="65" t="e">
        <f>'MASQUE COLLABORATEUR'!I18</f>
        <v>#N/A</v>
      </c>
      <c r="J18" s="65" t="s">
        <v>141</v>
      </c>
      <c r="K18" s="66" t="e">
        <f>'MASQUE COLLABORATEUR'!K18</f>
        <v>#N/A</v>
      </c>
      <c r="L18" s="66" t="e">
        <f>'MASQUE COLLABORATEUR'!L18</f>
        <v>#N/A</v>
      </c>
      <c r="M18" s="67" t="s">
        <v>110</v>
      </c>
      <c r="P18" s="41"/>
      <c r="Q18" s="40"/>
      <c r="R18" s="60">
        <f>B338</f>
        <v>0</v>
      </c>
      <c r="S18" s="61" t="str">
        <f>IF(ISERROR(B339),"Vérifier la fiche",B339)</f>
        <v>Vérifier la fiche</v>
      </c>
      <c r="T18" s="62"/>
    </row>
    <row r="19" spans="1:20" x14ac:dyDescent="0.25">
      <c r="A19" s="69" t="s">
        <v>103</v>
      </c>
      <c r="B19" s="95"/>
      <c r="C19" s="95"/>
      <c r="D19" s="106"/>
      <c r="E19" s="105"/>
      <c r="F19" s="101"/>
      <c r="H19" s="69" t="s">
        <v>103</v>
      </c>
      <c r="I19" s="95"/>
      <c r="J19" s="95"/>
      <c r="K19" s="106"/>
      <c r="L19" s="105"/>
      <c r="M19" s="101"/>
      <c r="P19" s="41"/>
      <c r="Q19" s="40"/>
      <c r="R19" s="60">
        <f>B371</f>
        <v>0</v>
      </c>
      <c r="S19" s="61" t="str">
        <f>IF(ISERROR(B372),"Vérifier la fiche",B372)</f>
        <v>Vérifier la fiche</v>
      </c>
      <c r="T19" s="62"/>
    </row>
    <row r="20" spans="1:20" x14ac:dyDescent="0.25">
      <c r="A20" s="69" t="s">
        <v>104</v>
      </c>
      <c r="B20" s="96"/>
      <c r="C20" s="96"/>
      <c r="D20" s="102"/>
      <c r="E20" s="103"/>
      <c r="F20" s="38"/>
      <c r="H20" s="69" t="s">
        <v>104</v>
      </c>
      <c r="I20" s="96"/>
      <c r="J20" s="96"/>
      <c r="K20" s="102"/>
      <c r="L20" s="103"/>
      <c r="M20" s="38"/>
      <c r="P20" s="41"/>
      <c r="Q20" s="40"/>
      <c r="R20" s="60">
        <f>B404</f>
        <v>0</v>
      </c>
      <c r="S20" s="61" t="str">
        <f>IF(ISERROR(B405),"Vérifier la fiche",B405)</f>
        <v>Vérifier la fiche</v>
      </c>
      <c r="T20" s="62"/>
    </row>
    <row r="21" spans="1:20" x14ac:dyDescent="0.25">
      <c r="A21" s="69" t="s">
        <v>105</v>
      </c>
      <c r="B21" s="96"/>
      <c r="C21" s="96"/>
      <c r="D21" s="102"/>
      <c r="E21" s="103"/>
      <c r="F21" s="38"/>
      <c r="H21" s="69" t="s">
        <v>105</v>
      </c>
      <c r="I21" s="96"/>
      <c r="J21" s="96"/>
      <c r="K21" s="102"/>
      <c r="L21" s="103"/>
      <c r="M21" s="38"/>
      <c r="P21" s="41"/>
      <c r="Q21" s="40"/>
      <c r="R21" s="60">
        <f>B437</f>
        <v>0</v>
      </c>
      <c r="S21" s="61" t="str">
        <f>IF(ISERROR(B438),"Vérifier la fiche",B438)</f>
        <v>Vérifier la fiche</v>
      </c>
      <c r="T21" s="62"/>
    </row>
    <row r="22" spans="1:20" x14ac:dyDescent="0.25">
      <c r="A22" s="69" t="s">
        <v>106</v>
      </c>
      <c r="B22" s="96"/>
      <c r="C22" s="96"/>
      <c r="D22" s="102"/>
      <c r="E22" s="103"/>
      <c r="F22" s="38"/>
      <c r="H22" s="69" t="s">
        <v>106</v>
      </c>
      <c r="I22" s="96"/>
      <c r="J22" s="96"/>
      <c r="K22" s="102"/>
      <c r="L22" s="103"/>
      <c r="M22" s="38"/>
      <c r="P22" s="41"/>
      <c r="Q22" s="40"/>
      <c r="R22" s="60">
        <f>B470</f>
        <v>0</v>
      </c>
      <c r="S22" s="61" t="str">
        <f>IF(ISERROR(B471),"Vérifier la fiche",B471)</f>
        <v>Vérifier la fiche</v>
      </c>
      <c r="T22" s="62"/>
    </row>
    <row r="23" spans="1:20" x14ac:dyDescent="0.25">
      <c r="A23" s="69" t="s">
        <v>107</v>
      </c>
      <c r="B23" s="96"/>
      <c r="C23" s="96"/>
      <c r="D23" s="102"/>
      <c r="E23" s="103"/>
      <c r="F23" s="38"/>
      <c r="H23" s="69" t="s">
        <v>107</v>
      </c>
      <c r="I23" s="96"/>
      <c r="J23" s="96"/>
      <c r="K23" s="102"/>
      <c r="L23" s="103"/>
      <c r="M23" s="38"/>
      <c r="P23" s="41"/>
      <c r="Q23" s="40"/>
      <c r="R23" s="60">
        <f>B503</f>
        <v>0</v>
      </c>
      <c r="S23" s="61" t="str">
        <f>IF(ISERROR(B504),"Vérifier la fiche",B504)</f>
        <v>Vérifier la fiche</v>
      </c>
      <c r="T23" s="62"/>
    </row>
    <row r="24" spans="1:20" x14ac:dyDescent="0.25">
      <c r="A24" s="69" t="s">
        <v>108</v>
      </c>
      <c r="B24" s="96"/>
      <c r="C24" s="96"/>
      <c r="D24" s="102"/>
      <c r="E24" s="103"/>
      <c r="F24" s="38"/>
      <c r="H24" s="69" t="s">
        <v>108</v>
      </c>
      <c r="I24" s="96"/>
      <c r="J24" s="96"/>
      <c r="K24" s="102"/>
      <c r="L24" s="103"/>
      <c r="M24" s="38"/>
      <c r="P24" s="41"/>
      <c r="Q24" s="40"/>
      <c r="R24" s="60">
        <f>B536</f>
        <v>0</v>
      </c>
      <c r="S24" s="61" t="str">
        <f>IF(ISERROR(B537),"Vérifier la fiche",B537)</f>
        <v>Vérifier la fiche</v>
      </c>
      <c r="T24" s="62"/>
    </row>
    <row r="25" spans="1:20" ht="15.75" thickBot="1" x14ac:dyDescent="0.3">
      <c r="A25" s="70" t="s">
        <v>109</v>
      </c>
      <c r="B25" s="97"/>
      <c r="C25" s="97"/>
      <c r="D25" s="71"/>
      <c r="E25" s="104"/>
      <c r="F25" s="38"/>
      <c r="H25" s="70" t="s">
        <v>109</v>
      </c>
      <c r="I25" s="97"/>
      <c r="J25" s="97"/>
      <c r="K25" s="71"/>
      <c r="L25" s="104"/>
      <c r="M25" s="39"/>
      <c r="P25" s="41"/>
      <c r="Q25" s="40"/>
      <c r="R25" s="60">
        <f>B569</f>
        <v>0</v>
      </c>
      <c r="S25" s="61" t="str">
        <f>IF(ISERROR(B570),"Vérifier la fiche",B570)</f>
        <v>Vérifier la fiche</v>
      </c>
      <c r="T25" s="62"/>
    </row>
    <row r="26" spans="1:20" ht="15.75" thickBot="1" x14ac:dyDescent="0.3">
      <c r="A26" s="64" t="str">
        <f>IF('Base Matricule Siège'!O7="NU","Ne pas saisir",("Semaine "&amp;'Base Matricule Siège'!O7&amp;""))</f>
        <v>Semaine 29</v>
      </c>
      <c r="B26" s="65" t="e">
        <f>'MASQUE COLLABORATEUR'!B26</f>
        <v>#N/A</v>
      </c>
      <c r="C26" s="65" t="s">
        <v>141</v>
      </c>
      <c r="D26" s="66" t="e">
        <f>'MASQUE COLLABORATEUR'!D26</f>
        <v>#N/A</v>
      </c>
      <c r="E26" s="66" t="e">
        <f>'MASQUE COLLABORATEUR'!E26</f>
        <v>#N/A</v>
      </c>
      <c r="F26" s="67" t="s">
        <v>110</v>
      </c>
      <c r="H26" s="77" t="s">
        <v>136</v>
      </c>
      <c r="I26" s="78" t="e">
        <f>'MASQUE COLLABORATEUR'!I26</f>
        <v>#N/A</v>
      </c>
      <c r="J26" s="78" t="s">
        <v>141</v>
      </c>
      <c r="K26" s="79" t="e">
        <f>'MASQUE COLLABORATEUR'!K26</f>
        <v>#N/A</v>
      </c>
      <c r="L26" s="80" t="e">
        <f>'MASQUE COLLABORATEUR'!L26</f>
        <v>#N/A</v>
      </c>
      <c r="M26" s="49"/>
      <c r="P26" s="41"/>
      <c r="Q26" s="40"/>
      <c r="R26" s="60">
        <f>B602</f>
        <v>0</v>
      </c>
      <c r="S26" s="61" t="str">
        <f>IF(ISERROR(B603),"Vérifier la fiche",B603)</f>
        <v>Vérifier la fiche</v>
      </c>
      <c r="T26" s="62"/>
    </row>
    <row r="27" spans="1:20" ht="15.75" thickBot="1" x14ac:dyDescent="0.3">
      <c r="A27" s="69" t="s">
        <v>103</v>
      </c>
      <c r="B27" s="95"/>
      <c r="C27" s="95"/>
      <c r="D27" s="106"/>
      <c r="E27" s="105"/>
      <c r="F27" s="101"/>
      <c r="H27" s="81" t="s">
        <v>103</v>
      </c>
      <c r="I27" s="82">
        <f t="shared" ref="I27:I32" si="0">B11+I11+B19+I19+B27</f>
        <v>0</v>
      </c>
      <c r="J27" s="82">
        <f t="shared" ref="J27:L32" si="1">C11+J11+C19+J19+C27</f>
        <v>0</v>
      </c>
      <c r="K27" s="83">
        <f t="shared" si="1"/>
        <v>0</v>
      </c>
      <c r="L27" s="84">
        <f t="shared" si="1"/>
        <v>0</v>
      </c>
      <c r="M27" s="187"/>
      <c r="N27" s="188"/>
      <c r="P27" s="107"/>
      <c r="Q27" s="108"/>
      <c r="R27" s="85">
        <f>B635</f>
        <v>0</v>
      </c>
      <c r="S27" s="86" t="str">
        <f>IF(ISERROR(B636),"Vérifier la fiche",B636)</f>
        <v>Vérifier la fiche</v>
      </c>
      <c r="T27" s="87"/>
    </row>
    <row r="28" spans="1:20" x14ac:dyDescent="0.25">
      <c r="A28" s="69" t="s">
        <v>104</v>
      </c>
      <c r="B28" s="96"/>
      <c r="C28" s="96"/>
      <c r="D28" s="102"/>
      <c r="E28" s="103"/>
      <c r="F28" s="38"/>
      <c r="H28" s="81" t="s">
        <v>104</v>
      </c>
      <c r="I28" s="88">
        <f t="shared" si="0"/>
        <v>0</v>
      </c>
      <c r="J28" s="88">
        <f t="shared" si="1"/>
        <v>0</v>
      </c>
      <c r="K28" s="89">
        <f t="shared" si="1"/>
        <v>0</v>
      </c>
      <c r="L28" s="90">
        <f t="shared" si="1"/>
        <v>0</v>
      </c>
      <c r="M28" s="49"/>
    </row>
    <row r="29" spans="1:20" x14ac:dyDescent="0.25">
      <c r="A29" s="69" t="s">
        <v>105</v>
      </c>
      <c r="B29" s="96"/>
      <c r="C29" s="96"/>
      <c r="D29" s="102"/>
      <c r="E29" s="103"/>
      <c r="F29" s="38"/>
      <c r="H29" s="81" t="s">
        <v>105</v>
      </c>
      <c r="I29" s="88">
        <f t="shared" si="0"/>
        <v>0</v>
      </c>
      <c r="J29" s="88">
        <f t="shared" si="1"/>
        <v>0</v>
      </c>
      <c r="K29" s="89">
        <f t="shared" si="1"/>
        <v>0</v>
      </c>
      <c r="L29" s="90">
        <f t="shared" si="1"/>
        <v>0</v>
      </c>
      <c r="M29" s="49"/>
    </row>
    <row r="30" spans="1:20" x14ac:dyDescent="0.25">
      <c r="A30" s="69" t="s">
        <v>106</v>
      </c>
      <c r="B30" s="96"/>
      <c r="C30" s="96"/>
      <c r="D30" s="102"/>
      <c r="E30" s="103"/>
      <c r="F30" s="38"/>
      <c r="H30" s="81" t="s">
        <v>106</v>
      </c>
      <c r="I30" s="88">
        <f t="shared" si="0"/>
        <v>0</v>
      </c>
      <c r="J30" s="88">
        <f t="shared" si="1"/>
        <v>0</v>
      </c>
      <c r="K30" s="89">
        <f t="shared" si="1"/>
        <v>0</v>
      </c>
      <c r="L30" s="90">
        <f t="shared" si="1"/>
        <v>0</v>
      </c>
      <c r="M30" s="49"/>
    </row>
    <row r="31" spans="1:20" x14ac:dyDescent="0.25">
      <c r="A31" s="69" t="s">
        <v>107</v>
      </c>
      <c r="B31" s="96"/>
      <c r="C31" s="96"/>
      <c r="D31" s="102"/>
      <c r="E31" s="103"/>
      <c r="F31" s="38"/>
      <c r="H31" s="81" t="s">
        <v>107</v>
      </c>
      <c r="I31" s="88">
        <f t="shared" si="0"/>
        <v>0</v>
      </c>
      <c r="J31" s="88">
        <f t="shared" si="1"/>
        <v>0</v>
      </c>
      <c r="K31" s="89">
        <f t="shared" si="1"/>
        <v>0</v>
      </c>
      <c r="L31" s="90">
        <f t="shared" si="1"/>
        <v>0</v>
      </c>
      <c r="M31" s="187"/>
      <c r="N31" s="190" t="s">
        <v>447</v>
      </c>
    </row>
    <row r="32" spans="1:20" x14ac:dyDescent="0.25">
      <c r="A32" s="69" t="s">
        <v>108</v>
      </c>
      <c r="B32" s="96"/>
      <c r="C32" s="96"/>
      <c r="D32" s="102"/>
      <c r="E32" s="103"/>
      <c r="F32" s="38"/>
      <c r="H32" s="81" t="s">
        <v>108</v>
      </c>
      <c r="I32" s="88">
        <f t="shared" si="0"/>
        <v>0</v>
      </c>
      <c r="J32" s="88">
        <f t="shared" si="1"/>
        <v>0</v>
      </c>
      <c r="K32" s="89">
        <f t="shared" si="1"/>
        <v>0</v>
      </c>
      <c r="L32" s="90">
        <f t="shared" si="1"/>
        <v>0</v>
      </c>
      <c r="M32" s="49"/>
      <c r="N32" s="189">
        <f ca="1">TODAY()</f>
        <v>46181</v>
      </c>
    </row>
    <row r="33" spans="1:14" ht="15.75" thickBot="1" x14ac:dyDescent="0.3">
      <c r="A33" s="70" t="s">
        <v>109</v>
      </c>
      <c r="B33" s="97"/>
      <c r="C33" s="97"/>
      <c r="D33" s="71"/>
      <c r="E33" s="104"/>
      <c r="F33" s="39"/>
      <c r="H33" s="92" t="s">
        <v>109</v>
      </c>
      <c r="I33" s="93">
        <f>(B17+I17+B25+I25+B33)</f>
        <v>0</v>
      </c>
      <c r="J33" s="93">
        <f>(C17+J17+C25+J25+C33)</f>
        <v>0</v>
      </c>
      <c r="K33" s="71">
        <f>(D17+K17+D25+K25+D33)</f>
        <v>0</v>
      </c>
      <c r="L33" s="94">
        <f>(E17+L17+E25+L25+E33)</f>
        <v>0</v>
      </c>
      <c r="M33" s="49"/>
    </row>
    <row r="34" spans="1:14" ht="15" customHeight="1" x14ac:dyDescent="0.25">
      <c r="D34" s="308" t="s">
        <v>443</v>
      </c>
      <c r="E34" s="308"/>
      <c r="F34" s="308"/>
      <c r="G34" s="308"/>
      <c r="H34" s="308"/>
      <c r="I34" s="308"/>
      <c r="J34" s="308"/>
      <c r="K34" s="308"/>
      <c r="L34" s="42" t="s">
        <v>279</v>
      </c>
      <c r="N34" s="43" t="s">
        <v>442</v>
      </c>
    </row>
    <row r="35" spans="1:14" x14ac:dyDescent="0.25">
      <c r="D35" s="308"/>
      <c r="E35" s="308"/>
      <c r="F35" s="308"/>
      <c r="G35" s="308"/>
      <c r="H35" s="308"/>
      <c r="I35" s="308"/>
      <c r="J35" s="308"/>
      <c r="K35" s="308"/>
      <c r="N35" s="43" t="s">
        <v>446</v>
      </c>
    </row>
    <row r="36" spans="1:14" x14ac:dyDescent="0.25">
      <c r="D36" s="308"/>
      <c r="E36" s="308"/>
      <c r="F36" s="308"/>
      <c r="G36" s="308"/>
      <c r="H36" s="308"/>
      <c r="I36" s="308"/>
      <c r="J36" s="308"/>
      <c r="K36" s="308"/>
      <c r="N36" s="44"/>
    </row>
    <row r="37" spans="1:14" x14ac:dyDescent="0.25">
      <c r="A37" s="45" t="s">
        <v>3</v>
      </c>
      <c r="B37" s="46">
        <f>'MASQUE COLLABORATEUR'!B37</f>
        <v>2026</v>
      </c>
      <c r="C37" s="47"/>
      <c r="D37" s="48" t="s">
        <v>1</v>
      </c>
      <c r="E37" s="46">
        <f>'MASQUE COLLABORATEUR'!E37</f>
        <v>0</v>
      </c>
      <c r="F37" s="49"/>
      <c r="G37" s="49"/>
      <c r="H37" s="48" t="s">
        <v>2</v>
      </c>
      <c r="I37" s="47">
        <f>'MASQUE COLLABORATEUR'!I37</f>
        <v>0</v>
      </c>
      <c r="J37" s="50"/>
      <c r="K37" s="50"/>
      <c r="N37" s="44"/>
    </row>
    <row r="38" spans="1:14" ht="15.75" thickBot="1" x14ac:dyDescent="0.3">
      <c r="A38" s="45" t="s">
        <v>10</v>
      </c>
      <c r="B38" s="49"/>
      <c r="C38" s="49"/>
      <c r="D38" s="50" t="str">
        <f>'MASQUE COLLABORATEUR'!D38</f>
        <v>01 juin 2026 au 31 mai 2027.</v>
      </c>
      <c r="E38" s="2"/>
      <c r="H38" s="48" t="s">
        <v>205</v>
      </c>
      <c r="I38" s="52" t="str">
        <f>'MASQUE COLLABORATEUR'!I38</f>
        <v>Juin</v>
      </c>
      <c r="N38" s="44"/>
    </row>
    <row r="39" spans="1:14" x14ac:dyDescent="0.25">
      <c r="A39" s="192" t="s">
        <v>448</v>
      </c>
      <c r="B39" s="193"/>
      <c r="C39" s="193"/>
      <c r="D39" s="194"/>
      <c r="E39" s="194"/>
      <c r="F39" s="194"/>
      <c r="G39" s="194"/>
      <c r="H39" s="194"/>
      <c r="I39" s="194"/>
      <c r="J39" s="194"/>
      <c r="K39" s="194"/>
      <c r="L39" s="194"/>
      <c r="M39" s="194"/>
      <c r="N39" s="195"/>
    </row>
    <row r="40" spans="1:14" ht="15.75" thickBot="1" x14ac:dyDescent="0.3">
      <c r="A40" s="196"/>
      <c r="B40" s="197"/>
      <c r="C40" s="197"/>
      <c r="D40" s="197"/>
      <c r="E40" s="197"/>
      <c r="F40" s="197"/>
      <c r="G40" s="197"/>
      <c r="H40" s="197"/>
      <c r="I40" s="198"/>
      <c r="J40" s="198"/>
      <c r="K40" s="198"/>
      <c r="L40" s="198"/>
      <c r="M40" s="198"/>
      <c r="N40" s="199"/>
    </row>
    <row r="41" spans="1:14" x14ac:dyDescent="0.25">
      <c r="A41" s="49" t="s">
        <v>18</v>
      </c>
      <c r="B41" s="113">
        <f>'MASQUE COLLABORATEUR'!B41</f>
        <v>0</v>
      </c>
      <c r="E41" s="49"/>
      <c r="G41" s="57" t="s">
        <v>317</v>
      </c>
      <c r="H41" s="58" t="e">
        <f>'MASQUE COLLABORATEUR'!H41</f>
        <v>#N/A</v>
      </c>
      <c r="J41" s="10" t="s">
        <v>161</v>
      </c>
      <c r="K41" s="58" t="e">
        <f>'MASQUE COLLABORATEUR'!K41</f>
        <v>#N/A</v>
      </c>
    </row>
    <row r="42" spans="1:14" ht="15.75" thickBot="1" x14ac:dyDescent="0.3">
      <c r="A42" s="49" t="s">
        <v>59</v>
      </c>
      <c r="B42" s="2" t="e">
        <f>'MASQUE COLLABORATEUR'!B42</f>
        <v>#N/A</v>
      </c>
      <c r="C42" s="2"/>
      <c r="D42" s="2"/>
      <c r="G42" s="57" t="s">
        <v>158</v>
      </c>
      <c r="H42" s="58" t="e">
        <f>'MASQUE COLLABORATEUR'!H42</f>
        <v>#N/A</v>
      </c>
    </row>
    <row r="43" spans="1:14" ht="15.75" thickBot="1" x14ac:dyDescent="0.3">
      <c r="A43" s="64" t="str">
        <f>A10</f>
        <v>Semaine 25</v>
      </c>
      <c r="B43" s="65" t="e">
        <f>'MASQUE COLLABORATEUR'!B43</f>
        <v>#N/A</v>
      </c>
      <c r="C43" s="65" t="s">
        <v>141</v>
      </c>
      <c r="D43" s="66" t="e">
        <f>'MASQUE COLLABORATEUR'!D43</f>
        <v>#N/A</v>
      </c>
      <c r="E43" s="66" t="e">
        <f>'MASQUE COLLABORATEUR'!E43</f>
        <v>#N/A</v>
      </c>
      <c r="F43" s="67" t="s">
        <v>110</v>
      </c>
      <c r="H43" s="64" t="str">
        <f>H10</f>
        <v>Semaine 26</v>
      </c>
      <c r="I43" s="65" t="e">
        <f>'MASQUE COLLABORATEUR'!I43</f>
        <v>#N/A</v>
      </c>
      <c r="J43" s="65" t="s">
        <v>141</v>
      </c>
      <c r="K43" s="66" t="e">
        <f>'MASQUE COLLABORATEUR'!K43</f>
        <v>#N/A</v>
      </c>
      <c r="L43" s="66" t="e">
        <f>'MASQUE COLLABORATEUR'!L43</f>
        <v>#N/A</v>
      </c>
      <c r="M43" s="67" t="s">
        <v>110</v>
      </c>
    </row>
    <row r="44" spans="1:14" x14ac:dyDescent="0.25">
      <c r="A44" s="68" t="s">
        <v>103</v>
      </c>
      <c r="B44" s="98"/>
      <c r="C44" s="98"/>
      <c r="D44" s="99"/>
      <c r="E44" s="100"/>
      <c r="F44" s="101"/>
      <c r="H44" s="69" t="s">
        <v>103</v>
      </c>
      <c r="I44" s="95"/>
      <c r="J44" s="95"/>
      <c r="K44" s="106"/>
      <c r="L44" s="105"/>
      <c r="M44" s="101"/>
    </row>
    <row r="45" spans="1:14" x14ac:dyDescent="0.25">
      <c r="A45" s="69" t="s">
        <v>104</v>
      </c>
      <c r="B45" s="96"/>
      <c r="C45" s="96"/>
      <c r="D45" s="102"/>
      <c r="E45" s="103"/>
      <c r="F45" s="38"/>
      <c r="H45" s="69" t="s">
        <v>104</v>
      </c>
      <c r="I45" s="96"/>
      <c r="J45" s="96"/>
      <c r="K45" s="102"/>
      <c r="L45" s="103"/>
      <c r="M45" s="38"/>
    </row>
    <row r="46" spans="1:14" x14ac:dyDescent="0.25">
      <c r="A46" s="69" t="s">
        <v>105</v>
      </c>
      <c r="B46" s="96"/>
      <c r="C46" s="96"/>
      <c r="D46" s="102"/>
      <c r="E46" s="103"/>
      <c r="F46" s="38"/>
      <c r="H46" s="69" t="s">
        <v>105</v>
      </c>
      <c r="I46" s="96"/>
      <c r="J46" s="96"/>
      <c r="K46" s="102"/>
      <c r="L46" s="103"/>
      <c r="M46" s="38"/>
    </row>
    <row r="47" spans="1:14" x14ac:dyDescent="0.25">
      <c r="A47" s="69" t="s">
        <v>106</v>
      </c>
      <c r="B47" s="96"/>
      <c r="C47" s="96"/>
      <c r="D47" s="102"/>
      <c r="E47" s="103"/>
      <c r="F47" s="38"/>
      <c r="H47" s="69" t="s">
        <v>106</v>
      </c>
      <c r="I47" s="96"/>
      <c r="J47" s="96"/>
      <c r="K47" s="102"/>
      <c r="L47" s="103"/>
      <c r="M47" s="38"/>
    </row>
    <row r="48" spans="1:14" x14ac:dyDescent="0.25">
      <c r="A48" s="69" t="s">
        <v>107</v>
      </c>
      <c r="B48" s="96"/>
      <c r="C48" s="96"/>
      <c r="D48" s="102"/>
      <c r="E48" s="103"/>
      <c r="F48" s="38"/>
      <c r="H48" s="69" t="s">
        <v>107</v>
      </c>
      <c r="I48" s="96"/>
      <c r="J48" s="96"/>
      <c r="K48" s="102"/>
      <c r="L48" s="103"/>
      <c r="M48" s="38"/>
    </row>
    <row r="49" spans="1:14" x14ac:dyDescent="0.25">
      <c r="A49" s="69" t="s">
        <v>108</v>
      </c>
      <c r="B49" s="96"/>
      <c r="C49" s="96"/>
      <c r="D49" s="102"/>
      <c r="E49" s="103"/>
      <c r="F49" s="38"/>
      <c r="H49" s="69" t="s">
        <v>108</v>
      </c>
      <c r="I49" s="96"/>
      <c r="J49" s="96"/>
      <c r="K49" s="102"/>
      <c r="L49" s="103"/>
      <c r="M49" s="38"/>
    </row>
    <row r="50" spans="1:14" ht="15.75" thickBot="1" x14ac:dyDescent="0.3">
      <c r="A50" s="70" t="s">
        <v>109</v>
      </c>
      <c r="B50" s="97"/>
      <c r="C50" s="97"/>
      <c r="D50" s="71"/>
      <c r="E50" s="104"/>
      <c r="F50" s="38"/>
      <c r="H50" s="70" t="s">
        <v>109</v>
      </c>
      <c r="I50" s="97"/>
      <c r="J50" s="97"/>
      <c r="K50" s="71"/>
      <c r="L50" s="104"/>
      <c r="M50" s="38"/>
    </row>
    <row r="51" spans="1:14" ht="15.75" thickBot="1" x14ac:dyDescent="0.3">
      <c r="A51" s="64" t="str">
        <f>A18</f>
        <v>Semaine 27</v>
      </c>
      <c r="B51" s="65" t="e">
        <f>'MASQUE COLLABORATEUR'!B51</f>
        <v>#N/A</v>
      </c>
      <c r="C51" s="65" t="s">
        <v>141</v>
      </c>
      <c r="D51" s="66" t="e">
        <f>'MASQUE COLLABORATEUR'!D51</f>
        <v>#N/A</v>
      </c>
      <c r="E51" s="66" t="e">
        <f>'MASQUE COLLABORATEUR'!E51</f>
        <v>#N/A</v>
      </c>
      <c r="F51" s="67" t="s">
        <v>110</v>
      </c>
      <c r="H51" s="64" t="str">
        <f>H18</f>
        <v>Semaine 28</v>
      </c>
      <c r="I51" s="65" t="e">
        <f>'MASQUE COLLABORATEUR'!I51</f>
        <v>#N/A</v>
      </c>
      <c r="J51" s="65" t="s">
        <v>141</v>
      </c>
      <c r="K51" s="66" t="e">
        <f>'MASQUE COLLABORATEUR'!K51</f>
        <v>#N/A</v>
      </c>
      <c r="L51" s="66" t="e">
        <f>'MASQUE COLLABORATEUR'!L51</f>
        <v>#N/A</v>
      </c>
      <c r="M51" s="67" t="s">
        <v>110</v>
      </c>
    </row>
    <row r="52" spans="1:14" x14ac:dyDescent="0.25">
      <c r="A52" s="69" t="s">
        <v>103</v>
      </c>
      <c r="B52" s="95"/>
      <c r="C52" s="95"/>
      <c r="D52" s="106"/>
      <c r="E52" s="105"/>
      <c r="F52" s="101"/>
      <c r="H52" s="69" t="s">
        <v>103</v>
      </c>
      <c r="I52" s="95"/>
      <c r="J52" s="95"/>
      <c r="K52" s="106"/>
      <c r="L52" s="105"/>
      <c r="M52" s="101"/>
    </row>
    <row r="53" spans="1:14" x14ac:dyDescent="0.25">
      <c r="A53" s="69" t="s">
        <v>104</v>
      </c>
      <c r="B53" s="96"/>
      <c r="C53" s="96"/>
      <c r="D53" s="102"/>
      <c r="E53" s="103"/>
      <c r="F53" s="38"/>
      <c r="H53" s="69" t="s">
        <v>104</v>
      </c>
      <c r="I53" s="96"/>
      <c r="J53" s="96"/>
      <c r="K53" s="102"/>
      <c r="L53" s="103"/>
      <c r="M53" s="38"/>
    </row>
    <row r="54" spans="1:14" x14ac:dyDescent="0.25">
      <c r="A54" s="69" t="s">
        <v>105</v>
      </c>
      <c r="B54" s="96"/>
      <c r="C54" s="96"/>
      <c r="D54" s="102"/>
      <c r="E54" s="103"/>
      <c r="F54" s="38"/>
      <c r="H54" s="69" t="s">
        <v>105</v>
      </c>
      <c r="I54" s="96"/>
      <c r="J54" s="96"/>
      <c r="K54" s="102"/>
      <c r="L54" s="103"/>
      <c r="M54" s="38"/>
    </row>
    <row r="55" spans="1:14" x14ac:dyDescent="0.25">
      <c r="A55" s="69" t="s">
        <v>106</v>
      </c>
      <c r="B55" s="96"/>
      <c r="C55" s="96"/>
      <c r="D55" s="102"/>
      <c r="E55" s="103"/>
      <c r="F55" s="38"/>
      <c r="H55" s="69" t="s">
        <v>106</v>
      </c>
      <c r="I55" s="96"/>
      <c r="J55" s="96"/>
      <c r="K55" s="102"/>
      <c r="L55" s="103"/>
      <c r="M55" s="38"/>
    </row>
    <row r="56" spans="1:14" x14ac:dyDescent="0.25">
      <c r="A56" s="69" t="s">
        <v>107</v>
      </c>
      <c r="B56" s="96"/>
      <c r="C56" s="96"/>
      <c r="D56" s="102"/>
      <c r="E56" s="103"/>
      <c r="F56" s="38"/>
      <c r="H56" s="69" t="s">
        <v>107</v>
      </c>
      <c r="I56" s="96"/>
      <c r="J56" s="96"/>
      <c r="K56" s="102"/>
      <c r="L56" s="103"/>
      <c r="M56" s="38"/>
    </row>
    <row r="57" spans="1:14" x14ac:dyDescent="0.25">
      <c r="A57" s="69" t="s">
        <v>108</v>
      </c>
      <c r="B57" s="96"/>
      <c r="C57" s="96"/>
      <c r="D57" s="102"/>
      <c r="E57" s="103"/>
      <c r="F57" s="38"/>
      <c r="H57" s="69" t="s">
        <v>108</v>
      </c>
      <c r="I57" s="96"/>
      <c r="J57" s="96"/>
      <c r="K57" s="102"/>
      <c r="L57" s="103"/>
      <c r="M57" s="38"/>
    </row>
    <row r="58" spans="1:14" ht="15.75" thickBot="1" x14ac:dyDescent="0.3">
      <c r="A58" s="70" t="s">
        <v>109</v>
      </c>
      <c r="B58" s="97"/>
      <c r="C58" s="97"/>
      <c r="D58" s="71"/>
      <c r="E58" s="104"/>
      <c r="F58" s="38"/>
      <c r="H58" s="70" t="s">
        <v>109</v>
      </c>
      <c r="I58" s="97"/>
      <c r="J58" s="97"/>
      <c r="K58" s="71"/>
      <c r="L58" s="104"/>
      <c r="M58" s="39"/>
    </row>
    <row r="59" spans="1:14" ht="15.75" thickBot="1" x14ac:dyDescent="0.3">
      <c r="A59" s="64" t="str">
        <f>A26</f>
        <v>Semaine 29</v>
      </c>
      <c r="B59" s="65" t="e">
        <f>'MASQUE COLLABORATEUR'!B59</f>
        <v>#N/A</v>
      </c>
      <c r="C59" s="65" t="s">
        <v>141</v>
      </c>
      <c r="D59" s="66" t="e">
        <f>'MASQUE COLLABORATEUR'!D59</f>
        <v>#N/A</v>
      </c>
      <c r="E59" s="66" t="e">
        <f>'MASQUE COLLABORATEUR'!E59</f>
        <v>#N/A</v>
      </c>
      <c r="F59" s="67" t="s">
        <v>110</v>
      </c>
      <c r="H59" s="77" t="s">
        <v>136</v>
      </c>
      <c r="I59" s="78" t="e">
        <f>'MASQUE COLLABORATEUR'!I59</f>
        <v>#N/A</v>
      </c>
      <c r="J59" s="78" t="s">
        <v>141</v>
      </c>
      <c r="K59" s="79" t="e">
        <f>'MASQUE COLLABORATEUR'!K59</f>
        <v>#N/A</v>
      </c>
      <c r="L59" s="80" t="e">
        <f>'MASQUE COLLABORATEUR'!L59</f>
        <v>#N/A</v>
      </c>
      <c r="M59" s="49"/>
    </row>
    <row r="60" spans="1:14" x14ac:dyDescent="0.25">
      <c r="A60" s="69" t="s">
        <v>103</v>
      </c>
      <c r="B60" s="95"/>
      <c r="C60" s="95"/>
      <c r="D60" s="106"/>
      <c r="E60" s="105"/>
      <c r="F60" s="101"/>
      <c r="H60" s="81" t="s">
        <v>103</v>
      </c>
      <c r="I60" s="82">
        <v>0</v>
      </c>
      <c r="J60" s="82">
        <v>0</v>
      </c>
      <c r="K60" s="83">
        <v>0</v>
      </c>
      <c r="L60" s="84">
        <v>0</v>
      </c>
      <c r="M60" s="191"/>
      <c r="N60" s="188"/>
    </row>
    <row r="61" spans="1:14" x14ac:dyDescent="0.25">
      <c r="A61" s="69" t="s">
        <v>104</v>
      </c>
      <c r="B61" s="96"/>
      <c r="C61" s="96"/>
      <c r="D61" s="102"/>
      <c r="E61" s="103"/>
      <c r="F61" s="38"/>
      <c r="H61" s="81" t="s">
        <v>104</v>
      </c>
      <c r="I61" s="88">
        <v>0</v>
      </c>
      <c r="J61" s="88">
        <v>0</v>
      </c>
      <c r="K61" s="89">
        <v>0</v>
      </c>
      <c r="L61" s="90">
        <v>0</v>
      </c>
      <c r="M61" s="49"/>
    </row>
    <row r="62" spans="1:14" x14ac:dyDescent="0.25">
      <c r="A62" s="69" t="s">
        <v>105</v>
      </c>
      <c r="B62" s="96"/>
      <c r="C62" s="96"/>
      <c r="D62" s="102"/>
      <c r="E62" s="103"/>
      <c r="F62" s="38"/>
      <c r="H62" s="81" t="s">
        <v>105</v>
      </c>
      <c r="I62" s="88">
        <v>0</v>
      </c>
      <c r="J62" s="88">
        <v>0</v>
      </c>
      <c r="K62" s="89">
        <v>0</v>
      </c>
      <c r="L62" s="90">
        <v>0</v>
      </c>
      <c r="M62" s="49"/>
    </row>
    <row r="63" spans="1:14" x14ac:dyDescent="0.25">
      <c r="A63" s="69" t="s">
        <v>106</v>
      </c>
      <c r="B63" s="96"/>
      <c r="C63" s="96"/>
      <c r="D63" s="102"/>
      <c r="E63" s="103"/>
      <c r="F63" s="38"/>
      <c r="H63" s="81" t="s">
        <v>106</v>
      </c>
      <c r="I63" s="88">
        <v>0</v>
      </c>
      <c r="J63" s="88">
        <v>0</v>
      </c>
      <c r="K63" s="89">
        <v>0</v>
      </c>
      <c r="L63" s="90">
        <v>0</v>
      </c>
      <c r="M63" s="49"/>
    </row>
    <row r="64" spans="1:14" x14ac:dyDescent="0.25">
      <c r="A64" s="69" t="s">
        <v>107</v>
      </c>
      <c r="B64" s="96"/>
      <c r="C64" s="96"/>
      <c r="D64" s="102"/>
      <c r="E64" s="103"/>
      <c r="F64" s="38"/>
      <c r="H64" s="81" t="s">
        <v>107</v>
      </c>
      <c r="I64" s="88">
        <v>0</v>
      </c>
      <c r="J64" s="88">
        <v>0</v>
      </c>
      <c r="K64" s="89">
        <v>0</v>
      </c>
      <c r="L64" s="90">
        <v>0</v>
      </c>
      <c r="M64" s="191"/>
      <c r="N64" s="190" t="s">
        <v>447</v>
      </c>
    </row>
    <row r="65" spans="1:14" x14ac:dyDescent="0.25">
      <c r="A65" s="69" t="s">
        <v>108</v>
      </c>
      <c r="B65" s="96"/>
      <c r="C65" s="96"/>
      <c r="D65" s="102"/>
      <c r="E65" s="103"/>
      <c r="F65" s="38"/>
      <c r="H65" s="81" t="s">
        <v>108</v>
      </c>
      <c r="I65" s="88">
        <v>0</v>
      </c>
      <c r="J65" s="88">
        <v>0</v>
      </c>
      <c r="K65" s="89">
        <v>0</v>
      </c>
      <c r="L65" s="90">
        <v>0</v>
      </c>
      <c r="M65" s="49"/>
      <c r="N65" s="189">
        <f ca="1">TODAY()</f>
        <v>46181</v>
      </c>
    </row>
    <row r="66" spans="1:14" ht="15.75" thickBot="1" x14ac:dyDescent="0.3">
      <c r="A66" s="70" t="s">
        <v>109</v>
      </c>
      <c r="B66" s="97"/>
      <c r="C66" s="97"/>
      <c r="D66" s="71"/>
      <c r="E66" s="104"/>
      <c r="F66" s="39"/>
      <c r="H66" s="92" t="s">
        <v>109</v>
      </c>
      <c r="I66" s="93">
        <v>0</v>
      </c>
      <c r="J66" s="93">
        <v>0</v>
      </c>
      <c r="K66" s="71">
        <v>0</v>
      </c>
      <c r="L66" s="94">
        <v>0</v>
      </c>
      <c r="M66" s="49"/>
    </row>
    <row r="67" spans="1:14" ht="15" customHeight="1" x14ac:dyDescent="0.25">
      <c r="D67" s="308" t="s">
        <v>443</v>
      </c>
      <c r="E67" s="308"/>
      <c r="F67" s="308"/>
      <c r="G67" s="308"/>
      <c r="H67" s="308"/>
      <c r="I67" s="308"/>
      <c r="J67" s="308"/>
      <c r="K67" s="308"/>
      <c r="L67" s="42" t="s">
        <v>280</v>
      </c>
      <c r="N67" s="43" t="s">
        <v>442</v>
      </c>
    </row>
    <row r="68" spans="1:14" x14ac:dyDescent="0.25">
      <c r="D68" s="308"/>
      <c r="E68" s="308"/>
      <c r="F68" s="308"/>
      <c r="G68" s="308"/>
      <c r="H68" s="308"/>
      <c r="I68" s="308"/>
      <c r="J68" s="308"/>
      <c r="K68" s="308"/>
      <c r="N68" s="43" t="s">
        <v>446</v>
      </c>
    </row>
    <row r="69" spans="1:14" x14ac:dyDescent="0.25">
      <c r="D69" s="308"/>
      <c r="E69" s="308"/>
      <c r="F69" s="308"/>
      <c r="G69" s="308"/>
      <c r="H69" s="308"/>
      <c r="I69" s="308"/>
      <c r="J69" s="308"/>
      <c r="K69" s="308"/>
      <c r="N69" s="44"/>
    </row>
    <row r="70" spans="1:14" x14ac:dyDescent="0.25">
      <c r="A70" s="45" t="s">
        <v>3</v>
      </c>
      <c r="B70" s="46">
        <f>'MASQUE COLLABORATEUR'!B70</f>
        <v>2026</v>
      </c>
      <c r="C70" s="47"/>
      <c r="D70" s="48" t="s">
        <v>1</v>
      </c>
      <c r="E70" s="46">
        <f>'MASQUE COLLABORATEUR'!E70</f>
        <v>0</v>
      </c>
      <c r="F70" s="49"/>
      <c r="G70" s="49"/>
      <c r="H70" s="48" t="s">
        <v>2</v>
      </c>
      <c r="I70" s="47">
        <f>'MASQUE COLLABORATEUR'!I70</f>
        <v>0</v>
      </c>
      <c r="J70" s="50"/>
      <c r="K70" s="50"/>
      <c r="N70" s="44"/>
    </row>
    <row r="71" spans="1:14" ht="15.75" thickBot="1" x14ac:dyDescent="0.3">
      <c r="A71" s="45" t="s">
        <v>10</v>
      </c>
      <c r="B71" s="49"/>
      <c r="C71" s="49"/>
      <c r="D71" s="50" t="str">
        <f>'MASQUE COLLABORATEUR'!D71</f>
        <v>01 juin 2026 au 31 mai 2027.</v>
      </c>
      <c r="E71" s="2"/>
      <c r="H71" s="48" t="s">
        <v>205</v>
      </c>
      <c r="I71" s="47" t="str">
        <f>'MASQUE COLLABORATEUR'!I71</f>
        <v>Juin</v>
      </c>
      <c r="N71" s="44"/>
    </row>
    <row r="72" spans="1:14" x14ac:dyDescent="0.25">
      <c r="A72" s="192" t="s">
        <v>448</v>
      </c>
      <c r="B72" s="193"/>
      <c r="C72" s="193"/>
      <c r="D72" s="194"/>
      <c r="E72" s="194"/>
      <c r="F72" s="194"/>
      <c r="G72" s="194"/>
      <c r="H72" s="194"/>
      <c r="I72" s="194"/>
      <c r="J72" s="194"/>
      <c r="K72" s="194"/>
      <c r="L72" s="194"/>
      <c r="M72" s="194"/>
      <c r="N72" s="195"/>
    </row>
    <row r="73" spans="1:14" ht="15.75" thickBot="1" x14ac:dyDescent="0.3">
      <c r="A73" s="196"/>
      <c r="B73" s="197"/>
      <c r="C73" s="197"/>
      <c r="D73" s="197"/>
      <c r="E73" s="197"/>
      <c r="F73" s="197"/>
      <c r="G73" s="197"/>
      <c r="H73" s="197"/>
      <c r="I73" s="198"/>
      <c r="J73" s="198"/>
      <c r="K73" s="198"/>
      <c r="L73" s="198"/>
      <c r="M73" s="198"/>
      <c r="N73" s="199"/>
    </row>
    <row r="74" spans="1:14" x14ac:dyDescent="0.25">
      <c r="A74" s="49" t="s">
        <v>18</v>
      </c>
      <c r="B74" s="113">
        <v>0</v>
      </c>
      <c r="E74" s="49"/>
      <c r="G74" s="57" t="s">
        <v>317</v>
      </c>
      <c r="H74" s="58" t="e">
        <f>'MASQUE COLLABORATEUR'!H74</f>
        <v>#N/A</v>
      </c>
      <c r="J74" s="10" t="s">
        <v>161</v>
      </c>
      <c r="K74" s="58" t="e">
        <f>'MASQUE COLLABORATEUR'!K74</f>
        <v>#N/A</v>
      </c>
    </row>
    <row r="75" spans="1:14" ht="15.75" thickBot="1" x14ac:dyDescent="0.3">
      <c r="A75" s="49" t="s">
        <v>59</v>
      </c>
      <c r="B75" s="2" t="e">
        <f>'MASQUE COLLABORATEUR'!B75</f>
        <v>#N/A</v>
      </c>
      <c r="C75" s="2"/>
      <c r="D75" s="2"/>
      <c r="G75" s="57" t="s">
        <v>158</v>
      </c>
      <c r="H75" s="58" t="e">
        <f>'MASQUE COLLABORATEUR'!H75</f>
        <v>#N/A</v>
      </c>
    </row>
    <row r="76" spans="1:14" ht="15.75" thickBot="1" x14ac:dyDescent="0.3">
      <c r="A76" s="64" t="str">
        <f>A43</f>
        <v>Semaine 25</v>
      </c>
      <c r="B76" s="65" t="e">
        <f>'MASQUE COLLABORATEUR'!B76</f>
        <v>#N/A</v>
      </c>
      <c r="C76" s="65" t="s">
        <v>141</v>
      </c>
      <c r="D76" s="66" t="e">
        <f>'MASQUE COLLABORATEUR'!D76</f>
        <v>#N/A</v>
      </c>
      <c r="E76" s="66" t="e">
        <f>'MASQUE COLLABORATEUR'!E76</f>
        <v>#N/A</v>
      </c>
      <c r="F76" s="67" t="s">
        <v>110</v>
      </c>
      <c r="H76" s="64" t="str">
        <f>H43</f>
        <v>Semaine 26</v>
      </c>
      <c r="I76" s="65" t="e">
        <f>'MASQUE COLLABORATEUR'!I76</f>
        <v>#N/A</v>
      </c>
      <c r="J76" s="65" t="s">
        <v>141</v>
      </c>
      <c r="K76" s="66" t="e">
        <f>'MASQUE COLLABORATEUR'!K76</f>
        <v>#N/A</v>
      </c>
      <c r="L76" s="66" t="e">
        <f>'MASQUE COLLABORATEUR'!L76</f>
        <v>#N/A</v>
      </c>
      <c r="M76" s="67" t="s">
        <v>110</v>
      </c>
    </row>
    <row r="77" spans="1:14" x14ac:dyDescent="0.25">
      <c r="A77" s="68" t="s">
        <v>103</v>
      </c>
      <c r="B77" s="98"/>
      <c r="C77" s="98"/>
      <c r="D77" s="99"/>
      <c r="E77" s="100"/>
      <c r="F77" s="101"/>
      <c r="H77" s="69" t="s">
        <v>103</v>
      </c>
      <c r="I77" s="95"/>
      <c r="J77" s="95"/>
      <c r="K77" s="106"/>
      <c r="L77" s="105"/>
      <c r="M77" s="101"/>
    </row>
    <row r="78" spans="1:14" x14ac:dyDescent="0.25">
      <c r="A78" s="69" t="s">
        <v>104</v>
      </c>
      <c r="B78" s="96"/>
      <c r="C78" s="96"/>
      <c r="D78" s="102"/>
      <c r="E78" s="103"/>
      <c r="F78" s="38"/>
      <c r="H78" s="69" t="s">
        <v>104</v>
      </c>
      <c r="I78" s="96"/>
      <c r="J78" s="96"/>
      <c r="K78" s="102"/>
      <c r="L78" s="103"/>
      <c r="M78" s="38"/>
    </row>
    <row r="79" spans="1:14" x14ac:dyDescent="0.25">
      <c r="A79" s="69" t="s">
        <v>105</v>
      </c>
      <c r="B79" s="96"/>
      <c r="C79" s="96"/>
      <c r="D79" s="102"/>
      <c r="E79" s="103"/>
      <c r="F79" s="38"/>
      <c r="H79" s="69" t="s">
        <v>105</v>
      </c>
      <c r="I79" s="96"/>
      <c r="J79" s="96"/>
      <c r="K79" s="102"/>
      <c r="L79" s="103"/>
      <c r="M79" s="38"/>
    </row>
    <row r="80" spans="1:14" x14ac:dyDescent="0.25">
      <c r="A80" s="69" t="s">
        <v>106</v>
      </c>
      <c r="B80" s="96"/>
      <c r="C80" s="96"/>
      <c r="D80" s="102"/>
      <c r="E80" s="103"/>
      <c r="F80" s="38"/>
      <c r="H80" s="69" t="s">
        <v>106</v>
      </c>
      <c r="I80" s="96"/>
      <c r="J80" s="96"/>
      <c r="K80" s="102"/>
      <c r="L80" s="103"/>
      <c r="M80" s="38"/>
    </row>
    <row r="81" spans="1:14" x14ac:dyDescent="0.25">
      <c r="A81" s="69" t="s">
        <v>107</v>
      </c>
      <c r="B81" s="96"/>
      <c r="C81" s="96"/>
      <c r="D81" s="102"/>
      <c r="E81" s="103"/>
      <c r="F81" s="38"/>
      <c r="H81" s="69" t="s">
        <v>107</v>
      </c>
      <c r="I81" s="96"/>
      <c r="J81" s="96"/>
      <c r="K81" s="102"/>
      <c r="L81" s="103"/>
      <c r="M81" s="38"/>
    </row>
    <row r="82" spans="1:14" x14ac:dyDescent="0.25">
      <c r="A82" s="69" t="s">
        <v>108</v>
      </c>
      <c r="B82" s="96"/>
      <c r="C82" s="96"/>
      <c r="D82" s="102"/>
      <c r="E82" s="103"/>
      <c r="F82" s="38"/>
      <c r="H82" s="69" t="s">
        <v>108</v>
      </c>
      <c r="I82" s="96"/>
      <c r="J82" s="96"/>
      <c r="K82" s="102"/>
      <c r="L82" s="103"/>
      <c r="M82" s="38"/>
    </row>
    <row r="83" spans="1:14" ht="15.75" thickBot="1" x14ac:dyDescent="0.3">
      <c r="A83" s="70" t="s">
        <v>109</v>
      </c>
      <c r="B83" s="97"/>
      <c r="C83" s="97"/>
      <c r="D83" s="71"/>
      <c r="E83" s="104"/>
      <c r="F83" s="38"/>
      <c r="H83" s="70" t="s">
        <v>109</v>
      </c>
      <c r="I83" s="97"/>
      <c r="J83" s="97"/>
      <c r="K83" s="71"/>
      <c r="L83" s="104"/>
      <c r="M83" s="38"/>
    </row>
    <row r="84" spans="1:14" ht="15.75" thickBot="1" x14ac:dyDescent="0.3">
      <c r="A84" s="64" t="str">
        <f>A51</f>
        <v>Semaine 27</v>
      </c>
      <c r="B84" s="65" t="e">
        <f>'MASQUE COLLABORATEUR'!B84</f>
        <v>#N/A</v>
      </c>
      <c r="C84" s="65" t="s">
        <v>141</v>
      </c>
      <c r="D84" s="66" t="e">
        <f>'MASQUE COLLABORATEUR'!D84</f>
        <v>#N/A</v>
      </c>
      <c r="E84" s="66" t="e">
        <f>'MASQUE COLLABORATEUR'!E84</f>
        <v>#N/A</v>
      </c>
      <c r="F84" s="67" t="s">
        <v>110</v>
      </c>
      <c r="H84" s="64" t="str">
        <f>H51</f>
        <v>Semaine 28</v>
      </c>
      <c r="I84" s="65" t="e">
        <f>'MASQUE COLLABORATEUR'!I84</f>
        <v>#N/A</v>
      </c>
      <c r="J84" s="65" t="s">
        <v>141</v>
      </c>
      <c r="K84" s="66" t="e">
        <f>'MASQUE COLLABORATEUR'!K84</f>
        <v>#N/A</v>
      </c>
      <c r="L84" s="66" t="e">
        <f>'MASQUE COLLABORATEUR'!L84</f>
        <v>#N/A</v>
      </c>
      <c r="M84" s="67" t="s">
        <v>110</v>
      </c>
    </row>
    <row r="85" spans="1:14" x14ac:dyDescent="0.25">
      <c r="A85" s="69" t="s">
        <v>103</v>
      </c>
      <c r="B85" s="95"/>
      <c r="C85" s="95"/>
      <c r="D85" s="106"/>
      <c r="E85" s="105"/>
      <c r="F85" s="101"/>
      <c r="H85" s="69" t="s">
        <v>103</v>
      </c>
      <c r="I85" s="95"/>
      <c r="J85" s="95"/>
      <c r="K85" s="106"/>
      <c r="L85" s="105"/>
      <c r="M85" s="101"/>
    </row>
    <row r="86" spans="1:14" x14ac:dyDescent="0.25">
      <c r="A86" s="69" t="s">
        <v>104</v>
      </c>
      <c r="B86" s="96"/>
      <c r="C86" s="96"/>
      <c r="D86" s="102"/>
      <c r="E86" s="103"/>
      <c r="F86" s="38"/>
      <c r="H86" s="69" t="s">
        <v>104</v>
      </c>
      <c r="I86" s="96"/>
      <c r="J86" s="96"/>
      <c r="K86" s="102"/>
      <c r="L86" s="103"/>
      <c r="M86" s="38"/>
    </row>
    <row r="87" spans="1:14" x14ac:dyDescent="0.25">
      <c r="A87" s="69" t="s">
        <v>105</v>
      </c>
      <c r="B87" s="96"/>
      <c r="C87" s="96"/>
      <c r="D87" s="102"/>
      <c r="E87" s="103"/>
      <c r="F87" s="38"/>
      <c r="H87" s="69" t="s">
        <v>105</v>
      </c>
      <c r="I87" s="96"/>
      <c r="J87" s="96"/>
      <c r="K87" s="102"/>
      <c r="L87" s="103"/>
      <c r="M87" s="38"/>
    </row>
    <row r="88" spans="1:14" x14ac:dyDescent="0.25">
      <c r="A88" s="69" t="s">
        <v>106</v>
      </c>
      <c r="B88" s="96"/>
      <c r="C88" s="96"/>
      <c r="D88" s="102"/>
      <c r="E88" s="103"/>
      <c r="F88" s="38"/>
      <c r="H88" s="69" t="s">
        <v>106</v>
      </c>
      <c r="I88" s="96"/>
      <c r="J88" s="96"/>
      <c r="K88" s="102"/>
      <c r="L88" s="103"/>
      <c r="M88" s="38"/>
    </row>
    <row r="89" spans="1:14" x14ac:dyDescent="0.25">
      <c r="A89" s="69" t="s">
        <v>107</v>
      </c>
      <c r="B89" s="96"/>
      <c r="C89" s="96"/>
      <c r="D89" s="102"/>
      <c r="E89" s="103"/>
      <c r="F89" s="38"/>
      <c r="H89" s="69" t="s">
        <v>107</v>
      </c>
      <c r="I89" s="96"/>
      <c r="J89" s="96"/>
      <c r="K89" s="102"/>
      <c r="L89" s="103"/>
      <c r="M89" s="38"/>
    </row>
    <row r="90" spans="1:14" x14ac:dyDescent="0.25">
      <c r="A90" s="69" t="s">
        <v>108</v>
      </c>
      <c r="B90" s="96"/>
      <c r="C90" s="96"/>
      <c r="D90" s="102"/>
      <c r="E90" s="103"/>
      <c r="F90" s="38"/>
      <c r="H90" s="69" t="s">
        <v>108</v>
      </c>
      <c r="I90" s="96"/>
      <c r="J90" s="96"/>
      <c r="K90" s="102"/>
      <c r="L90" s="103"/>
      <c r="M90" s="38"/>
    </row>
    <row r="91" spans="1:14" ht="15.75" thickBot="1" x14ac:dyDescent="0.3">
      <c r="A91" s="70" t="s">
        <v>109</v>
      </c>
      <c r="B91" s="97"/>
      <c r="C91" s="97"/>
      <c r="D91" s="71"/>
      <c r="E91" s="104"/>
      <c r="F91" s="38"/>
      <c r="H91" s="70" t="s">
        <v>109</v>
      </c>
      <c r="I91" s="97"/>
      <c r="J91" s="97"/>
      <c r="K91" s="71"/>
      <c r="L91" s="104"/>
      <c r="M91" s="39"/>
    </row>
    <row r="92" spans="1:14" ht="15.75" thickBot="1" x14ac:dyDescent="0.3">
      <c r="A92" s="64" t="str">
        <f>A59</f>
        <v>Semaine 29</v>
      </c>
      <c r="B92" s="65" t="e">
        <f>'MASQUE COLLABORATEUR'!B92</f>
        <v>#N/A</v>
      </c>
      <c r="C92" s="65" t="s">
        <v>141</v>
      </c>
      <c r="D92" s="66" t="e">
        <f>'MASQUE COLLABORATEUR'!D92</f>
        <v>#N/A</v>
      </c>
      <c r="E92" s="66" t="e">
        <f>'MASQUE COLLABORATEUR'!E92</f>
        <v>#N/A</v>
      </c>
      <c r="F92" s="67" t="s">
        <v>110</v>
      </c>
      <c r="H92" s="77" t="s">
        <v>136</v>
      </c>
      <c r="I92" s="78" t="e">
        <f>'MASQUE COLLABORATEUR'!I92</f>
        <v>#N/A</v>
      </c>
      <c r="J92" s="78" t="s">
        <v>141</v>
      </c>
      <c r="K92" s="79" t="e">
        <f>'MASQUE COLLABORATEUR'!K92</f>
        <v>#N/A</v>
      </c>
      <c r="L92" s="80" t="e">
        <f>'MASQUE COLLABORATEUR'!L92</f>
        <v>#N/A</v>
      </c>
      <c r="M92" s="49"/>
    </row>
    <row r="93" spans="1:14" x14ac:dyDescent="0.25">
      <c r="A93" s="69" t="s">
        <v>103</v>
      </c>
      <c r="B93" s="95"/>
      <c r="C93" s="95"/>
      <c r="D93" s="106"/>
      <c r="E93" s="105"/>
      <c r="F93" s="101"/>
      <c r="H93" s="81" t="s">
        <v>103</v>
      </c>
      <c r="I93" s="82">
        <v>0</v>
      </c>
      <c r="J93" s="82">
        <v>0</v>
      </c>
      <c r="K93" s="83">
        <v>0</v>
      </c>
      <c r="L93" s="84">
        <v>0</v>
      </c>
      <c r="M93" s="187"/>
      <c r="N93" s="188"/>
    </row>
    <row r="94" spans="1:14" x14ac:dyDescent="0.25">
      <c r="A94" s="69" t="s">
        <v>104</v>
      </c>
      <c r="B94" s="96"/>
      <c r="C94" s="96"/>
      <c r="D94" s="102"/>
      <c r="E94" s="103"/>
      <c r="F94" s="38"/>
      <c r="H94" s="81" t="s">
        <v>104</v>
      </c>
      <c r="I94" s="88">
        <v>0</v>
      </c>
      <c r="J94" s="88">
        <v>0</v>
      </c>
      <c r="K94" s="89">
        <v>0</v>
      </c>
      <c r="L94" s="90">
        <v>0</v>
      </c>
      <c r="M94" s="49"/>
    </row>
    <row r="95" spans="1:14" x14ac:dyDescent="0.25">
      <c r="A95" s="69" t="s">
        <v>105</v>
      </c>
      <c r="B95" s="96"/>
      <c r="C95" s="96"/>
      <c r="D95" s="102"/>
      <c r="E95" s="103"/>
      <c r="F95" s="38"/>
      <c r="H95" s="81" t="s">
        <v>105</v>
      </c>
      <c r="I95" s="88">
        <v>0</v>
      </c>
      <c r="J95" s="88">
        <v>0</v>
      </c>
      <c r="K95" s="89">
        <v>0</v>
      </c>
      <c r="L95" s="90">
        <v>0</v>
      </c>
      <c r="M95" s="49"/>
    </row>
    <row r="96" spans="1:14" x14ac:dyDescent="0.25">
      <c r="A96" s="69" t="s">
        <v>106</v>
      </c>
      <c r="B96" s="96"/>
      <c r="C96" s="96"/>
      <c r="D96" s="102"/>
      <c r="E96" s="103"/>
      <c r="F96" s="38"/>
      <c r="H96" s="81" t="s">
        <v>106</v>
      </c>
      <c r="I96" s="88">
        <v>0</v>
      </c>
      <c r="J96" s="88">
        <v>0</v>
      </c>
      <c r="K96" s="89">
        <v>0</v>
      </c>
      <c r="L96" s="90">
        <v>0</v>
      </c>
      <c r="M96" s="49"/>
    </row>
    <row r="97" spans="1:14" x14ac:dyDescent="0.25">
      <c r="A97" s="69" t="s">
        <v>107</v>
      </c>
      <c r="B97" s="96"/>
      <c r="C97" s="96"/>
      <c r="D97" s="102"/>
      <c r="E97" s="103"/>
      <c r="F97" s="38"/>
      <c r="H97" s="81" t="s">
        <v>107</v>
      </c>
      <c r="I97" s="88">
        <v>0</v>
      </c>
      <c r="J97" s="88">
        <v>0</v>
      </c>
      <c r="K97" s="89">
        <v>0</v>
      </c>
      <c r="L97" s="90">
        <v>0</v>
      </c>
      <c r="M97" s="187"/>
      <c r="N97" s="190" t="s">
        <v>447</v>
      </c>
    </row>
    <row r="98" spans="1:14" x14ac:dyDescent="0.25">
      <c r="A98" s="69" t="s">
        <v>108</v>
      </c>
      <c r="B98" s="96"/>
      <c r="C98" s="96"/>
      <c r="D98" s="102"/>
      <c r="E98" s="103"/>
      <c r="F98" s="38"/>
      <c r="H98" s="81" t="s">
        <v>108</v>
      </c>
      <c r="I98" s="88">
        <v>0</v>
      </c>
      <c r="J98" s="88">
        <v>0</v>
      </c>
      <c r="K98" s="89">
        <v>0</v>
      </c>
      <c r="L98" s="90">
        <v>0</v>
      </c>
      <c r="M98" s="49"/>
      <c r="N98" s="189">
        <f ca="1">TODAY()</f>
        <v>46181</v>
      </c>
    </row>
    <row r="99" spans="1:14" ht="15.75" thickBot="1" x14ac:dyDescent="0.3">
      <c r="A99" s="70" t="s">
        <v>109</v>
      </c>
      <c r="B99" s="97"/>
      <c r="C99" s="97"/>
      <c r="D99" s="71"/>
      <c r="E99" s="104"/>
      <c r="F99" s="39"/>
      <c r="H99" s="92" t="s">
        <v>109</v>
      </c>
      <c r="I99" s="93">
        <v>0</v>
      </c>
      <c r="J99" s="93">
        <v>0</v>
      </c>
      <c r="K99" s="71">
        <v>0</v>
      </c>
      <c r="L99" s="94">
        <v>0</v>
      </c>
      <c r="M99" s="49"/>
    </row>
    <row r="100" spans="1:14" ht="15" customHeight="1" x14ac:dyDescent="0.25">
      <c r="D100" s="308" t="s">
        <v>443</v>
      </c>
      <c r="E100" s="308"/>
      <c r="F100" s="308"/>
      <c r="G100" s="308"/>
      <c r="H100" s="308"/>
      <c r="I100" s="308"/>
      <c r="J100" s="308"/>
      <c r="K100" s="308"/>
      <c r="L100" s="42" t="s">
        <v>281</v>
      </c>
      <c r="N100" s="43" t="s">
        <v>442</v>
      </c>
    </row>
    <row r="101" spans="1:14" x14ac:dyDescent="0.25">
      <c r="D101" s="308"/>
      <c r="E101" s="308"/>
      <c r="F101" s="308"/>
      <c r="G101" s="308"/>
      <c r="H101" s="308"/>
      <c r="I101" s="308"/>
      <c r="J101" s="308"/>
      <c r="K101" s="308"/>
      <c r="N101" s="43" t="s">
        <v>446</v>
      </c>
    </row>
    <row r="102" spans="1:14" x14ac:dyDescent="0.25">
      <c r="D102" s="308"/>
      <c r="E102" s="308"/>
      <c r="F102" s="308"/>
      <c r="G102" s="308"/>
      <c r="H102" s="308"/>
      <c r="I102" s="308"/>
      <c r="J102" s="308"/>
      <c r="K102" s="308"/>
      <c r="N102" s="44"/>
    </row>
    <row r="103" spans="1:14" x14ac:dyDescent="0.25">
      <c r="A103" s="45" t="s">
        <v>3</v>
      </c>
      <c r="B103" s="46">
        <f>'MASQUE COLLABORATEUR'!B103</f>
        <v>2026</v>
      </c>
      <c r="C103" s="47"/>
      <c r="D103" s="48" t="s">
        <v>1</v>
      </c>
      <c r="E103" s="46">
        <f>'MASQUE COLLABORATEUR'!E103</f>
        <v>0</v>
      </c>
      <c r="F103" s="49"/>
      <c r="G103" s="49"/>
      <c r="H103" s="48" t="s">
        <v>2</v>
      </c>
      <c r="I103" s="47">
        <f>'MASQUE COLLABORATEUR'!I103</f>
        <v>0</v>
      </c>
      <c r="J103" s="50"/>
      <c r="K103" s="50"/>
      <c r="N103" s="44"/>
    </row>
    <row r="104" spans="1:14" ht="15.75" thickBot="1" x14ac:dyDescent="0.3">
      <c r="A104" s="45" t="s">
        <v>10</v>
      </c>
      <c r="B104" s="49"/>
      <c r="C104" s="49"/>
      <c r="D104" s="50" t="str">
        <f>'MASQUE COLLABORATEUR'!D104</f>
        <v>01 juin 2026 au 31 mai 2027.</v>
      </c>
      <c r="E104" s="2"/>
      <c r="H104" s="48" t="s">
        <v>205</v>
      </c>
      <c r="I104" s="47" t="str">
        <f>'MASQUE COLLABORATEUR'!I104</f>
        <v>Juin</v>
      </c>
      <c r="N104" s="44"/>
    </row>
    <row r="105" spans="1:14" x14ac:dyDescent="0.25">
      <c r="A105" s="192" t="s">
        <v>448</v>
      </c>
      <c r="B105" s="193"/>
      <c r="C105" s="193"/>
      <c r="D105" s="194"/>
      <c r="E105" s="194"/>
      <c r="F105" s="194"/>
      <c r="G105" s="194"/>
      <c r="H105" s="194"/>
      <c r="I105" s="194"/>
      <c r="J105" s="194"/>
      <c r="K105" s="194"/>
      <c r="L105" s="194"/>
      <c r="M105" s="194"/>
      <c r="N105" s="195"/>
    </row>
    <row r="106" spans="1:14" ht="15.75" thickBot="1" x14ac:dyDescent="0.3">
      <c r="A106" s="196"/>
      <c r="B106" s="197"/>
      <c r="C106" s="197"/>
      <c r="D106" s="197"/>
      <c r="E106" s="197"/>
      <c r="F106" s="197"/>
      <c r="G106" s="197"/>
      <c r="H106" s="197"/>
      <c r="I106" s="198"/>
      <c r="J106" s="198"/>
      <c r="K106" s="198"/>
      <c r="L106" s="198"/>
      <c r="M106" s="198"/>
      <c r="N106" s="199"/>
    </row>
    <row r="107" spans="1:14" x14ac:dyDescent="0.25">
      <c r="A107" s="49" t="s">
        <v>18</v>
      </c>
      <c r="B107" s="113">
        <f>'MASQUE COLLABORATEUR'!B107</f>
        <v>0</v>
      </c>
      <c r="E107" s="49"/>
      <c r="G107" s="57" t="s">
        <v>317</v>
      </c>
      <c r="H107" s="58" t="e">
        <f>'MASQUE COLLABORATEUR'!H107</f>
        <v>#N/A</v>
      </c>
      <c r="J107" s="10" t="s">
        <v>161</v>
      </c>
      <c r="K107" s="58" t="e">
        <f>'MASQUE COLLABORATEUR'!K107</f>
        <v>#N/A</v>
      </c>
    </row>
    <row r="108" spans="1:14" ht="15.75" thickBot="1" x14ac:dyDescent="0.3">
      <c r="A108" s="49" t="s">
        <v>59</v>
      </c>
      <c r="B108" s="2" t="e">
        <f>'MASQUE COLLABORATEUR'!B108</f>
        <v>#N/A</v>
      </c>
      <c r="C108" s="2"/>
      <c r="D108" s="2"/>
      <c r="G108" s="57" t="s">
        <v>158</v>
      </c>
      <c r="H108" s="58" t="e">
        <f>'MASQUE COLLABORATEUR'!H108</f>
        <v>#N/A</v>
      </c>
    </row>
    <row r="109" spans="1:14" ht="15.75" thickBot="1" x14ac:dyDescent="0.3">
      <c r="A109" s="64" t="str">
        <f>A76</f>
        <v>Semaine 25</v>
      </c>
      <c r="B109" s="65" t="e">
        <f>'MASQUE COLLABORATEUR'!B109</f>
        <v>#N/A</v>
      </c>
      <c r="C109" s="65" t="s">
        <v>141</v>
      </c>
      <c r="D109" s="66" t="e">
        <f>'MASQUE COLLABORATEUR'!D109</f>
        <v>#N/A</v>
      </c>
      <c r="E109" s="66" t="e">
        <f>'MASQUE COLLABORATEUR'!E109</f>
        <v>#N/A</v>
      </c>
      <c r="F109" s="67" t="s">
        <v>110</v>
      </c>
      <c r="H109" s="64" t="str">
        <f>H76</f>
        <v>Semaine 26</v>
      </c>
      <c r="I109" s="65" t="e">
        <f>'MASQUE COLLABORATEUR'!I109</f>
        <v>#N/A</v>
      </c>
      <c r="J109" s="65" t="s">
        <v>141</v>
      </c>
      <c r="K109" s="66" t="e">
        <f>'MASQUE COLLABORATEUR'!K109</f>
        <v>#N/A</v>
      </c>
      <c r="L109" s="66" t="e">
        <f>'MASQUE COLLABORATEUR'!L109</f>
        <v>#N/A</v>
      </c>
      <c r="M109" s="67" t="s">
        <v>110</v>
      </c>
    </row>
    <row r="110" spans="1:14" x14ac:dyDescent="0.25">
      <c r="A110" s="68" t="s">
        <v>103</v>
      </c>
      <c r="B110" s="98"/>
      <c r="C110" s="98"/>
      <c r="D110" s="99"/>
      <c r="E110" s="100"/>
      <c r="F110" s="101"/>
      <c r="H110" s="69" t="s">
        <v>103</v>
      </c>
      <c r="I110" s="95"/>
      <c r="J110" s="95"/>
      <c r="K110" s="106"/>
      <c r="L110" s="105"/>
      <c r="M110" s="101"/>
    </row>
    <row r="111" spans="1:14" x14ac:dyDescent="0.25">
      <c r="A111" s="69" t="s">
        <v>104</v>
      </c>
      <c r="B111" s="96"/>
      <c r="C111" s="96"/>
      <c r="D111" s="102"/>
      <c r="E111" s="103"/>
      <c r="F111" s="38"/>
      <c r="H111" s="69" t="s">
        <v>104</v>
      </c>
      <c r="I111" s="96"/>
      <c r="J111" s="96"/>
      <c r="K111" s="102"/>
      <c r="L111" s="103"/>
      <c r="M111" s="38"/>
    </row>
    <row r="112" spans="1:14" x14ac:dyDescent="0.25">
      <c r="A112" s="69" t="s">
        <v>105</v>
      </c>
      <c r="B112" s="96"/>
      <c r="C112" s="96"/>
      <c r="D112" s="102"/>
      <c r="E112" s="103"/>
      <c r="F112" s="38"/>
      <c r="H112" s="69" t="s">
        <v>105</v>
      </c>
      <c r="I112" s="96"/>
      <c r="J112" s="96"/>
      <c r="K112" s="102"/>
      <c r="L112" s="103"/>
      <c r="M112" s="38"/>
    </row>
    <row r="113" spans="1:14" x14ac:dyDescent="0.25">
      <c r="A113" s="69" t="s">
        <v>106</v>
      </c>
      <c r="B113" s="96"/>
      <c r="C113" s="96"/>
      <c r="D113" s="102"/>
      <c r="E113" s="103"/>
      <c r="F113" s="38"/>
      <c r="H113" s="69" t="s">
        <v>106</v>
      </c>
      <c r="I113" s="96"/>
      <c r="J113" s="96"/>
      <c r="K113" s="102"/>
      <c r="L113" s="103"/>
      <c r="M113" s="38"/>
    </row>
    <row r="114" spans="1:14" x14ac:dyDescent="0.25">
      <c r="A114" s="69" t="s">
        <v>107</v>
      </c>
      <c r="B114" s="96"/>
      <c r="C114" s="96"/>
      <c r="D114" s="102"/>
      <c r="E114" s="103"/>
      <c r="F114" s="38"/>
      <c r="H114" s="69" t="s">
        <v>107</v>
      </c>
      <c r="I114" s="96"/>
      <c r="J114" s="96"/>
      <c r="K114" s="102"/>
      <c r="L114" s="103"/>
      <c r="M114" s="38"/>
    </row>
    <row r="115" spans="1:14" x14ac:dyDescent="0.25">
      <c r="A115" s="69" t="s">
        <v>108</v>
      </c>
      <c r="B115" s="96"/>
      <c r="C115" s="96"/>
      <c r="D115" s="102"/>
      <c r="E115" s="103"/>
      <c r="F115" s="38"/>
      <c r="H115" s="69" t="s">
        <v>108</v>
      </c>
      <c r="I115" s="96"/>
      <c r="J115" s="96"/>
      <c r="K115" s="102"/>
      <c r="L115" s="103"/>
      <c r="M115" s="38"/>
    </row>
    <row r="116" spans="1:14" ht="15.75" thickBot="1" x14ac:dyDescent="0.3">
      <c r="A116" s="70" t="s">
        <v>109</v>
      </c>
      <c r="B116" s="97"/>
      <c r="C116" s="97"/>
      <c r="D116" s="71"/>
      <c r="E116" s="104"/>
      <c r="F116" s="38"/>
      <c r="H116" s="70" t="s">
        <v>109</v>
      </c>
      <c r="I116" s="97"/>
      <c r="J116" s="97"/>
      <c r="K116" s="71"/>
      <c r="L116" s="104"/>
      <c r="M116" s="38"/>
    </row>
    <row r="117" spans="1:14" ht="15.75" thickBot="1" x14ac:dyDescent="0.3">
      <c r="A117" s="64" t="str">
        <f>A84</f>
        <v>Semaine 27</v>
      </c>
      <c r="B117" s="65" t="e">
        <f>'MASQUE COLLABORATEUR'!B117</f>
        <v>#N/A</v>
      </c>
      <c r="C117" s="65" t="s">
        <v>141</v>
      </c>
      <c r="D117" s="66" t="e">
        <f>'MASQUE COLLABORATEUR'!D117</f>
        <v>#N/A</v>
      </c>
      <c r="E117" s="66" t="e">
        <f>'MASQUE COLLABORATEUR'!E117</f>
        <v>#N/A</v>
      </c>
      <c r="F117" s="67" t="s">
        <v>110</v>
      </c>
      <c r="H117" s="64" t="str">
        <f>H84</f>
        <v>Semaine 28</v>
      </c>
      <c r="I117" s="65" t="e">
        <f>'MASQUE COLLABORATEUR'!I117</f>
        <v>#N/A</v>
      </c>
      <c r="J117" s="65" t="s">
        <v>141</v>
      </c>
      <c r="K117" s="66" t="e">
        <f>'MASQUE COLLABORATEUR'!K117</f>
        <v>#N/A</v>
      </c>
      <c r="L117" s="66" t="e">
        <f>'MASQUE COLLABORATEUR'!L117</f>
        <v>#N/A</v>
      </c>
      <c r="M117" s="67" t="s">
        <v>110</v>
      </c>
    </row>
    <row r="118" spans="1:14" x14ac:dyDescent="0.25">
      <c r="A118" s="69" t="s">
        <v>103</v>
      </c>
      <c r="B118" s="95"/>
      <c r="C118" s="95"/>
      <c r="D118" s="106"/>
      <c r="E118" s="105"/>
      <c r="F118" s="101"/>
      <c r="H118" s="69" t="s">
        <v>103</v>
      </c>
      <c r="I118" s="95"/>
      <c r="J118" s="95"/>
      <c r="K118" s="106"/>
      <c r="L118" s="105"/>
      <c r="M118" s="101"/>
    </row>
    <row r="119" spans="1:14" x14ac:dyDescent="0.25">
      <c r="A119" s="69" t="s">
        <v>104</v>
      </c>
      <c r="B119" s="96"/>
      <c r="C119" s="96"/>
      <c r="D119" s="102"/>
      <c r="E119" s="103"/>
      <c r="F119" s="38"/>
      <c r="H119" s="69" t="s">
        <v>104</v>
      </c>
      <c r="I119" s="96"/>
      <c r="J119" s="96"/>
      <c r="K119" s="102"/>
      <c r="L119" s="103"/>
      <c r="M119" s="38"/>
    </row>
    <row r="120" spans="1:14" x14ac:dyDescent="0.25">
      <c r="A120" s="69" t="s">
        <v>105</v>
      </c>
      <c r="B120" s="96"/>
      <c r="C120" s="96"/>
      <c r="D120" s="102"/>
      <c r="E120" s="103"/>
      <c r="F120" s="38"/>
      <c r="H120" s="69" t="s">
        <v>105</v>
      </c>
      <c r="I120" s="96"/>
      <c r="J120" s="96"/>
      <c r="K120" s="102"/>
      <c r="L120" s="103"/>
      <c r="M120" s="38"/>
    </row>
    <row r="121" spans="1:14" x14ac:dyDescent="0.25">
      <c r="A121" s="69" t="s">
        <v>106</v>
      </c>
      <c r="B121" s="96"/>
      <c r="C121" s="96"/>
      <c r="D121" s="102"/>
      <c r="E121" s="103"/>
      <c r="F121" s="38"/>
      <c r="H121" s="69" t="s">
        <v>106</v>
      </c>
      <c r="I121" s="96"/>
      <c r="J121" s="96"/>
      <c r="K121" s="102"/>
      <c r="L121" s="103"/>
      <c r="M121" s="38"/>
    </row>
    <row r="122" spans="1:14" x14ac:dyDescent="0.25">
      <c r="A122" s="69" t="s">
        <v>107</v>
      </c>
      <c r="B122" s="96"/>
      <c r="C122" s="96"/>
      <c r="D122" s="102"/>
      <c r="E122" s="103"/>
      <c r="F122" s="38"/>
      <c r="H122" s="69" t="s">
        <v>107</v>
      </c>
      <c r="I122" s="96"/>
      <c r="J122" s="96"/>
      <c r="K122" s="102"/>
      <c r="L122" s="103"/>
      <c r="M122" s="38"/>
    </row>
    <row r="123" spans="1:14" x14ac:dyDescent="0.25">
      <c r="A123" s="69" t="s">
        <v>108</v>
      </c>
      <c r="B123" s="96"/>
      <c r="C123" s="96"/>
      <c r="D123" s="102"/>
      <c r="E123" s="103"/>
      <c r="F123" s="38"/>
      <c r="H123" s="69" t="s">
        <v>108</v>
      </c>
      <c r="I123" s="96"/>
      <c r="J123" s="96"/>
      <c r="K123" s="102"/>
      <c r="L123" s="103"/>
      <c r="M123" s="38"/>
    </row>
    <row r="124" spans="1:14" ht="15.75" thickBot="1" x14ac:dyDescent="0.3">
      <c r="A124" s="70" t="s">
        <v>109</v>
      </c>
      <c r="B124" s="97"/>
      <c r="C124" s="97"/>
      <c r="D124" s="71"/>
      <c r="E124" s="104"/>
      <c r="F124" s="38"/>
      <c r="H124" s="70" t="s">
        <v>109</v>
      </c>
      <c r="I124" s="97"/>
      <c r="J124" s="97"/>
      <c r="K124" s="71"/>
      <c r="L124" s="104"/>
      <c r="M124" s="39"/>
    </row>
    <row r="125" spans="1:14" ht="15.75" thickBot="1" x14ac:dyDescent="0.3">
      <c r="A125" s="64" t="str">
        <f>A92</f>
        <v>Semaine 29</v>
      </c>
      <c r="B125" s="65" t="e">
        <f>'MASQUE COLLABORATEUR'!B125</f>
        <v>#N/A</v>
      </c>
      <c r="C125" s="65" t="s">
        <v>141</v>
      </c>
      <c r="D125" s="66" t="e">
        <f>'MASQUE COLLABORATEUR'!D125</f>
        <v>#N/A</v>
      </c>
      <c r="E125" s="66" t="e">
        <f>'MASQUE COLLABORATEUR'!E125</f>
        <v>#N/A</v>
      </c>
      <c r="F125" s="67" t="s">
        <v>110</v>
      </c>
      <c r="H125" s="77" t="s">
        <v>136</v>
      </c>
      <c r="I125" s="78" t="e">
        <f>'MASQUE COLLABORATEUR'!I125</f>
        <v>#N/A</v>
      </c>
      <c r="J125" s="78" t="s">
        <v>141</v>
      </c>
      <c r="K125" s="79" t="e">
        <f>'MASQUE COLLABORATEUR'!K125</f>
        <v>#N/A</v>
      </c>
      <c r="L125" s="80" t="e">
        <f>'MASQUE COLLABORATEUR'!L125</f>
        <v>#N/A</v>
      </c>
      <c r="M125" s="49"/>
    </row>
    <row r="126" spans="1:14" x14ac:dyDescent="0.25">
      <c r="A126" s="69" t="s">
        <v>103</v>
      </c>
      <c r="B126" s="95"/>
      <c r="C126" s="95"/>
      <c r="D126" s="106"/>
      <c r="E126" s="105"/>
      <c r="F126" s="101"/>
      <c r="H126" s="81" t="s">
        <v>103</v>
      </c>
      <c r="I126" s="82">
        <v>0</v>
      </c>
      <c r="J126" s="82">
        <v>0</v>
      </c>
      <c r="K126" s="83">
        <v>0</v>
      </c>
      <c r="L126" s="84">
        <v>0</v>
      </c>
      <c r="M126" s="187"/>
      <c r="N126" s="188"/>
    </row>
    <row r="127" spans="1:14" x14ac:dyDescent="0.25">
      <c r="A127" s="69" t="s">
        <v>104</v>
      </c>
      <c r="B127" s="96"/>
      <c r="C127" s="96"/>
      <c r="D127" s="102"/>
      <c r="E127" s="103"/>
      <c r="F127" s="38"/>
      <c r="H127" s="81" t="s">
        <v>104</v>
      </c>
      <c r="I127" s="88">
        <v>0</v>
      </c>
      <c r="J127" s="88">
        <v>0</v>
      </c>
      <c r="K127" s="89">
        <v>0</v>
      </c>
      <c r="L127" s="90">
        <v>0</v>
      </c>
      <c r="M127" s="49"/>
    </row>
    <row r="128" spans="1:14" x14ac:dyDescent="0.25">
      <c r="A128" s="69" t="s">
        <v>105</v>
      </c>
      <c r="B128" s="96"/>
      <c r="C128" s="96"/>
      <c r="D128" s="102"/>
      <c r="E128" s="103"/>
      <c r="F128" s="38"/>
      <c r="H128" s="81" t="s">
        <v>105</v>
      </c>
      <c r="I128" s="88">
        <v>0</v>
      </c>
      <c r="J128" s="88">
        <v>0</v>
      </c>
      <c r="K128" s="89">
        <v>0</v>
      </c>
      <c r="L128" s="90">
        <v>0</v>
      </c>
      <c r="M128" s="49"/>
    </row>
    <row r="129" spans="1:14" x14ac:dyDescent="0.25">
      <c r="A129" s="69" t="s">
        <v>106</v>
      </c>
      <c r="B129" s="96"/>
      <c r="C129" s="96"/>
      <c r="D129" s="102"/>
      <c r="E129" s="103"/>
      <c r="F129" s="38"/>
      <c r="H129" s="81" t="s">
        <v>106</v>
      </c>
      <c r="I129" s="88">
        <v>0</v>
      </c>
      <c r="J129" s="88">
        <v>0</v>
      </c>
      <c r="K129" s="89">
        <v>0</v>
      </c>
      <c r="L129" s="90">
        <v>0</v>
      </c>
      <c r="M129" s="49"/>
    </row>
    <row r="130" spans="1:14" x14ac:dyDescent="0.25">
      <c r="A130" s="69" t="s">
        <v>107</v>
      </c>
      <c r="B130" s="96"/>
      <c r="C130" s="96"/>
      <c r="D130" s="102"/>
      <c r="E130" s="103"/>
      <c r="F130" s="38"/>
      <c r="H130" s="81" t="s">
        <v>107</v>
      </c>
      <c r="I130" s="88">
        <v>0</v>
      </c>
      <c r="J130" s="88">
        <v>0</v>
      </c>
      <c r="K130" s="89">
        <v>0</v>
      </c>
      <c r="L130" s="90">
        <v>0</v>
      </c>
      <c r="M130" s="187"/>
      <c r="N130" s="190" t="s">
        <v>447</v>
      </c>
    </row>
    <row r="131" spans="1:14" x14ac:dyDescent="0.25">
      <c r="A131" s="69" t="s">
        <v>108</v>
      </c>
      <c r="B131" s="96"/>
      <c r="C131" s="96"/>
      <c r="D131" s="102"/>
      <c r="E131" s="103"/>
      <c r="F131" s="38"/>
      <c r="H131" s="81" t="s">
        <v>108</v>
      </c>
      <c r="I131" s="88">
        <v>0</v>
      </c>
      <c r="J131" s="88">
        <v>0</v>
      </c>
      <c r="K131" s="89">
        <v>0</v>
      </c>
      <c r="L131" s="90">
        <v>0</v>
      </c>
      <c r="M131" s="49"/>
      <c r="N131" s="189">
        <f ca="1">TODAY()</f>
        <v>46181</v>
      </c>
    </row>
    <row r="132" spans="1:14" ht="15.75" thickBot="1" x14ac:dyDescent="0.3">
      <c r="A132" s="70" t="s">
        <v>109</v>
      </c>
      <c r="B132" s="97"/>
      <c r="C132" s="97"/>
      <c r="D132" s="71"/>
      <c r="E132" s="104"/>
      <c r="F132" s="39"/>
      <c r="H132" s="92" t="s">
        <v>109</v>
      </c>
      <c r="I132" s="93">
        <v>0</v>
      </c>
      <c r="J132" s="93">
        <v>0</v>
      </c>
      <c r="K132" s="71">
        <v>0</v>
      </c>
      <c r="L132" s="94">
        <v>0</v>
      </c>
      <c r="M132" s="49"/>
    </row>
    <row r="133" spans="1:14" ht="15" customHeight="1" x14ac:dyDescent="0.25">
      <c r="D133" s="308" t="s">
        <v>443</v>
      </c>
      <c r="E133" s="308"/>
      <c r="F133" s="308"/>
      <c r="G133" s="308"/>
      <c r="H133" s="308"/>
      <c r="I133" s="308"/>
      <c r="J133" s="308"/>
      <c r="K133" s="308"/>
      <c r="L133" s="42" t="s">
        <v>469</v>
      </c>
      <c r="N133" s="43" t="s">
        <v>442</v>
      </c>
    </row>
    <row r="134" spans="1:14" x14ac:dyDescent="0.25">
      <c r="D134" s="308"/>
      <c r="E134" s="308"/>
      <c r="F134" s="308"/>
      <c r="G134" s="308"/>
      <c r="H134" s="308"/>
      <c r="I134" s="308"/>
      <c r="J134" s="308"/>
      <c r="K134" s="308"/>
      <c r="N134" s="43" t="s">
        <v>446</v>
      </c>
    </row>
    <row r="135" spans="1:14" x14ac:dyDescent="0.25">
      <c r="D135" s="308"/>
      <c r="E135" s="308"/>
      <c r="F135" s="308"/>
      <c r="G135" s="308"/>
      <c r="H135" s="308"/>
      <c r="I135" s="308"/>
      <c r="J135" s="308"/>
      <c r="K135" s="308"/>
      <c r="N135" s="44"/>
    </row>
    <row r="136" spans="1:14" x14ac:dyDescent="0.25">
      <c r="A136" s="45" t="s">
        <v>3</v>
      </c>
      <c r="B136" s="46">
        <f>'MASQUE COLLABORATEUR'!B136</f>
        <v>2026</v>
      </c>
      <c r="C136" s="47"/>
      <c r="D136" s="48" t="s">
        <v>1</v>
      </c>
      <c r="E136" s="46">
        <f>'MASQUE COLLABORATEUR'!E136</f>
        <v>0</v>
      </c>
      <c r="F136" s="49"/>
      <c r="G136" s="49"/>
      <c r="H136" s="48" t="s">
        <v>2</v>
      </c>
      <c r="I136" s="47">
        <f>'MASQUE COLLABORATEUR'!I136</f>
        <v>0</v>
      </c>
      <c r="J136" s="50"/>
      <c r="K136" s="50"/>
      <c r="N136" s="44"/>
    </row>
    <row r="137" spans="1:14" ht="15.75" thickBot="1" x14ac:dyDescent="0.3">
      <c r="A137" s="45" t="s">
        <v>10</v>
      </c>
      <c r="B137" s="49"/>
      <c r="C137" s="49"/>
      <c r="D137" s="50" t="str">
        <f>'MASQUE COLLABORATEUR'!D137</f>
        <v>01 juin 2026 au 31 mai 2027.</v>
      </c>
      <c r="E137" s="2"/>
      <c r="H137" s="48" t="s">
        <v>205</v>
      </c>
      <c r="I137" s="47" t="str">
        <f>'MASQUE COLLABORATEUR'!I137</f>
        <v>Juin</v>
      </c>
      <c r="N137" s="44"/>
    </row>
    <row r="138" spans="1:14" x14ac:dyDescent="0.25">
      <c r="A138" s="192" t="s">
        <v>448</v>
      </c>
      <c r="B138" s="193"/>
      <c r="C138" s="193"/>
      <c r="D138" s="194"/>
      <c r="E138" s="194"/>
      <c r="F138" s="194"/>
      <c r="G138" s="194"/>
      <c r="H138" s="194"/>
      <c r="I138" s="194"/>
      <c r="J138" s="194"/>
      <c r="K138" s="194"/>
      <c r="L138" s="194"/>
      <c r="M138" s="194"/>
      <c r="N138" s="195"/>
    </row>
    <row r="139" spans="1:14" ht="15.75" thickBot="1" x14ac:dyDescent="0.3">
      <c r="A139" s="196"/>
      <c r="B139" s="197"/>
      <c r="C139" s="197"/>
      <c r="D139" s="197"/>
      <c r="E139" s="197"/>
      <c r="F139" s="197"/>
      <c r="G139" s="197"/>
      <c r="H139" s="197"/>
      <c r="I139" s="198"/>
      <c r="J139" s="198"/>
      <c r="K139" s="198"/>
      <c r="L139" s="198"/>
      <c r="M139" s="198"/>
      <c r="N139" s="199"/>
    </row>
    <row r="140" spans="1:14" x14ac:dyDescent="0.25">
      <c r="A140" s="49" t="s">
        <v>18</v>
      </c>
      <c r="B140" s="113">
        <f>'MASQUE COLLABORATEUR'!B140</f>
        <v>0</v>
      </c>
      <c r="E140" s="49"/>
      <c r="G140" s="57" t="s">
        <v>317</v>
      </c>
      <c r="H140" s="58" t="e">
        <f>'MASQUE COLLABORATEUR'!H140</f>
        <v>#N/A</v>
      </c>
      <c r="J140" s="10" t="s">
        <v>161</v>
      </c>
      <c r="K140" s="58" t="e">
        <f>'MASQUE COLLABORATEUR'!K140</f>
        <v>#N/A</v>
      </c>
    </row>
    <row r="141" spans="1:14" ht="15.75" thickBot="1" x14ac:dyDescent="0.3">
      <c r="A141" s="49" t="s">
        <v>59</v>
      </c>
      <c r="B141" s="2" t="e">
        <f>'MASQUE COLLABORATEUR'!B141</f>
        <v>#N/A</v>
      </c>
      <c r="C141" s="2"/>
      <c r="D141" s="2"/>
      <c r="G141" s="57" t="s">
        <v>158</v>
      </c>
      <c r="H141" s="58" t="e">
        <f>'MASQUE COLLABORATEUR'!H141</f>
        <v>#N/A</v>
      </c>
    </row>
    <row r="142" spans="1:14" ht="15.75" thickBot="1" x14ac:dyDescent="0.3">
      <c r="A142" s="64" t="str">
        <f>A109</f>
        <v>Semaine 25</v>
      </c>
      <c r="B142" s="65" t="e">
        <f>'MASQUE COLLABORATEUR'!B142</f>
        <v>#N/A</v>
      </c>
      <c r="C142" s="65" t="s">
        <v>141</v>
      </c>
      <c r="D142" s="66" t="e">
        <f>'MASQUE COLLABORATEUR'!D142</f>
        <v>#N/A</v>
      </c>
      <c r="E142" s="66" t="e">
        <f>'MASQUE COLLABORATEUR'!E142</f>
        <v>#N/A</v>
      </c>
      <c r="F142" s="67" t="s">
        <v>110</v>
      </c>
      <c r="H142" s="64" t="str">
        <f>H109</f>
        <v>Semaine 26</v>
      </c>
      <c r="I142" s="65" t="e">
        <f>'MASQUE COLLABORATEUR'!I142</f>
        <v>#N/A</v>
      </c>
      <c r="J142" s="65" t="s">
        <v>141</v>
      </c>
      <c r="K142" s="66" t="e">
        <f>'MASQUE COLLABORATEUR'!K142</f>
        <v>#N/A</v>
      </c>
      <c r="L142" s="66" t="e">
        <f>'MASQUE COLLABORATEUR'!L142</f>
        <v>#N/A</v>
      </c>
      <c r="M142" s="67" t="s">
        <v>110</v>
      </c>
    </row>
    <row r="143" spans="1:14" x14ac:dyDescent="0.25">
      <c r="A143" s="68" t="s">
        <v>103</v>
      </c>
      <c r="B143" s="98"/>
      <c r="C143" s="98"/>
      <c r="D143" s="99"/>
      <c r="E143" s="100"/>
      <c r="F143" s="101"/>
      <c r="H143" s="69" t="s">
        <v>103</v>
      </c>
      <c r="I143" s="95"/>
      <c r="J143" s="95"/>
      <c r="K143" s="106"/>
      <c r="L143" s="105"/>
      <c r="M143" s="101"/>
    </row>
    <row r="144" spans="1:14" x14ac:dyDescent="0.25">
      <c r="A144" s="69" t="s">
        <v>104</v>
      </c>
      <c r="B144" s="96"/>
      <c r="C144" s="96"/>
      <c r="D144" s="102"/>
      <c r="E144" s="103"/>
      <c r="F144" s="38"/>
      <c r="H144" s="69" t="s">
        <v>104</v>
      </c>
      <c r="I144" s="96"/>
      <c r="J144" s="96"/>
      <c r="K144" s="102"/>
      <c r="L144" s="103"/>
      <c r="M144" s="38"/>
    </row>
    <row r="145" spans="1:14" x14ac:dyDescent="0.25">
      <c r="A145" s="69" t="s">
        <v>105</v>
      </c>
      <c r="B145" s="96"/>
      <c r="C145" s="96"/>
      <c r="D145" s="102"/>
      <c r="E145" s="103"/>
      <c r="F145" s="38"/>
      <c r="H145" s="69" t="s">
        <v>105</v>
      </c>
      <c r="I145" s="96"/>
      <c r="J145" s="96"/>
      <c r="K145" s="102"/>
      <c r="L145" s="103"/>
      <c r="M145" s="38"/>
    </row>
    <row r="146" spans="1:14" x14ac:dyDescent="0.25">
      <c r="A146" s="69" t="s">
        <v>106</v>
      </c>
      <c r="B146" s="96"/>
      <c r="C146" s="96"/>
      <c r="D146" s="102"/>
      <c r="E146" s="103"/>
      <c r="F146" s="38"/>
      <c r="H146" s="69" t="s">
        <v>106</v>
      </c>
      <c r="I146" s="96"/>
      <c r="J146" s="96"/>
      <c r="K146" s="102"/>
      <c r="L146" s="103"/>
      <c r="M146" s="38"/>
    </row>
    <row r="147" spans="1:14" x14ac:dyDescent="0.25">
      <c r="A147" s="69" t="s">
        <v>107</v>
      </c>
      <c r="B147" s="96"/>
      <c r="C147" s="96"/>
      <c r="D147" s="102"/>
      <c r="E147" s="103"/>
      <c r="F147" s="38"/>
      <c r="H147" s="69" t="s">
        <v>107</v>
      </c>
      <c r="I147" s="96"/>
      <c r="J147" s="96"/>
      <c r="K147" s="102"/>
      <c r="L147" s="103"/>
      <c r="M147" s="38"/>
    </row>
    <row r="148" spans="1:14" x14ac:dyDescent="0.25">
      <c r="A148" s="69" t="s">
        <v>108</v>
      </c>
      <c r="B148" s="96"/>
      <c r="C148" s="96"/>
      <c r="D148" s="102"/>
      <c r="E148" s="103"/>
      <c r="F148" s="38"/>
      <c r="H148" s="69" t="s">
        <v>108</v>
      </c>
      <c r="I148" s="96"/>
      <c r="J148" s="96"/>
      <c r="K148" s="102"/>
      <c r="L148" s="103"/>
      <c r="M148" s="38"/>
    </row>
    <row r="149" spans="1:14" ht="15.75" thickBot="1" x14ac:dyDescent="0.3">
      <c r="A149" s="70" t="s">
        <v>109</v>
      </c>
      <c r="B149" s="97"/>
      <c r="C149" s="97"/>
      <c r="D149" s="71"/>
      <c r="E149" s="104"/>
      <c r="F149" s="38"/>
      <c r="H149" s="70" t="s">
        <v>109</v>
      </c>
      <c r="I149" s="97"/>
      <c r="J149" s="97"/>
      <c r="K149" s="71"/>
      <c r="L149" s="104"/>
      <c r="M149" s="38"/>
    </row>
    <row r="150" spans="1:14" ht="15.75" thickBot="1" x14ac:dyDescent="0.3">
      <c r="A150" s="64" t="str">
        <f>A117</f>
        <v>Semaine 27</v>
      </c>
      <c r="B150" s="65" t="e">
        <f>'MASQUE COLLABORATEUR'!B150</f>
        <v>#N/A</v>
      </c>
      <c r="C150" s="65" t="s">
        <v>141</v>
      </c>
      <c r="D150" s="66" t="e">
        <f>'MASQUE COLLABORATEUR'!D150</f>
        <v>#N/A</v>
      </c>
      <c r="E150" s="66" t="e">
        <f>'MASQUE COLLABORATEUR'!E150</f>
        <v>#N/A</v>
      </c>
      <c r="F150" s="67" t="s">
        <v>110</v>
      </c>
      <c r="H150" s="64" t="str">
        <f>H117</f>
        <v>Semaine 28</v>
      </c>
      <c r="I150" s="65" t="e">
        <f>'MASQUE COLLABORATEUR'!I150</f>
        <v>#N/A</v>
      </c>
      <c r="J150" s="65" t="s">
        <v>141</v>
      </c>
      <c r="K150" s="66" t="e">
        <f>'MASQUE COLLABORATEUR'!K150</f>
        <v>#N/A</v>
      </c>
      <c r="L150" s="66" t="e">
        <f>'MASQUE COLLABORATEUR'!L150</f>
        <v>#N/A</v>
      </c>
      <c r="M150" s="67" t="s">
        <v>110</v>
      </c>
    </row>
    <row r="151" spans="1:14" x14ac:dyDescent="0.25">
      <c r="A151" s="69" t="s">
        <v>103</v>
      </c>
      <c r="B151" s="95"/>
      <c r="C151" s="95"/>
      <c r="D151" s="106"/>
      <c r="E151" s="105"/>
      <c r="F151" s="101"/>
      <c r="H151" s="69" t="s">
        <v>103</v>
      </c>
      <c r="I151" s="95"/>
      <c r="J151" s="95"/>
      <c r="K151" s="106"/>
      <c r="L151" s="105"/>
      <c r="M151" s="101"/>
    </row>
    <row r="152" spans="1:14" x14ac:dyDescent="0.25">
      <c r="A152" s="69" t="s">
        <v>104</v>
      </c>
      <c r="B152" s="96"/>
      <c r="C152" s="96"/>
      <c r="D152" s="102"/>
      <c r="E152" s="103"/>
      <c r="F152" s="38"/>
      <c r="H152" s="69" t="s">
        <v>104</v>
      </c>
      <c r="I152" s="96"/>
      <c r="J152" s="96"/>
      <c r="K152" s="102"/>
      <c r="L152" s="103"/>
      <c r="M152" s="38"/>
    </row>
    <row r="153" spans="1:14" x14ac:dyDescent="0.25">
      <c r="A153" s="69" t="s">
        <v>105</v>
      </c>
      <c r="B153" s="96"/>
      <c r="C153" s="96"/>
      <c r="D153" s="102"/>
      <c r="E153" s="103"/>
      <c r="F153" s="38"/>
      <c r="H153" s="69" t="s">
        <v>105</v>
      </c>
      <c r="I153" s="96"/>
      <c r="J153" s="96"/>
      <c r="K153" s="102"/>
      <c r="L153" s="103"/>
      <c r="M153" s="38"/>
    </row>
    <row r="154" spans="1:14" x14ac:dyDescent="0.25">
      <c r="A154" s="69" t="s">
        <v>106</v>
      </c>
      <c r="B154" s="96"/>
      <c r="C154" s="96"/>
      <c r="D154" s="102"/>
      <c r="E154" s="103"/>
      <c r="F154" s="38"/>
      <c r="H154" s="69" t="s">
        <v>106</v>
      </c>
      <c r="I154" s="96"/>
      <c r="J154" s="96"/>
      <c r="K154" s="102"/>
      <c r="L154" s="103"/>
      <c r="M154" s="38"/>
    </row>
    <row r="155" spans="1:14" x14ac:dyDescent="0.25">
      <c r="A155" s="69" t="s">
        <v>107</v>
      </c>
      <c r="B155" s="96"/>
      <c r="C155" s="96"/>
      <c r="D155" s="102"/>
      <c r="E155" s="103"/>
      <c r="F155" s="38"/>
      <c r="H155" s="69" t="s">
        <v>107</v>
      </c>
      <c r="I155" s="96"/>
      <c r="J155" s="96"/>
      <c r="K155" s="102"/>
      <c r="L155" s="103"/>
      <c r="M155" s="38"/>
    </row>
    <row r="156" spans="1:14" x14ac:dyDescent="0.25">
      <c r="A156" s="69" t="s">
        <v>108</v>
      </c>
      <c r="B156" s="96"/>
      <c r="C156" s="96"/>
      <c r="D156" s="102"/>
      <c r="E156" s="103"/>
      <c r="F156" s="38"/>
      <c r="H156" s="69" t="s">
        <v>108</v>
      </c>
      <c r="I156" s="96"/>
      <c r="J156" s="96"/>
      <c r="K156" s="102"/>
      <c r="L156" s="103"/>
      <c r="M156" s="38"/>
    </row>
    <row r="157" spans="1:14" ht="15.75" thickBot="1" x14ac:dyDescent="0.3">
      <c r="A157" s="70" t="s">
        <v>109</v>
      </c>
      <c r="B157" s="97"/>
      <c r="C157" s="97"/>
      <c r="D157" s="71"/>
      <c r="E157" s="104"/>
      <c r="F157" s="38"/>
      <c r="H157" s="70" t="s">
        <v>109</v>
      </c>
      <c r="I157" s="97"/>
      <c r="J157" s="97"/>
      <c r="K157" s="71"/>
      <c r="L157" s="104"/>
      <c r="M157" s="39"/>
    </row>
    <row r="158" spans="1:14" ht="15.75" thickBot="1" x14ac:dyDescent="0.3">
      <c r="A158" s="64" t="str">
        <f>A125</f>
        <v>Semaine 29</v>
      </c>
      <c r="B158" s="65" t="e">
        <f>'MASQUE COLLABORATEUR'!B158</f>
        <v>#N/A</v>
      </c>
      <c r="C158" s="65" t="s">
        <v>141</v>
      </c>
      <c r="D158" s="66" t="e">
        <f>'MASQUE COLLABORATEUR'!D158</f>
        <v>#N/A</v>
      </c>
      <c r="E158" s="66" t="e">
        <f>'MASQUE COLLABORATEUR'!E158</f>
        <v>#N/A</v>
      </c>
      <c r="F158" s="67" t="s">
        <v>110</v>
      </c>
      <c r="H158" s="77" t="s">
        <v>136</v>
      </c>
      <c r="I158" s="78" t="e">
        <f>'MASQUE COLLABORATEUR'!I158</f>
        <v>#N/A</v>
      </c>
      <c r="J158" s="78" t="s">
        <v>141</v>
      </c>
      <c r="K158" s="79" t="e">
        <f>'MASQUE COLLABORATEUR'!K158</f>
        <v>#N/A</v>
      </c>
      <c r="L158" s="80" t="e">
        <f>'MASQUE COLLABORATEUR'!L158</f>
        <v>#N/A</v>
      </c>
      <c r="M158" s="49"/>
    </row>
    <row r="159" spans="1:14" x14ac:dyDescent="0.25">
      <c r="A159" s="69" t="s">
        <v>103</v>
      </c>
      <c r="B159" s="95"/>
      <c r="C159" s="95"/>
      <c r="D159" s="106"/>
      <c r="E159" s="105"/>
      <c r="F159" s="101"/>
      <c r="H159" s="81" t="s">
        <v>103</v>
      </c>
      <c r="I159" s="82">
        <v>0</v>
      </c>
      <c r="J159" s="82">
        <v>0</v>
      </c>
      <c r="K159" s="83">
        <v>0</v>
      </c>
      <c r="L159" s="84">
        <v>0</v>
      </c>
      <c r="M159" s="187"/>
      <c r="N159" s="188"/>
    </row>
    <row r="160" spans="1:14" x14ac:dyDescent="0.25">
      <c r="A160" s="69" t="s">
        <v>104</v>
      </c>
      <c r="B160" s="96"/>
      <c r="C160" s="96"/>
      <c r="D160" s="102"/>
      <c r="E160" s="103"/>
      <c r="F160" s="38"/>
      <c r="H160" s="81" t="s">
        <v>104</v>
      </c>
      <c r="I160" s="88">
        <v>0</v>
      </c>
      <c r="J160" s="88">
        <v>0</v>
      </c>
      <c r="K160" s="89">
        <v>0</v>
      </c>
      <c r="L160" s="90">
        <v>0</v>
      </c>
      <c r="M160" s="49"/>
    </row>
    <row r="161" spans="1:14" x14ac:dyDescent="0.25">
      <c r="A161" s="69" t="s">
        <v>105</v>
      </c>
      <c r="B161" s="96"/>
      <c r="C161" s="96"/>
      <c r="D161" s="102"/>
      <c r="E161" s="103"/>
      <c r="F161" s="38"/>
      <c r="H161" s="81" t="s">
        <v>105</v>
      </c>
      <c r="I161" s="88">
        <v>0</v>
      </c>
      <c r="J161" s="88">
        <v>0</v>
      </c>
      <c r="K161" s="89">
        <v>0</v>
      </c>
      <c r="L161" s="90">
        <v>0</v>
      </c>
      <c r="M161" s="49"/>
    </row>
    <row r="162" spans="1:14" x14ac:dyDescent="0.25">
      <c r="A162" s="69" t="s">
        <v>106</v>
      </c>
      <c r="B162" s="96"/>
      <c r="C162" s="96"/>
      <c r="D162" s="102"/>
      <c r="E162" s="103"/>
      <c r="F162" s="38"/>
      <c r="H162" s="81" t="s">
        <v>106</v>
      </c>
      <c r="I162" s="88">
        <v>0</v>
      </c>
      <c r="J162" s="88">
        <v>0</v>
      </c>
      <c r="K162" s="89">
        <v>0</v>
      </c>
      <c r="L162" s="90">
        <v>0</v>
      </c>
      <c r="M162" s="49"/>
    </row>
    <row r="163" spans="1:14" x14ac:dyDescent="0.25">
      <c r="A163" s="69" t="s">
        <v>107</v>
      </c>
      <c r="B163" s="96"/>
      <c r="C163" s="96"/>
      <c r="D163" s="102"/>
      <c r="E163" s="103"/>
      <c r="F163" s="38"/>
      <c r="H163" s="81" t="s">
        <v>107</v>
      </c>
      <c r="I163" s="88">
        <v>0</v>
      </c>
      <c r="J163" s="88">
        <v>0</v>
      </c>
      <c r="K163" s="89">
        <v>0</v>
      </c>
      <c r="L163" s="90">
        <v>0</v>
      </c>
      <c r="M163" s="187"/>
      <c r="N163" s="190" t="s">
        <v>447</v>
      </c>
    </row>
    <row r="164" spans="1:14" x14ac:dyDescent="0.25">
      <c r="A164" s="69" t="s">
        <v>108</v>
      </c>
      <c r="B164" s="96"/>
      <c r="C164" s="96"/>
      <c r="D164" s="102"/>
      <c r="E164" s="103"/>
      <c r="F164" s="38"/>
      <c r="H164" s="81" t="s">
        <v>108</v>
      </c>
      <c r="I164" s="88">
        <v>0</v>
      </c>
      <c r="J164" s="88">
        <v>0</v>
      </c>
      <c r="K164" s="89">
        <v>0</v>
      </c>
      <c r="L164" s="90">
        <v>0</v>
      </c>
      <c r="M164" s="49"/>
      <c r="N164" s="189">
        <f ca="1">TODAY()</f>
        <v>46181</v>
      </c>
    </row>
    <row r="165" spans="1:14" ht="15.75" thickBot="1" x14ac:dyDescent="0.3">
      <c r="A165" s="70" t="s">
        <v>109</v>
      </c>
      <c r="B165" s="97"/>
      <c r="C165" s="97"/>
      <c r="D165" s="71"/>
      <c r="E165" s="104"/>
      <c r="F165" s="39"/>
      <c r="H165" s="92" t="s">
        <v>109</v>
      </c>
      <c r="I165" s="93">
        <v>0</v>
      </c>
      <c r="J165" s="93">
        <v>0</v>
      </c>
      <c r="K165" s="71">
        <v>0</v>
      </c>
      <c r="L165" s="94">
        <v>0</v>
      </c>
      <c r="M165" s="49"/>
    </row>
    <row r="166" spans="1:14" ht="15" customHeight="1" x14ac:dyDescent="0.25">
      <c r="D166" s="308" t="s">
        <v>443</v>
      </c>
      <c r="E166" s="308"/>
      <c r="F166" s="308"/>
      <c r="G166" s="308"/>
      <c r="H166" s="308"/>
      <c r="I166" s="308"/>
      <c r="J166" s="308"/>
      <c r="K166" s="308"/>
      <c r="L166" s="42" t="s">
        <v>282</v>
      </c>
      <c r="N166" s="43" t="s">
        <v>442</v>
      </c>
    </row>
    <row r="167" spans="1:14" x14ac:dyDescent="0.25">
      <c r="D167" s="308"/>
      <c r="E167" s="308"/>
      <c r="F167" s="308"/>
      <c r="G167" s="308"/>
      <c r="H167" s="308"/>
      <c r="I167" s="308"/>
      <c r="J167" s="308"/>
      <c r="K167" s="308"/>
      <c r="N167" s="43" t="s">
        <v>446</v>
      </c>
    </row>
    <row r="168" spans="1:14" x14ac:dyDescent="0.25">
      <c r="D168" s="308"/>
      <c r="E168" s="308"/>
      <c r="F168" s="308"/>
      <c r="G168" s="308"/>
      <c r="H168" s="308"/>
      <c r="I168" s="308"/>
      <c r="J168" s="308"/>
      <c r="K168" s="308"/>
      <c r="N168" s="44"/>
    </row>
    <row r="169" spans="1:14" x14ac:dyDescent="0.25">
      <c r="A169" s="45" t="s">
        <v>3</v>
      </c>
      <c r="B169" s="46">
        <f>'MASQUE COLLABORATEUR'!B169</f>
        <v>2026</v>
      </c>
      <c r="C169" s="47"/>
      <c r="D169" s="48" t="s">
        <v>1</v>
      </c>
      <c r="E169" s="46">
        <f>'MASQUE COLLABORATEUR'!E169</f>
        <v>0</v>
      </c>
      <c r="F169" s="49"/>
      <c r="G169" s="49"/>
      <c r="H169" s="48" t="s">
        <v>2</v>
      </c>
      <c r="I169" s="47">
        <f>'MASQUE COLLABORATEUR'!I169</f>
        <v>0</v>
      </c>
      <c r="J169" s="50"/>
      <c r="K169" s="50"/>
      <c r="N169" s="44"/>
    </row>
    <row r="170" spans="1:14" ht="15.75" thickBot="1" x14ac:dyDescent="0.3">
      <c r="A170" s="45" t="s">
        <v>10</v>
      </c>
      <c r="B170" s="49"/>
      <c r="C170" s="49"/>
      <c r="D170" s="50" t="str">
        <f>'MASQUE COLLABORATEUR'!D170</f>
        <v>01 juin 2026 au 31 mai 2027.</v>
      </c>
      <c r="E170" s="2"/>
      <c r="H170" s="48" t="s">
        <v>205</v>
      </c>
      <c r="I170" s="47" t="str">
        <f>'MASQUE COLLABORATEUR'!I170</f>
        <v>Juin</v>
      </c>
      <c r="N170" s="44"/>
    </row>
    <row r="171" spans="1:14" x14ac:dyDescent="0.25">
      <c r="A171" s="192" t="s">
        <v>448</v>
      </c>
      <c r="B171" s="193"/>
      <c r="C171" s="193"/>
      <c r="D171" s="194"/>
      <c r="E171" s="194"/>
      <c r="F171" s="194"/>
      <c r="G171" s="194"/>
      <c r="H171" s="194"/>
      <c r="I171" s="194"/>
      <c r="J171" s="194"/>
      <c r="K171" s="194"/>
      <c r="L171" s="194"/>
      <c r="M171" s="194"/>
      <c r="N171" s="195"/>
    </row>
    <row r="172" spans="1:14" ht="15.75" thickBot="1" x14ac:dyDescent="0.3">
      <c r="A172" s="196"/>
      <c r="B172" s="197"/>
      <c r="C172" s="197"/>
      <c r="D172" s="197"/>
      <c r="E172" s="197"/>
      <c r="F172" s="197"/>
      <c r="G172" s="197"/>
      <c r="H172" s="197"/>
      <c r="I172" s="198"/>
      <c r="J172" s="198"/>
      <c r="K172" s="198"/>
      <c r="L172" s="198"/>
      <c r="M172" s="198"/>
      <c r="N172" s="199"/>
    </row>
    <row r="173" spans="1:14" x14ac:dyDescent="0.25">
      <c r="A173" s="49" t="s">
        <v>18</v>
      </c>
      <c r="B173" s="113">
        <f>'MASQUE COLLABORATEUR'!B173</f>
        <v>0</v>
      </c>
      <c r="E173" s="49"/>
      <c r="G173" s="57" t="s">
        <v>317</v>
      </c>
      <c r="H173" s="58" t="e">
        <f>'MASQUE COLLABORATEUR'!H173</f>
        <v>#N/A</v>
      </c>
      <c r="J173" s="10" t="s">
        <v>161</v>
      </c>
      <c r="K173" s="58" t="e">
        <f>'MASQUE COLLABORATEUR'!K173</f>
        <v>#N/A</v>
      </c>
      <c r="L173" s="114" t="s">
        <v>340</v>
      </c>
      <c r="M173" s="115" t="e">
        <f>'MASQUE COLLABORATEUR'!M173</f>
        <v>#N/A</v>
      </c>
    </row>
    <row r="174" spans="1:14" ht="15.75" thickBot="1" x14ac:dyDescent="0.3">
      <c r="A174" s="49" t="s">
        <v>59</v>
      </c>
      <c r="B174" s="2" t="e">
        <f>'MASQUE COLLABORATEUR'!B174</f>
        <v>#N/A</v>
      </c>
      <c r="C174" s="2"/>
      <c r="D174" s="2"/>
      <c r="G174" s="57" t="s">
        <v>158</v>
      </c>
      <c r="H174" s="58" t="e">
        <f>'MASQUE COLLABORATEUR'!H174</f>
        <v>#N/A</v>
      </c>
    </row>
    <row r="175" spans="1:14" ht="15.75" thickBot="1" x14ac:dyDescent="0.3">
      <c r="A175" s="64" t="str">
        <f>A142</f>
        <v>Semaine 25</v>
      </c>
      <c r="B175" s="65" t="e">
        <f>'MASQUE COLLABORATEUR'!B175</f>
        <v>#N/A</v>
      </c>
      <c r="C175" s="65" t="s">
        <v>141</v>
      </c>
      <c r="D175" s="66" t="e">
        <f>'MASQUE COLLABORATEUR'!D175</f>
        <v>#N/A</v>
      </c>
      <c r="E175" s="66" t="e">
        <f>'MASQUE COLLABORATEUR'!E175</f>
        <v>#N/A</v>
      </c>
      <c r="F175" s="67" t="s">
        <v>110</v>
      </c>
      <c r="H175" s="64" t="str">
        <f>H142</f>
        <v>Semaine 26</v>
      </c>
      <c r="I175" s="65" t="e">
        <f>'MASQUE COLLABORATEUR'!I175</f>
        <v>#N/A</v>
      </c>
      <c r="J175" s="65" t="s">
        <v>141</v>
      </c>
      <c r="K175" s="66" t="e">
        <f>'MASQUE COLLABORATEUR'!K175</f>
        <v>#N/A</v>
      </c>
      <c r="L175" s="66" t="e">
        <f>'MASQUE COLLABORATEUR'!L175</f>
        <v>#N/A</v>
      </c>
      <c r="M175" s="67" t="s">
        <v>110</v>
      </c>
    </row>
    <row r="176" spans="1:14" x14ac:dyDescent="0.25">
      <c r="A176" s="68" t="s">
        <v>103</v>
      </c>
      <c r="B176" s="98"/>
      <c r="C176" s="98"/>
      <c r="D176" s="99"/>
      <c r="E176" s="100"/>
      <c r="F176" s="101"/>
      <c r="H176" s="69" t="s">
        <v>103</v>
      </c>
      <c r="I176" s="95"/>
      <c r="J176" s="95"/>
      <c r="K176" s="106"/>
      <c r="L176" s="105"/>
      <c r="M176" s="101"/>
    </row>
    <row r="177" spans="1:14" x14ac:dyDescent="0.25">
      <c r="A177" s="69" t="s">
        <v>104</v>
      </c>
      <c r="B177" s="96"/>
      <c r="C177" s="96"/>
      <c r="D177" s="102"/>
      <c r="E177" s="103"/>
      <c r="F177" s="38"/>
      <c r="H177" s="69" t="s">
        <v>104</v>
      </c>
      <c r="I177" s="96"/>
      <c r="J177" s="96"/>
      <c r="K177" s="102"/>
      <c r="L177" s="103"/>
      <c r="M177" s="38"/>
    </row>
    <row r="178" spans="1:14" x14ac:dyDescent="0.25">
      <c r="A178" s="69" t="s">
        <v>105</v>
      </c>
      <c r="B178" s="96"/>
      <c r="C178" s="96"/>
      <c r="D178" s="102"/>
      <c r="E178" s="103"/>
      <c r="F178" s="38"/>
      <c r="H178" s="69" t="s">
        <v>105</v>
      </c>
      <c r="I178" s="96"/>
      <c r="J178" s="96"/>
      <c r="K178" s="102"/>
      <c r="L178" s="103"/>
      <c r="M178" s="38"/>
    </row>
    <row r="179" spans="1:14" x14ac:dyDescent="0.25">
      <c r="A179" s="69" t="s">
        <v>106</v>
      </c>
      <c r="B179" s="96"/>
      <c r="C179" s="96"/>
      <c r="D179" s="102"/>
      <c r="E179" s="103"/>
      <c r="F179" s="38"/>
      <c r="H179" s="69" t="s">
        <v>106</v>
      </c>
      <c r="I179" s="96"/>
      <c r="J179" s="96"/>
      <c r="K179" s="102"/>
      <c r="L179" s="103"/>
      <c r="M179" s="38"/>
    </row>
    <row r="180" spans="1:14" x14ac:dyDescent="0.25">
      <c r="A180" s="69" t="s">
        <v>107</v>
      </c>
      <c r="B180" s="96"/>
      <c r="C180" s="96"/>
      <c r="D180" s="102"/>
      <c r="E180" s="103"/>
      <c r="F180" s="38"/>
      <c r="H180" s="69" t="s">
        <v>107</v>
      </c>
      <c r="I180" s="96"/>
      <c r="J180" s="96"/>
      <c r="K180" s="102"/>
      <c r="L180" s="103"/>
      <c r="M180" s="38"/>
    </row>
    <row r="181" spans="1:14" x14ac:dyDescent="0.25">
      <c r="A181" s="69" t="s">
        <v>108</v>
      </c>
      <c r="B181" s="96"/>
      <c r="C181" s="96"/>
      <c r="D181" s="102"/>
      <c r="E181" s="103"/>
      <c r="F181" s="38"/>
      <c r="H181" s="69" t="s">
        <v>108</v>
      </c>
      <c r="I181" s="96"/>
      <c r="J181" s="96"/>
      <c r="K181" s="102"/>
      <c r="L181" s="103"/>
      <c r="M181" s="38"/>
    </row>
    <row r="182" spans="1:14" ht="15.75" thickBot="1" x14ac:dyDescent="0.3">
      <c r="A182" s="70" t="s">
        <v>109</v>
      </c>
      <c r="B182" s="97"/>
      <c r="C182" s="97"/>
      <c r="D182" s="71"/>
      <c r="E182" s="104"/>
      <c r="F182" s="38"/>
      <c r="H182" s="70" t="s">
        <v>109</v>
      </c>
      <c r="I182" s="97"/>
      <c r="J182" s="97"/>
      <c r="K182" s="71"/>
      <c r="L182" s="104"/>
      <c r="M182" s="38"/>
    </row>
    <row r="183" spans="1:14" ht="15.75" thickBot="1" x14ac:dyDescent="0.3">
      <c r="A183" s="64" t="str">
        <f>A150</f>
        <v>Semaine 27</v>
      </c>
      <c r="B183" s="65" t="e">
        <f>'MASQUE COLLABORATEUR'!B183</f>
        <v>#N/A</v>
      </c>
      <c r="C183" s="65" t="s">
        <v>141</v>
      </c>
      <c r="D183" s="66" t="e">
        <f>'MASQUE COLLABORATEUR'!D183</f>
        <v>#N/A</v>
      </c>
      <c r="E183" s="66" t="e">
        <f>'MASQUE COLLABORATEUR'!E183</f>
        <v>#N/A</v>
      </c>
      <c r="F183" s="67" t="s">
        <v>110</v>
      </c>
      <c r="H183" s="64" t="str">
        <f>H150</f>
        <v>Semaine 28</v>
      </c>
      <c r="I183" s="65" t="e">
        <f>'MASQUE COLLABORATEUR'!I183</f>
        <v>#N/A</v>
      </c>
      <c r="J183" s="65" t="s">
        <v>141</v>
      </c>
      <c r="K183" s="66" t="e">
        <f>'MASQUE COLLABORATEUR'!K183</f>
        <v>#N/A</v>
      </c>
      <c r="L183" s="66" t="e">
        <f>'MASQUE COLLABORATEUR'!L183</f>
        <v>#N/A</v>
      </c>
      <c r="M183" s="67" t="s">
        <v>110</v>
      </c>
    </row>
    <row r="184" spans="1:14" x14ac:dyDescent="0.25">
      <c r="A184" s="69" t="s">
        <v>103</v>
      </c>
      <c r="B184" s="95"/>
      <c r="C184" s="95"/>
      <c r="D184" s="106"/>
      <c r="E184" s="105"/>
      <c r="F184" s="101"/>
      <c r="H184" s="69" t="s">
        <v>103</v>
      </c>
      <c r="I184" s="95"/>
      <c r="J184" s="95"/>
      <c r="K184" s="106"/>
      <c r="L184" s="105"/>
      <c r="M184" s="101"/>
    </row>
    <row r="185" spans="1:14" x14ac:dyDescent="0.25">
      <c r="A185" s="69" t="s">
        <v>104</v>
      </c>
      <c r="B185" s="96"/>
      <c r="C185" s="96"/>
      <c r="D185" s="102"/>
      <c r="E185" s="103"/>
      <c r="F185" s="38"/>
      <c r="H185" s="69" t="s">
        <v>104</v>
      </c>
      <c r="I185" s="96"/>
      <c r="J185" s="96"/>
      <c r="K185" s="102"/>
      <c r="L185" s="103"/>
      <c r="M185" s="38"/>
    </row>
    <row r="186" spans="1:14" x14ac:dyDescent="0.25">
      <c r="A186" s="69" t="s">
        <v>105</v>
      </c>
      <c r="B186" s="96"/>
      <c r="C186" s="96"/>
      <c r="D186" s="102"/>
      <c r="E186" s="103"/>
      <c r="F186" s="38"/>
      <c r="H186" s="69" t="s">
        <v>105</v>
      </c>
      <c r="I186" s="96"/>
      <c r="J186" s="96"/>
      <c r="K186" s="102"/>
      <c r="L186" s="103"/>
      <c r="M186" s="38"/>
    </row>
    <row r="187" spans="1:14" x14ac:dyDescent="0.25">
      <c r="A187" s="69" t="s">
        <v>106</v>
      </c>
      <c r="B187" s="96"/>
      <c r="C187" s="96"/>
      <c r="D187" s="102"/>
      <c r="E187" s="103"/>
      <c r="F187" s="38"/>
      <c r="H187" s="69" t="s">
        <v>106</v>
      </c>
      <c r="I187" s="96"/>
      <c r="J187" s="96"/>
      <c r="K187" s="102"/>
      <c r="L187" s="103"/>
      <c r="M187" s="38"/>
    </row>
    <row r="188" spans="1:14" x14ac:dyDescent="0.25">
      <c r="A188" s="69" t="s">
        <v>107</v>
      </c>
      <c r="B188" s="96"/>
      <c r="C188" s="96"/>
      <c r="D188" s="102"/>
      <c r="E188" s="103"/>
      <c r="F188" s="38"/>
      <c r="H188" s="69" t="s">
        <v>107</v>
      </c>
      <c r="I188" s="96"/>
      <c r="J188" s="96"/>
      <c r="K188" s="102"/>
      <c r="L188" s="103"/>
      <c r="M188" s="38"/>
    </row>
    <row r="189" spans="1:14" x14ac:dyDescent="0.25">
      <c r="A189" s="69" t="s">
        <v>108</v>
      </c>
      <c r="B189" s="96"/>
      <c r="C189" s="96"/>
      <c r="D189" s="102"/>
      <c r="E189" s="103"/>
      <c r="F189" s="38"/>
      <c r="H189" s="69" t="s">
        <v>108</v>
      </c>
      <c r="I189" s="96"/>
      <c r="J189" s="96"/>
      <c r="K189" s="102"/>
      <c r="L189" s="103"/>
      <c r="M189" s="38"/>
    </row>
    <row r="190" spans="1:14" ht="15.75" thickBot="1" x14ac:dyDescent="0.3">
      <c r="A190" s="70" t="s">
        <v>109</v>
      </c>
      <c r="B190" s="97"/>
      <c r="C190" s="97"/>
      <c r="D190" s="71"/>
      <c r="E190" s="104"/>
      <c r="F190" s="38"/>
      <c r="H190" s="70" t="s">
        <v>109</v>
      </c>
      <c r="I190" s="97"/>
      <c r="J190" s="97"/>
      <c r="K190" s="71"/>
      <c r="L190" s="104"/>
      <c r="M190" s="39"/>
    </row>
    <row r="191" spans="1:14" ht="15.75" thickBot="1" x14ac:dyDescent="0.3">
      <c r="A191" s="64" t="str">
        <f>A158</f>
        <v>Semaine 29</v>
      </c>
      <c r="B191" s="65" t="e">
        <f>'MASQUE COLLABORATEUR'!B191</f>
        <v>#N/A</v>
      </c>
      <c r="C191" s="65" t="s">
        <v>141</v>
      </c>
      <c r="D191" s="66" t="e">
        <f>'MASQUE COLLABORATEUR'!D191</f>
        <v>#N/A</v>
      </c>
      <c r="E191" s="66" t="e">
        <f>'MASQUE COLLABORATEUR'!E191</f>
        <v>#N/A</v>
      </c>
      <c r="F191" s="67" t="s">
        <v>110</v>
      </c>
      <c r="H191" s="77" t="s">
        <v>136</v>
      </c>
      <c r="I191" s="78" t="e">
        <f>'MASQUE COLLABORATEUR'!I191</f>
        <v>#N/A</v>
      </c>
      <c r="J191" s="78" t="s">
        <v>141</v>
      </c>
      <c r="K191" s="79" t="e">
        <f>'MASQUE COLLABORATEUR'!K191</f>
        <v>#N/A</v>
      </c>
      <c r="L191" s="80" t="e">
        <f>'MASQUE COLLABORATEUR'!L191</f>
        <v>#N/A</v>
      </c>
      <c r="M191" s="49"/>
    </row>
    <row r="192" spans="1:14" x14ac:dyDescent="0.25">
      <c r="A192" s="69" t="s">
        <v>103</v>
      </c>
      <c r="B192" s="95"/>
      <c r="C192" s="95"/>
      <c r="D192" s="106"/>
      <c r="E192" s="105"/>
      <c r="F192" s="101"/>
      <c r="H192" s="81" t="s">
        <v>103</v>
      </c>
      <c r="I192" s="82">
        <v>0</v>
      </c>
      <c r="J192" s="82">
        <v>0</v>
      </c>
      <c r="K192" s="83">
        <v>0</v>
      </c>
      <c r="L192" s="84">
        <v>0</v>
      </c>
      <c r="M192" s="187"/>
      <c r="N192" s="188"/>
    </row>
    <row r="193" spans="1:14" x14ac:dyDescent="0.25">
      <c r="A193" s="69" t="s">
        <v>104</v>
      </c>
      <c r="B193" s="96"/>
      <c r="C193" s="96"/>
      <c r="D193" s="102"/>
      <c r="E193" s="103"/>
      <c r="F193" s="38"/>
      <c r="H193" s="81" t="s">
        <v>104</v>
      </c>
      <c r="I193" s="88">
        <v>0</v>
      </c>
      <c r="J193" s="88">
        <v>0</v>
      </c>
      <c r="K193" s="89">
        <v>0</v>
      </c>
      <c r="L193" s="90">
        <v>0</v>
      </c>
      <c r="M193" s="49"/>
    </row>
    <row r="194" spans="1:14" x14ac:dyDescent="0.25">
      <c r="A194" s="69" t="s">
        <v>105</v>
      </c>
      <c r="B194" s="96"/>
      <c r="C194" s="96"/>
      <c r="D194" s="102"/>
      <c r="E194" s="103"/>
      <c r="F194" s="38"/>
      <c r="H194" s="81" t="s">
        <v>105</v>
      </c>
      <c r="I194" s="88">
        <v>0</v>
      </c>
      <c r="J194" s="88">
        <v>0</v>
      </c>
      <c r="K194" s="89">
        <v>0</v>
      </c>
      <c r="L194" s="90">
        <v>0</v>
      </c>
      <c r="M194" s="49"/>
    </row>
    <row r="195" spans="1:14" x14ac:dyDescent="0.25">
      <c r="A195" s="69" t="s">
        <v>106</v>
      </c>
      <c r="B195" s="96"/>
      <c r="C195" s="96"/>
      <c r="D195" s="102"/>
      <c r="E195" s="103"/>
      <c r="F195" s="38"/>
      <c r="H195" s="81" t="s">
        <v>106</v>
      </c>
      <c r="I195" s="88">
        <v>0</v>
      </c>
      <c r="J195" s="88">
        <v>0</v>
      </c>
      <c r="K195" s="89">
        <v>0</v>
      </c>
      <c r="L195" s="90">
        <v>0</v>
      </c>
      <c r="M195" s="49"/>
    </row>
    <row r="196" spans="1:14" x14ac:dyDescent="0.25">
      <c r="A196" s="69" t="s">
        <v>107</v>
      </c>
      <c r="B196" s="96"/>
      <c r="C196" s="96"/>
      <c r="D196" s="102"/>
      <c r="E196" s="103"/>
      <c r="F196" s="38"/>
      <c r="H196" s="81" t="s">
        <v>107</v>
      </c>
      <c r="I196" s="88">
        <v>0</v>
      </c>
      <c r="J196" s="88">
        <v>0</v>
      </c>
      <c r="K196" s="89">
        <v>0</v>
      </c>
      <c r="L196" s="90">
        <v>0</v>
      </c>
      <c r="M196" s="187"/>
      <c r="N196" s="190" t="s">
        <v>447</v>
      </c>
    </row>
    <row r="197" spans="1:14" x14ac:dyDescent="0.25">
      <c r="A197" s="69" t="s">
        <v>108</v>
      </c>
      <c r="B197" s="96"/>
      <c r="C197" s="96"/>
      <c r="D197" s="102"/>
      <c r="E197" s="103"/>
      <c r="F197" s="38"/>
      <c r="H197" s="81" t="s">
        <v>108</v>
      </c>
      <c r="I197" s="88">
        <v>0</v>
      </c>
      <c r="J197" s="88">
        <v>0</v>
      </c>
      <c r="K197" s="89">
        <v>0</v>
      </c>
      <c r="L197" s="90">
        <v>0</v>
      </c>
      <c r="M197" s="49"/>
      <c r="N197" s="189">
        <f ca="1">TODAY()</f>
        <v>46181</v>
      </c>
    </row>
    <row r="198" spans="1:14" ht="15.75" thickBot="1" x14ac:dyDescent="0.3">
      <c r="A198" s="70" t="s">
        <v>109</v>
      </c>
      <c r="B198" s="97"/>
      <c r="C198" s="97"/>
      <c r="D198" s="71"/>
      <c r="E198" s="104"/>
      <c r="F198" s="39"/>
      <c r="H198" s="92" t="s">
        <v>109</v>
      </c>
      <c r="I198" s="93">
        <v>0</v>
      </c>
      <c r="J198" s="93">
        <v>0</v>
      </c>
      <c r="K198" s="71">
        <v>0</v>
      </c>
      <c r="L198" s="94">
        <v>0</v>
      </c>
      <c r="M198" s="49"/>
    </row>
    <row r="199" spans="1:14" ht="15" customHeight="1" x14ac:dyDescent="0.25">
      <c r="D199" s="308" t="s">
        <v>443</v>
      </c>
      <c r="E199" s="308"/>
      <c r="F199" s="308"/>
      <c r="G199" s="308"/>
      <c r="H199" s="308"/>
      <c r="I199" s="308"/>
      <c r="J199" s="308"/>
      <c r="K199" s="308"/>
      <c r="L199" s="42" t="s">
        <v>283</v>
      </c>
      <c r="N199" s="43" t="s">
        <v>442</v>
      </c>
    </row>
    <row r="200" spans="1:14" x14ac:dyDescent="0.25">
      <c r="D200" s="308"/>
      <c r="E200" s="308"/>
      <c r="F200" s="308"/>
      <c r="G200" s="308"/>
      <c r="H200" s="308"/>
      <c r="I200" s="308"/>
      <c r="J200" s="308"/>
      <c r="K200" s="308"/>
      <c r="N200" s="43" t="s">
        <v>446</v>
      </c>
    </row>
    <row r="201" spans="1:14" x14ac:dyDescent="0.25">
      <c r="D201" s="308"/>
      <c r="E201" s="308"/>
      <c r="F201" s="308"/>
      <c r="G201" s="308"/>
      <c r="H201" s="308"/>
      <c r="I201" s="308"/>
      <c r="J201" s="308"/>
      <c r="K201" s="308"/>
      <c r="N201" s="44"/>
    </row>
    <row r="202" spans="1:14" x14ac:dyDescent="0.25">
      <c r="A202" s="45" t="s">
        <v>3</v>
      </c>
      <c r="B202" s="46">
        <f>'MASQUE COLLABORATEUR'!B202</f>
        <v>2026</v>
      </c>
      <c r="C202" s="47"/>
      <c r="D202" s="48" t="s">
        <v>1</v>
      </c>
      <c r="E202" s="46">
        <f>'MASQUE COLLABORATEUR'!E202</f>
        <v>0</v>
      </c>
      <c r="F202" s="49"/>
      <c r="G202" s="49"/>
      <c r="H202" s="48" t="s">
        <v>2</v>
      </c>
      <c r="I202" s="47">
        <f>'MASQUE COLLABORATEUR'!I202</f>
        <v>0</v>
      </c>
      <c r="J202" s="50"/>
      <c r="K202" s="50"/>
      <c r="N202" s="44"/>
    </row>
    <row r="203" spans="1:14" ht="15.75" thickBot="1" x14ac:dyDescent="0.3">
      <c r="A203" s="45" t="s">
        <v>10</v>
      </c>
      <c r="B203" s="49"/>
      <c r="C203" s="49"/>
      <c r="D203" s="50" t="str">
        <f>'MASQUE COLLABORATEUR'!D203</f>
        <v>01 juin 2026 au 31 mai 2027.</v>
      </c>
      <c r="E203" s="2"/>
      <c r="H203" s="48" t="s">
        <v>205</v>
      </c>
      <c r="I203" s="47" t="str">
        <f>'MASQUE COLLABORATEUR'!I203</f>
        <v>Juin</v>
      </c>
      <c r="N203" s="44"/>
    </row>
    <row r="204" spans="1:14" x14ac:dyDescent="0.25">
      <c r="A204" s="192" t="s">
        <v>448</v>
      </c>
      <c r="B204" s="193"/>
      <c r="C204" s="193"/>
      <c r="D204" s="194"/>
      <c r="E204" s="194"/>
      <c r="F204" s="194"/>
      <c r="G204" s="194"/>
      <c r="H204" s="194"/>
      <c r="I204" s="194"/>
      <c r="J204" s="194"/>
      <c r="K204" s="194"/>
      <c r="L204" s="194"/>
      <c r="M204" s="194"/>
      <c r="N204" s="195"/>
    </row>
    <row r="205" spans="1:14" ht="15.75" thickBot="1" x14ac:dyDescent="0.3">
      <c r="A205" s="196"/>
      <c r="B205" s="197"/>
      <c r="C205" s="197"/>
      <c r="D205" s="197"/>
      <c r="E205" s="197"/>
      <c r="F205" s="197"/>
      <c r="G205" s="197"/>
      <c r="H205" s="197"/>
      <c r="I205" s="198"/>
      <c r="J205" s="198"/>
      <c r="K205" s="198"/>
      <c r="L205" s="198"/>
      <c r="M205" s="198"/>
      <c r="N205" s="199"/>
    </row>
    <row r="206" spans="1:14" x14ac:dyDescent="0.25">
      <c r="A206" s="49" t="s">
        <v>18</v>
      </c>
      <c r="B206" s="113">
        <f>'MASQUE COLLABORATEUR'!B206</f>
        <v>0</v>
      </c>
      <c r="E206" s="49"/>
      <c r="G206" s="57" t="s">
        <v>317</v>
      </c>
      <c r="H206" s="58" t="e">
        <f>'MASQUE COLLABORATEUR'!H206</f>
        <v>#N/A</v>
      </c>
      <c r="J206" s="10" t="s">
        <v>161</v>
      </c>
      <c r="K206" s="58" t="e">
        <f>'MASQUE COLLABORATEUR'!K206</f>
        <v>#N/A</v>
      </c>
      <c r="L206" s="114" t="s">
        <v>340</v>
      </c>
      <c r="M206" s="115" t="e">
        <f>'MASQUE COLLABORATEUR'!M206</f>
        <v>#N/A</v>
      </c>
    </row>
    <row r="207" spans="1:14" ht="15.75" thickBot="1" x14ac:dyDescent="0.3">
      <c r="A207" s="49" t="s">
        <v>59</v>
      </c>
      <c r="B207" s="2" t="e">
        <f>'MASQUE COLLABORATEUR'!B207</f>
        <v>#N/A</v>
      </c>
      <c r="C207" s="2"/>
      <c r="D207" s="2"/>
      <c r="G207" s="57" t="s">
        <v>158</v>
      </c>
      <c r="H207" s="58" t="e">
        <f>'MASQUE COLLABORATEUR'!H207</f>
        <v>#N/A</v>
      </c>
    </row>
    <row r="208" spans="1:14" ht="15.75" thickBot="1" x14ac:dyDescent="0.3">
      <c r="A208" s="64" t="str">
        <f>A175</f>
        <v>Semaine 25</v>
      </c>
      <c r="B208" s="65" t="e">
        <f>'MASQUE COLLABORATEUR'!B208</f>
        <v>#N/A</v>
      </c>
      <c r="C208" s="65" t="s">
        <v>141</v>
      </c>
      <c r="D208" s="66" t="e">
        <f>'MASQUE COLLABORATEUR'!D208</f>
        <v>#N/A</v>
      </c>
      <c r="E208" s="66" t="e">
        <f>'MASQUE COLLABORATEUR'!E208</f>
        <v>#N/A</v>
      </c>
      <c r="F208" s="67" t="s">
        <v>110</v>
      </c>
      <c r="H208" s="64" t="str">
        <f>H175</f>
        <v>Semaine 26</v>
      </c>
      <c r="I208" s="65" t="e">
        <f>'MASQUE COLLABORATEUR'!I208</f>
        <v>#N/A</v>
      </c>
      <c r="J208" s="65" t="s">
        <v>141</v>
      </c>
      <c r="K208" s="66" t="e">
        <f>'MASQUE COLLABORATEUR'!K208</f>
        <v>#N/A</v>
      </c>
      <c r="L208" s="66" t="e">
        <f>'MASQUE COLLABORATEUR'!L208</f>
        <v>#N/A</v>
      </c>
      <c r="M208" s="67" t="s">
        <v>110</v>
      </c>
    </row>
    <row r="209" spans="1:13" x14ac:dyDescent="0.25">
      <c r="A209" s="68" t="s">
        <v>103</v>
      </c>
      <c r="B209" s="98"/>
      <c r="C209" s="98"/>
      <c r="D209" s="99"/>
      <c r="E209" s="100"/>
      <c r="F209" s="101"/>
      <c r="H209" s="69" t="s">
        <v>103</v>
      </c>
      <c r="I209" s="95"/>
      <c r="J209" s="95"/>
      <c r="K209" s="106"/>
      <c r="L209" s="105"/>
      <c r="M209" s="101"/>
    </row>
    <row r="210" spans="1:13" x14ac:dyDescent="0.25">
      <c r="A210" s="69" t="s">
        <v>104</v>
      </c>
      <c r="B210" s="96"/>
      <c r="C210" s="96"/>
      <c r="D210" s="102"/>
      <c r="E210" s="103"/>
      <c r="F210" s="38"/>
      <c r="H210" s="69" t="s">
        <v>104</v>
      </c>
      <c r="I210" s="96"/>
      <c r="J210" s="96"/>
      <c r="K210" s="102"/>
      <c r="L210" s="103"/>
      <c r="M210" s="38"/>
    </row>
    <row r="211" spans="1:13" x14ac:dyDescent="0.25">
      <c r="A211" s="69" t="s">
        <v>105</v>
      </c>
      <c r="B211" s="96"/>
      <c r="C211" s="96"/>
      <c r="D211" s="102"/>
      <c r="E211" s="103"/>
      <c r="F211" s="38"/>
      <c r="H211" s="69" t="s">
        <v>105</v>
      </c>
      <c r="I211" s="96"/>
      <c r="J211" s="96"/>
      <c r="K211" s="102"/>
      <c r="L211" s="103"/>
      <c r="M211" s="38"/>
    </row>
    <row r="212" spans="1:13" x14ac:dyDescent="0.25">
      <c r="A212" s="69" t="s">
        <v>106</v>
      </c>
      <c r="B212" s="96"/>
      <c r="C212" s="96"/>
      <c r="D212" s="102"/>
      <c r="E212" s="103"/>
      <c r="F212" s="38"/>
      <c r="H212" s="69" t="s">
        <v>106</v>
      </c>
      <c r="I212" s="96"/>
      <c r="J212" s="96"/>
      <c r="K212" s="102"/>
      <c r="L212" s="103"/>
      <c r="M212" s="38"/>
    </row>
    <row r="213" spans="1:13" x14ac:dyDescent="0.25">
      <c r="A213" s="69" t="s">
        <v>107</v>
      </c>
      <c r="B213" s="96"/>
      <c r="C213" s="96"/>
      <c r="D213" s="102"/>
      <c r="E213" s="103"/>
      <c r="F213" s="38"/>
      <c r="H213" s="69" t="s">
        <v>107</v>
      </c>
      <c r="I213" s="96"/>
      <c r="J213" s="96"/>
      <c r="K213" s="102"/>
      <c r="L213" s="103"/>
      <c r="M213" s="38"/>
    </row>
    <row r="214" spans="1:13" x14ac:dyDescent="0.25">
      <c r="A214" s="69" t="s">
        <v>108</v>
      </c>
      <c r="B214" s="96"/>
      <c r="C214" s="96"/>
      <c r="D214" s="102"/>
      <c r="E214" s="103"/>
      <c r="F214" s="38"/>
      <c r="H214" s="69" t="s">
        <v>108</v>
      </c>
      <c r="I214" s="96"/>
      <c r="J214" s="96"/>
      <c r="K214" s="102"/>
      <c r="L214" s="103"/>
      <c r="M214" s="38"/>
    </row>
    <row r="215" spans="1:13" ht="15.75" thickBot="1" x14ac:dyDescent="0.3">
      <c r="A215" s="70" t="s">
        <v>109</v>
      </c>
      <c r="B215" s="97"/>
      <c r="C215" s="97"/>
      <c r="D215" s="71"/>
      <c r="E215" s="104"/>
      <c r="F215" s="38"/>
      <c r="H215" s="70" t="s">
        <v>109</v>
      </c>
      <c r="I215" s="97"/>
      <c r="J215" s="97"/>
      <c r="K215" s="71"/>
      <c r="L215" s="104"/>
      <c r="M215" s="38"/>
    </row>
    <row r="216" spans="1:13" ht="15.75" thickBot="1" x14ac:dyDescent="0.3">
      <c r="A216" s="64" t="str">
        <f>A183</f>
        <v>Semaine 27</v>
      </c>
      <c r="B216" s="65" t="e">
        <f>'MASQUE COLLABORATEUR'!B216</f>
        <v>#N/A</v>
      </c>
      <c r="C216" s="65" t="s">
        <v>141</v>
      </c>
      <c r="D216" s="66" t="e">
        <f>'MASQUE COLLABORATEUR'!D216</f>
        <v>#N/A</v>
      </c>
      <c r="E216" s="66" t="e">
        <f>'MASQUE COLLABORATEUR'!E216</f>
        <v>#N/A</v>
      </c>
      <c r="F216" s="67" t="s">
        <v>110</v>
      </c>
      <c r="H216" s="64" t="str">
        <f>H183</f>
        <v>Semaine 28</v>
      </c>
      <c r="I216" s="65" t="e">
        <f>'MASQUE COLLABORATEUR'!I216</f>
        <v>#N/A</v>
      </c>
      <c r="J216" s="65" t="s">
        <v>141</v>
      </c>
      <c r="K216" s="66" t="e">
        <f>'MASQUE COLLABORATEUR'!K216</f>
        <v>#N/A</v>
      </c>
      <c r="L216" s="66" t="e">
        <f>'MASQUE COLLABORATEUR'!L216</f>
        <v>#N/A</v>
      </c>
      <c r="M216" s="67" t="s">
        <v>110</v>
      </c>
    </row>
    <row r="217" spans="1:13" x14ac:dyDescent="0.25">
      <c r="A217" s="69" t="s">
        <v>103</v>
      </c>
      <c r="B217" s="95"/>
      <c r="C217" s="95"/>
      <c r="D217" s="106"/>
      <c r="E217" s="105"/>
      <c r="F217" s="101"/>
      <c r="H217" s="69" t="s">
        <v>103</v>
      </c>
      <c r="I217" s="95"/>
      <c r="J217" s="95"/>
      <c r="K217" s="106"/>
      <c r="L217" s="105"/>
      <c r="M217" s="101"/>
    </row>
    <row r="218" spans="1:13" x14ac:dyDescent="0.25">
      <c r="A218" s="69" t="s">
        <v>104</v>
      </c>
      <c r="B218" s="96"/>
      <c r="C218" s="96"/>
      <c r="D218" s="102"/>
      <c r="E218" s="103"/>
      <c r="F218" s="38"/>
      <c r="H218" s="69" t="s">
        <v>104</v>
      </c>
      <c r="I218" s="96"/>
      <c r="J218" s="96"/>
      <c r="K218" s="102"/>
      <c r="L218" s="103"/>
      <c r="M218" s="38"/>
    </row>
    <row r="219" spans="1:13" x14ac:dyDescent="0.25">
      <c r="A219" s="69" t="s">
        <v>105</v>
      </c>
      <c r="B219" s="96"/>
      <c r="C219" s="96"/>
      <c r="D219" s="102"/>
      <c r="E219" s="103"/>
      <c r="F219" s="38"/>
      <c r="H219" s="69" t="s">
        <v>105</v>
      </c>
      <c r="I219" s="96"/>
      <c r="J219" s="96"/>
      <c r="K219" s="102"/>
      <c r="L219" s="103"/>
      <c r="M219" s="38"/>
    </row>
    <row r="220" spans="1:13" x14ac:dyDescent="0.25">
      <c r="A220" s="69" t="s">
        <v>106</v>
      </c>
      <c r="B220" s="96"/>
      <c r="C220" s="96"/>
      <c r="D220" s="102"/>
      <c r="E220" s="103"/>
      <c r="F220" s="38"/>
      <c r="H220" s="69" t="s">
        <v>106</v>
      </c>
      <c r="I220" s="96"/>
      <c r="J220" s="96"/>
      <c r="K220" s="102"/>
      <c r="L220" s="103"/>
      <c r="M220" s="38"/>
    </row>
    <row r="221" spans="1:13" x14ac:dyDescent="0.25">
      <c r="A221" s="69" t="s">
        <v>107</v>
      </c>
      <c r="B221" s="96"/>
      <c r="C221" s="96"/>
      <c r="D221" s="102"/>
      <c r="E221" s="103"/>
      <c r="F221" s="38"/>
      <c r="H221" s="69" t="s">
        <v>107</v>
      </c>
      <c r="I221" s="96"/>
      <c r="J221" s="96"/>
      <c r="K221" s="102"/>
      <c r="L221" s="103"/>
      <c r="M221" s="38"/>
    </row>
    <row r="222" spans="1:13" x14ac:dyDescent="0.25">
      <c r="A222" s="69" t="s">
        <v>108</v>
      </c>
      <c r="B222" s="96"/>
      <c r="C222" s="96"/>
      <c r="D222" s="102"/>
      <c r="E222" s="103"/>
      <c r="F222" s="38"/>
      <c r="H222" s="69" t="s">
        <v>108</v>
      </c>
      <c r="I222" s="96"/>
      <c r="J222" s="96"/>
      <c r="K222" s="102"/>
      <c r="L222" s="103"/>
      <c r="M222" s="38"/>
    </row>
    <row r="223" spans="1:13" ht="15.75" thickBot="1" x14ac:dyDescent="0.3">
      <c r="A223" s="70" t="s">
        <v>109</v>
      </c>
      <c r="B223" s="97"/>
      <c r="C223" s="97"/>
      <c r="D223" s="71"/>
      <c r="E223" s="104"/>
      <c r="F223" s="38"/>
      <c r="H223" s="70" t="s">
        <v>109</v>
      </c>
      <c r="I223" s="97"/>
      <c r="J223" s="97"/>
      <c r="K223" s="71"/>
      <c r="L223" s="104"/>
      <c r="M223" s="39"/>
    </row>
    <row r="224" spans="1:13" ht="15.75" thickBot="1" x14ac:dyDescent="0.3">
      <c r="A224" s="64" t="str">
        <f>A191</f>
        <v>Semaine 29</v>
      </c>
      <c r="B224" s="65" t="e">
        <f>'MASQUE COLLABORATEUR'!B224</f>
        <v>#N/A</v>
      </c>
      <c r="C224" s="65" t="s">
        <v>141</v>
      </c>
      <c r="D224" s="66" t="e">
        <f>'MASQUE COLLABORATEUR'!D224</f>
        <v>#N/A</v>
      </c>
      <c r="E224" s="66" t="e">
        <f>'MASQUE COLLABORATEUR'!E224</f>
        <v>#N/A</v>
      </c>
      <c r="F224" s="67" t="s">
        <v>110</v>
      </c>
      <c r="H224" s="77" t="s">
        <v>136</v>
      </c>
      <c r="I224" s="78" t="e">
        <f>'MASQUE COLLABORATEUR'!I224</f>
        <v>#N/A</v>
      </c>
      <c r="J224" s="78" t="s">
        <v>141</v>
      </c>
      <c r="K224" s="79" t="e">
        <f>'MASQUE COLLABORATEUR'!K224</f>
        <v>#N/A</v>
      </c>
      <c r="L224" s="80" t="e">
        <f>'MASQUE COLLABORATEUR'!L224</f>
        <v>#N/A</v>
      </c>
      <c r="M224" s="49"/>
    </row>
    <row r="225" spans="1:14" x14ac:dyDescent="0.25">
      <c r="A225" s="69" t="s">
        <v>103</v>
      </c>
      <c r="B225" s="95"/>
      <c r="C225" s="95"/>
      <c r="D225" s="106"/>
      <c r="E225" s="105"/>
      <c r="F225" s="101"/>
      <c r="H225" s="81" t="s">
        <v>103</v>
      </c>
      <c r="I225" s="82">
        <v>0</v>
      </c>
      <c r="J225" s="82">
        <v>0</v>
      </c>
      <c r="K225" s="83">
        <v>0</v>
      </c>
      <c r="L225" s="84">
        <v>0</v>
      </c>
      <c r="M225" s="187"/>
      <c r="N225" s="188"/>
    </row>
    <row r="226" spans="1:14" x14ac:dyDescent="0.25">
      <c r="A226" s="69" t="s">
        <v>104</v>
      </c>
      <c r="B226" s="96"/>
      <c r="C226" s="96"/>
      <c r="D226" s="102"/>
      <c r="E226" s="103"/>
      <c r="F226" s="38"/>
      <c r="H226" s="81" t="s">
        <v>104</v>
      </c>
      <c r="I226" s="88">
        <v>0</v>
      </c>
      <c r="J226" s="88">
        <v>0</v>
      </c>
      <c r="K226" s="89">
        <v>0</v>
      </c>
      <c r="L226" s="90">
        <v>0</v>
      </c>
      <c r="M226" s="49"/>
    </row>
    <row r="227" spans="1:14" x14ac:dyDescent="0.25">
      <c r="A227" s="69" t="s">
        <v>105</v>
      </c>
      <c r="B227" s="96"/>
      <c r="C227" s="96"/>
      <c r="D227" s="102"/>
      <c r="E227" s="103"/>
      <c r="F227" s="38"/>
      <c r="H227" s="81" t="s">
        <v>105</v>
      </c>
      <c r="I227" s="88">
        <v>0</v>
      </c>
      <c r="J227" s="88">
        <v>0</v>
      </c>
      <c r="K227" s="89">
        <v>0</v>
      </c>
      <c r="L227" s="90">
        <v>0</v>
      </c>
      <c r="M227" s="49"/>
    </row>
    <row r="228" spans="1:14" x14ac:dyDescent="0.25">
      <c r="A228" s="69" t="s">
        <v>106</v>
      </c>
      <c r="B228" s="96"/>
      <c r="C228" s="96"/>
      <c r="D228" s="102"/>
      <c r="E228" s="103"/>
      <c r="F228" s="38"/>
      <c r="H228" s="81" t="s">
        <v>106</v>
      </c>
      <c r="I228" s="88">
        <v>0</v>
      </c>
      <c r="J228" s="88">
        <v>0</v>
      </c>
      <c r="K228" s="89">
        <v>0</v>
      </c>
      <c r="L228" s="90">
        <v>0</v>
      </c>
      <c r="M228" s="49"/>
    </row>
    <row r="229" spans="1:14" x14ac:dyDescent="0.25">
      <c r="A229" s="69" t="s">
        <v>107</v>
      </c>
      <c r="B229" s="96"/>
      <c r="C229" s="96"/>
      <c r="D229" s="102"/>
      <c r="E229" s="103"/>
      <c r="F229" s="38"/>
      <c r="H229" s="81" t="s">
        <v>107</v>
      </c>
      <c r="I229" s="88">
        <v>0</v>
      </c>
      <c r="J229" s="88">
        <v>0</v>
      </c>
      <c r="K229" s="89">
        <v>0</v>
      </c>
      <c r="L229" s="90">
        <v>0</v>
      </c>
      <c r="M229" s="187"/>
      <c r="N229" s="190" t="s">
        <v>447</v>
      </c>
    </row>
    <row r="230" spans="1:14" x14ac:dyDescent="0.25">
      <c r="A230" s="69" t="s">
        <v>108</v>
      </c>
      <c r="B230" s="96"/>
      <c r="C230" s="96"/>
      <c r="D230" s="102"/>
      <c r="E230" s="103"/>
      <c r="F230" s="38"/>
      <c r="H230" s="81" t="s">
        <v>108</v>
      </c>
      <c r="I230" s="88">
        <v>0</v>
      </c>
      <c r="J230" s="88">
        <v>0</v>
      </c>
      <c r="K230" s="89">
        <v>0</v>
      </c>
      <c r="L230" s="90">
        <v>0</v>
      </c>
      <c r="M230" s="49"/>
      <c r="N230" s="189">
        <f ca="1">TODAY()</f>
        <v>46181</v>
      </c>
    </row>
    <row r="231" spans="1:14" ht="15.75" thickBot="1" x14ac:dyDescent="0.3">
      <c r="A231" s="70" t="s">
        <v>109</v>
      </c>
      <c r="B231" s="97"/>
      <c r="C231" s="97"/>
      <c r="D231" s="71"/>
      <c r="E231" s="104"/>
      <c r="F231" s="39"/>
      <c r="H231" s="92" t="s">
        <v>109</v>
      </c>
      <c r="I231" s="93">
        <v>0</v>
      </c>
      <c r="J231" s="93">
        <v>0</v>
      </c>
      <c r="K231" s="71">
        <v>0</v>
      </c>
      <c r="L231" s="94">
        <v>0</v>
      </c>
      <c r="M231" s="49"/>
    </row>
    <row r="232" spans="1:14" ht="15" customHeight="1" x14ac:dyDescent="0.25">
      <c r="D232" s="308" t="s">
        <v>443</v>
      </c>
      <c r="E232" s="308"/>
      <c r="F232" s="308"/>
      <c r="G232" s="308"/>
      <c r="H232" s="308"/>
      <c r="I232" s="308"/>
      <c r="J232" s="308"/>
      <c r="K232" s="308"/>
      <c r="L232" s="42" t="s">
        <v>284</v>
      </c>
      <c r="N232" s="43" t="s">
        <v>442</v>
      </c>
    </row>
    <row r="233" spans="1:14" x14ac:dyDescent="0.25">
      <c r="D233" s="308"/>
      <c r="E233" s="308"/>
      <c r="F233" s="308"/>
      <c r="G233" s="308"/>
      <c r="H233" s="308"/>
      <c r="I233" s="308"/>
      <c r="J233" s="308"/>
      <c r="K233" s="308"/>
      <c r="N233" s="43" t="s">
        <v>446</v>
      </c>
    </row>
    <row r="234" spans="1:14" x14ac:dyDescent="0.25">
      <c r="D234" s="308"/>
      <c r="E234" s="308"/>
      <c r="F234" s="308"/>
      <c r="G234" s="308"/>
      <c r="H234" s="308"/>
      <c r="I234" s="308"/>
      <c r="J234" s="308"/>
      <c r="K234" s="308"/>
      <c r="N234" s="44"/>
    </row>
    <row r="235" spans="1:14" x14ac:dyDescent="0.25">
      <c r="A235" s="45" t="s">
        <v>3</v>
      </c>
      <c r="B235" s="46">
        <f>'MASQUE COLLABORATEUR'!B235</f>
        <v>2026</v>
      </c>
      <c r="C235" s="47"/>
      <c r="D235" s="48" t="s">
        <v>1</v>
      </c>
      <c r="E235" s="46">
        <f>'MASQUE COLLABORATEUR'!E235</f>
        <v>0</v>
      </c>
      <c r="F235" s="49"/>
      <c r="G235" s="49"/>
      <c r="H235" s="48" t="s">
        <v>2</v>
      </c>
      <c r="I235" s="47">
        <f>'MASQUE COLLABORATEUR'!I235</f>
        <v>0</v>
      </c>
      <c r="J235" s="50"/>
      <c r="K235" s="50"/>
      <c r="N235" s="44"/>
    </row>
    <row r="236" spans="1:14" ht="15.75" thickBot="1" x14ac:dyDescent="0.3">
      <c r="A236" s="45" t="s">
        <v>10</v>
      </c>
      <c r="B236" s="49"/>
      <c r="C236" s="49"/>
      <c r="D236" s="50" t="str">
        <f>'MASQUE COLLABORATEUR'!D236</f>
        <v>01 juin 2026 au 31 mai 2027.</v>
      </c>
      <c r="E236" s="2"/>
      <c r="H236" s="48" t="s">
        <v>205</v>
      </c>
      <c r="I236" s="47" t="str">
        <f>'MASQUE COLLABORATEUR'!I236</f>
        <v>Juin</v>
      </c>
      <c r="N236" s="44"/>
    </row>
    <row r="237" spans="1:14" x14ac:dyDescent="0.25">
      <c r="A237" s="192" t="s">
        <v>448</v>
      </c>
      <c r="B237" s="193"/>
      <c r="C237" s="193"/>
      <c r="D237" s="194"/>
      <c r="E237" s="194"/>
      <c r="F237" s="194"/>
      <c r="G237" s="194"/>
      <c r="H237" s="194"/>
      <c r="I237" s="194"/>
      <c r="J237" s="194"/>
      <c r="K237" s="194"/>
      <c r="L237" s="194"/>
      <c r="M237" s="194"/>
      <c r="N237" s="195"/>
    </row>
    <row r="238" spans="1:14" ht="15.75" thickBot="1" x14ac:dyDescent="0.3">
      <c r="A238" s="196"/>
      <c r="B238" s="197"/>
      <c r="C238" s="197"/>
      <c r="D238" s="197"/>
      <c r="E238" s="197"/>
      <c r="F238" s="197"/>
      <c r="G238" s="197"/>
      <c r="H238" s="197"/>
      <c r="I238" s="198"/>
      <c r="J238" s="198"/>
      <c r="K238" s="198"/>
      <c r="L238" s="198"/>
      <c r="M238" s="198"/>
      <c r="N238" s="199"/>
    </row>
    <row r="239" spans="1:14" x14ac:dyDescent="0.25">
      <c r="A239" s="49" t="s">
        <v>18</v>
      </c>
      <c r="B239" s="113">
        <f>'MASQUE COLLABORATEUR'!B239</f>
        <v>0</v>
      </c>
      <c r="E239" s="49"/>
      <c r="G239" s="57" t="s">
        <v>317</v>
      </c>
      <c r="H239" s="58" t="e">
        <f>'MASQUE COLLABORATEUR'!H239</f>
        <v>#N/A</v>
      </c>
      <c r="J239" s="10" t="s">
        <v>161</v>
      </c>
      <c r="K239" s="58" t="e">
        <f>'MASQUE COLLABORATEUR'!K239</f>
        <v>#N/A</v>
      </c>
      <c r="L239" s="114" t="s">
        <v>340</v>
      </c>
      <c r="M239" s="115" t="e">
        <f>'MASQUE COLLABORATEUR'!M239</f>
        <v>#N/A</v>
      </c>
    </row>
    <row r="240" spans="1:14" ht="15.75" thickBot="1" x14ac:dyDescent="0.3">
      <c r="A240" s="49" t="s">
        <v>59</v>
      </c>
      <c r="B240" s="2" t="e">
        <f>'MASQUE COLLABORATEUR'!B240</f>
        <v>#N/A</v>
      </c>
      <c r="C240" s="2"/>
      <c r="D240" s="2"/>
      <c r="G240" s="57" t="s">
        <v>158</v>
      </c>
      <c r="H240" s="58" t="e">
        <f>'MASQUE COLLABORATEUR'!H240</f>
        <v>#N/A</v>
      </c>
    </row>
    <row r="241" spans="1:13" ht="15.75" thickBot="1" x14ac:dyDescent="0.3">
      <c r="A241" s="64" t="str">
        <f>A208</f>
        <v>Semaine 25</v>
      </c>
      <c r="B241" s="65" t="e">
        <f>'MASQUE COLLABORATEUR'!B241</f>
        <v>#N/A</v>
      </c>
      <c r="C241" s="65" t="s">
        <v>141</v>
      </c>
      <c r="D241" s="66" t="e">
        <f>'MASQUE COLLABORATEUR'!D241</f>
        <v>#N/A</v>
      </c>
      <c r="E241" s="66" t="e">
        <f>'MASQUE COLLABORATEUR'!E241</f>
        <v>#N/A</v>
      </c>
      <c r="F241" s="67" t="s">
        <v>110</v>
      </c>
      <c r="H241" s="64" t="str">
        <f>H208</f>
        <v>Semaine 26</v>
      </c>
      <c r="I241" s="65" t="e">
        <f>'MASQUE COLLABORATEUR'!I241</f>
        <v>#N/A</v>
      </c>
      <c r="J241" s="65" t="s">
        <v>141</v>
      </c>
      <c r="K241" s="66" t="e">
        <f>'MASQUE COLLABORATEUR'!K241</f>
        <v>#N/A</v>
      </c>
      <c r="L241" s="66" t="e">
        <f>'MASQUE COLLABORATEUR'!L241</f>
        <v>#N/A</v>
      </c>
      <c r="M241" s="67" t="s">
        <v>110</v>
      </c>
    </row>
    <row r="242" spans="1:13" x14ac:dyDescent="0.25">
      <c r="A242" s="68" t="s">
        <v>103</v>
      </c>
      <c r="B242" s="98"/>
      <c r="C242" s="98"/>
      <c r="D242" s="99"/>
      <c r="E242" s="100"/>
      <c r="F242" s="101"/>
      <c r="H242" s="69" t="s">
        <v>103</v>
      </c>
      <c r="I242" s="95"/>
      <c r="J242" s="95"/>
      <c r="K242" s="106"/>
      <c r="L242" s="105"/>
      <c r="M242" s="101"/>
    </row>
    <row r="243" spans="1:13" x14ac:dyDescent="0.25">
      <c r="A243" s="69" t="s">
        <v>104</v>
      </c>
      <c r="B243" s="96"/>
      <c r="C243" s="96"/>
      <c r="D243" s="102"/>
      <c r="E243" s="103"/>
      <c r="F243" s="38"/>
      <c r="H243" s="69" t="s">
        <v>104</v>
      </c>
      <c r="I243" s="96"/>
      <c r="J243" s="96"/>
      <c r="K243" s="102"/>
      <c r="L243" s="103"/>
      <c r="M243" s="38"/>
    </row>
    <row r="244" spans="1:13" x14ac:dyDescent="0.25">
      <c r="A244" s="69" t="s">
        <v>105</v>
      </c>
      <c r="B244" s="96"/>
      <c r="C244" s="96"/>
      <c r="D244" s="102"/>
      <c r="E244" s="103"/>
      <c r="F244" s="38"/>
      <c r="H244" s="69" t="s">
        <v>105</v>
      </c>
      <c r="I244" s="96"/>
      <c r="J244" s="96"/>
      <c r="K244" s="102"/>
      <c r="L244" s="103"/>
      <c r="M244" s="38"/>
    </row>
    <row r="245" spans="1:13" x14ac:dyDescent="0.25">
      <c r="A245" s="69" t="s">
        <v>106</v>
      </c>
      <c r="B245" s="96"/>
      <c r="C245" s="96"/>
      <c r="D245" s="102"/>
      <c r="E245" s="103"/>
      <c r="F245" s="38"/>
      <c r="H245" s="69" t="s">
        <v>106</v>
      </c>
      <c r="I245" s="96"/>
      <c r="J245" s="96"/>
      <c r="K245" s="102"/>
      <c r="L245" s="103"/>
      <c r="M245" s="38"/>
    </row>
    <row r="246" spans="1:13" x14ac:dyDescent="0.25">
      <c r="A246" s="69" t="s">
        <v>107</v>
      </c>
      <c r="B246" s="96"/>
      <c r="C246" s="96"/>
      <c r="D246" s="102"/>
      <c r="E246" s="103"/>
      <c r="F246" s="38"/>
      <c r="H246" s="69" t="s">
        <v>107</v>
      </c>
      <c r="I246" s="96"/>
      <c r="J246" s="96"/>
      <c r="K246" s="102"/>
      <c r="L246" s="103"/>
      <c r="M246" s="38"/>
    </row>
    <row r="247" spans="1:13" x14ac:dyDescent="0.25">
      <c r="A247" s="69" t="s">
        <v>108</v>
      </c>
      <c r="B247" s="96"/>
      <c r="C247" s="96"/>
      <c r="D247" s="102"/>
      <c r="E247" s="103"/>
      <c r="F247" s="38"/>
      <c r="H247" s="69" t="s">
        <v>108</v>
      </c>
      <c r="I247" s="96"/>
      <c r="J247" s="96"/>
      <c r="K247" s="102"/>
      <c r="L247" s="103"/>
      <c r="M247" s="38"/>
    </row>
    <row r="248" spans="1:13" ht="15.75" thickBot="1" x14ac:dyDescent="0.3">
      <c r="A248" s="70" t="s">
        <v>109</v>
      </c>
      <c r="B248" s="97"/>
      <c r="C248" s="97"/>
      <c r="D248" s="71"/>
      <c r="E248" s="104"/>
      <c r="F248" s="38"/>
      <c r="H248" s="70" t="s">
        <v>109</v>
      </c>
      <c r="I248" s="97"/>
      <c r="J248" s="97"/>
      <c r="K248" s="71"/>
      <c r="L248" s="104"/>
      <c r="M248" s="38"/>
    </row>
    <row r="249" spans="1:13" ht="15.75" thickBot="1" x14ac:dyDescent="0.3">
      <c r="A249" s="64" t="str">
        <f>A216</f>
        <v>Semaine 27</v>
      </c>
      <c r="B249" s="65" t="e">
        <f>'MASQUE COLLABORATEUR'!B249</f>
        <v>#N/A</v>
      </c>
      <c r="C249" s="65" t="s">
        <v>141</v>
      </c>
      <c r="D249" s="66" t="e">
        <f>'MASQUE COLLABORATEUR'!D249</f>
        <v>#N/A</v>
      </c>
      <c r="E249" s="66" t="e">
        <f>'MASQUE COLLABORATEUR'!E249</f>
        <v>#N/A</v>
      </c>
      <c r="F249" s="67" t="s">
        <v>110</v>
      </c>
      <c r="H249" s="64" t="str">
        <f>H216</f>
        <v>Semaine 28</v>
      </c>
      <c r="I249" s="65" t="e">
        <f>'MASQUE COLLABORATEUR'!I249</f>
        <v>#N/A</v>
      </c>
      <c r="J249" s="65" t="s">
        <v>141</v>
      </c>
      <c r="K249" s="66" t="e">
        <f>'MASQUE COLLABORATEUR'!K249</f>
        <v>#N/A</v>
      </c>
      <c r="L249" s="66" t="e">
        <f>'MASQUE COLLABORATEUR'!L249</f>
        <v>#N/A</v>
      </c>
      <c r="M249" s="67" t="s">
        <v>110</v>
      </c>
    </row>
    <row r="250" spans="1:13" x14ac:dyDescent="0.25">
      <c r="A250" s="69" t="s">
        <v>103</v>
      </c>
      <c r="B250" s="95"/>
      <c r="C250" s="95"/>
      <c r="D250" s="106"/>
      <c r="E250" s="105"/>
      <c r="F250" s="101"/>
      <c r="H250" s="69" t="s">
        <v>103</v>
      </c>
      <c r="I250" s="95"/>
      <c r="J250" s="95"/>
      <c r="K250" s="106"/>
      <c r="L250" s="105"/>
      <c r="M250" s="101"/>
    </row>
    <row r="251" spans="1:13" x14ac:dyDescent="0.25">
      <c r="A251" s="69" t="s">
        <v>104</v>
      </c>
      <c r="B251" s="96"/>
      <c r="C251" s="96"/>
      <c r="D251" s="102"/>
      <c r="E251" s="103"/>
      <c r="F251" s="38"/>
      <c r="H251" s="69" t="s">
        <v>104</v>
      </c>
      <c r="I251" s="96"/>
      <c r="J251" s="96"/>
      <c r="K251" s="102"/>
      <c r="L251" s="103"/>
      <c r="M251" s="38"/>
    </row>
    <row r="252" spans="1:13" x14ac:dyDescent="0.25">
      <c r="A252" s="69" t="s">
        <v>105</v>
      </c>
      <c r="B252" s="96"/>
      <c r="C252" s="96"/>
      <c r="D252" s="102"/>
      <c r="E252" s="103"/>
      <c r="F252" s="38"/>
      <c r="H252" s="69" t="s">
        <v>105</v>
      </c>
      <c r="I252" s="96"/>
      <c r="J252" s="96"/>
      <c r="K252" s="102"/>
      <c r="L252" s="103"/>
      <c r="M252" s="38"/>
    </row>
    <row r="253" spans="1:13" x14ac:dyDescent="0.25">
      <c r="A253" s="69" t="s">
        <v>106</v>
      </c>
      <c r="B253" s="96"/>
      <c r="C253" s="96"/>
      <c r="D253" s="102"/>
      <c r="E253" s="103"/>
      <c r="F253" s="38"/>
      <c r="H253" s="69" t="s">
        <v>106</v>
      </c>
      <c r="I253" s="96"/>
      <c r="J253" s="96"/>
      <c r="K253" s="102"/>
      <c r="L253" s="103"/>
      <c r="M253" s="38"/>
    </row>
    <row r="254" spans="1:13" x14ac:dyDescent="0.25">
      <c r="A254" s="69" t="s">
        <v>107</v>
      </c>
      <c r="B254" s="96"/>
      <c r="C254" s="96"/>
      <c r="D254" s="102"/>
      <c r="E254" s="103"/>
      <c r="F254" s="38"/>
      <c r="H254" s="69" t="s">
        <v>107</v>
      </c>
      <c r="I254" s="96"/>
      <c r="J254" s="96"/>
      <c r="K254" s="102"/>
      <c r="L254" s="103"/>
      <c r="M254" s="38"/>
    </row>
    <row r="255" spans="1:13" x14ac:dyDescent="0.25">
      <c r="A255" s="69" t="s">
        <v>108</v>
      </c>
      <c r="B255" s="96"/>
      <c r="C255" s="96"/>
      <c r="D255" s="102"/>
      <c r="E255" s="103"/>
      <c r="F255" s="38"/>
      <c r="H255" s="69" t="s">
        <v>108</v>
      </c>
      <c r="I255" s="96"/>
      <c r="J255" s="96"/>
      <c r="K255" s="102"/>
      <c r="L255" s="103"/>
      <c r="M255" s="38"/>
    </row>
    <row r="256" spans="1:13" ht="15.75" thickBot="1" x14ac:dyDescent="0.3">
      <c r="A256" s="70" t="s">
        <v>109</v>
      </c>
      <c r="B256" s="97"/>
      <c r="C256" s="97"/>
      <c r="D256" s="71"/>
      <c r="E256" s="104"/>
      <c r="F256" s="38"/>
      <c r="H256" s="70" t="s">
        <v>109</v>
      </c>
      <c r="I256" s="97"/>
      <c r="J256" s="97"/>
      <c r="K256" s="71"/>
      <c r="L256" s="104"/>
      <c r="M256" s="39"/>
    </row>
    <row r="257" spans="1:14" ht="15.75" thickBot="1" x14ac:dyDescent="0.3">
      <c r="A257" s="64" t="str">
        <f>A224</f>
        <v>Semaine 29</v>
      </c>
      <c r="B257" s="65" t="e">
        <f>'MASQUE COLLABORATEUR'!B257</f>
        <v>#N/A</v>
      </c>
      <c r="C257" s="65" t="s">
        <v>141</v>
      </c>
      <c r="D257" s="66" t="e">
        <f>'MASQUE COLLABORATEUR'!D257</f>
        <v>#N/A</v>
      </c>
      <c r="E257" s="66" t="e">
        <f>'MASQUE COLLABORATEUR'!E257</f>
        <v>#N/A</v>
      </c>
      <c r="F257" s="67" t="s">
        <v>110</v>
      </c>
      <c r="H257" s="77" t="s">
        <v>136</v>
      </c>
      <c r="I257" s="78" t="e">
        <f>'MASQUE COLLABORATEUR'!I257</f>
        <v>#N/A</v>
      </c>
      <c r="J257" s="78" t="s">
        <v>141</v>
      </c>
      <c r="K257" s="79" t="e">
        <f>'MASQUE COLLABORATEUR'!K257</f>
        <v>#N/A</v>
      </c>
      <c r="L257" s="80" t="e">
        <f>'MASQUE COLLABORATEUR'!L257</f>
        <v>#N/A</v>
      </c>
      <c r="M257" s="49"/>
    </row>
    <row r="258" spans="1:14" x14ac:dyDescent="0.25">
      <c r="A258" s="69" t="s">
        <v>103</v>
      </c>
      <c r="B258" s="95"/>
      <c r="C258" s="95"/>
      <c r="D258" s="106"/>
      <c r="E258" s="105"/>
      <c r="F258" s="101"/>
      <c r="H258" s="81" t="s">
        <v>103</v>
      </c>
      <c r="I258" s="82">
        <v>0</v>
      </c>
      <c r="J258" s="82">
        <v>0</v>
      </c>
      <c r="K258" s="83">
        <v>0</v>
      </c>
      <c r="L258" s="84">
        <v>0</v>
      </c>
      <c r="M258" s="187"/>
      <c r="N258" s="188"/>
    </row>
    <row r="259" spans="1:14" x14ac:dyDescent="0.25">
      <c r="A259" s="69" t="s">
        <v>104</v>
      </c>
      <c r="B259" s="96"/>
      <c r="C259" s="96"/>
      <c r="D259" s="102"/>
      <c r="E259" s="103"/>
      <c r="F259" s="38"/>
      <c r="H259" s="81" t="s">
        <v>104</v>
      </c>
      <c r="I259" s="88">
        <v>0</v>
      </c>
      <c r="J259" s="88">
        <v>0</v>
      </c>
      <c r="K259" s="89">
        <v>0</v>
      </c>
      <c r="L259" s="90">
        <v>0</v>
      </c>
      <c r="M259" s="49"/>
    </row>
    <row r="260" spans="1:14" x14ac:dyDescent="0.25">
      <c r="A260" s="69" t="s">
        <v>105</v>
      </c>
      <c r="B260" s="96"/>
      <c r="C260" s="96"/>
      <c r="D260" s="102"/>
      <c r="E260" s="103"/>
      <c r="F260" s="38"/>
      <c r="H260" s="81" t="s">
        <v>105</v>
      </c>
      <c r="I260" s="88">
        <v>0</v>
      </c>
      <c r="J260" s="88">
        <v>0</v>
      </c>
      <c r="K260" s="89">
        <v>0</v>
      </c>
      <c r="L260" s="90">
        <v>0</v>
      </c>
      <c r="M260" s="49"/>
    </row>
    <row r="261" spans="1:14" x14ac:dyDescent="0.25">
      <c r="A261" s="69" t="s">
        <v>106</v>
      </c>
      <c r="B261" s="96"/>
      <c r="C261" s="96"/>
      <c r="D261" s="102"/>
      <c r="E261" s="103"/>
      <c r="F261" s="38"/>
      <c r="H261" s="81" t="s">
        <v>106</v>
      </c>
      <c r="I261" s="88">
        <v>0</v>
      </c>
      <c r="J261" s="88">
        <v>0</v>
      </c>
      <c r="K261" s="89">
        <v>0</v>
      </c>
      <c r="L261" s="90">
        <v>0</v>
      </c>
      <c r="M261" s="49"/>
    </row>
    <row r="262" spans="1:14" x14ac:dyDescent="0.25">
      <c r="A262" s="69" t="s">
        <v>107</v>
      </c>
      <c r="B262" s="96"/>
      <c r="C262" s="96"/>
      <c r="D262" s="102"/>
      <c r="E262" s="103"/>
      <c r="F262" s="38"/>
      <c r="H262" s="81" t="s">
        <v>107</v>
      </c>
      <c r="I262" s="88">
        <v>0</v>
      </c>
      <c r="J262" s="88">
        <v>0</v>
      </c>
      <c r="K262" s="89">
        <v>0</v>
      </c>
      <c r="L262" s="90">
        <v>0</v>
      </c>
      <c r="M262" s="187"/>
      <c r="N262" s="190" t="s">
        <v>447</v>
      </c>
    </row>
    <row r="263" spans="1:14" x14ac:dyDescent="0.25">
      <c r="A263" s="69" t="s">
        <v>108</v>
      </c>
      <c r="B263" s="96"/>
      <c r="C263" s="96"/>
      <c r="D263" s="102"/>
      <c r="E263" s="103"/>
      <c r="F263" s="38"/>
      <c r="H263" s="81" t="s">
        <v>108</v>
      </c>
      <c r="I263" s="88">
        <v>0</v>
      </c>
      <c r="J263" s="88">
        <v>0</v>
      </c>
      <c r="K263" s="89">
        <v>0</v>
      </c>
      <c r="L263" s="90">
        <v>0</v>
      </c>
      <c r="M263" s="49"/>
      <c r="N263" s="189">
        <f ca="1">TODAY()</f>
        <v>46181</v>
      </c>
    </row>
    <row r="264" spans="1:14" ht="15.75" thickBot="1" x14ac:dyDescent="0.3">
      <c r="A264" s="70" t="s">
        <v>109</v>
      </c>
      <c r="B264" s="97"/>
      <c r="C264" s="97"/>
      <c r="D264" s="71"/>
      <c r="E264" s="104"/>
      <c r="F264" s="39"/>
      <c r="H264" s="92" t="s">
        <v>109</v>
      </c>
      <c r="I264" s="93">
        <v>0</v>
      </c>
      <c r="J264" s="93">
        <v>0</v>
      </c>
      <c r="K264" s="71">
        <v>0</v>
      </c>
      <c r="L264" s="94">
        <v>0</v>
      </c>
      <c r="M264" s="49"/>
    </row>
    <row r="265" spans="1:14" ht="15" customHeight="1" x14ac:dyDescent="0.25">
      <c r="D265" s="308" t="s">
        <v>443</v>
      </c>
      <c r="E265" s="308"/>
      <c r="F265" s="308"/>
      <c r="G265" s="308"/>
      <c r="H265" s="308"/>
      <c r="I265" s="308"/>
      <c r="J265" s="308"/>
      <c r="K265" s="308"/>
      <c r="L265" s="42" t="s">
        <v>285</v>
      </c>
      <c r="N265" s="43" t="s">
        <v>442</v>
      </c>
    </row>
    <row r="266" spans="1:14" x14ac:dyDescent="0.25">
      <c r="D266" s="308"/>
      <c r="E266" s="308"/>
      <c r="F266" s="308"/>
      <c r="G266" s="308"/>
      <c r="H266" s="308"/>
      <c r="I266" s="308"/>
      <c r="J266" s="308"/>
      <c r="K266" s="308"/>
      <c r="N266" s="43" t="s">
        <v>446</v>
      </c>
    </row>
    <row r="267" spans="1:14" x14ac:dyDescent="0.25">
      <c r="D267" s="308"/>
      <c r="E267" s="308"/>
      <c r="F267" s="308"/>
      <c r="G267" s="308"/>
      <c r="H267" s="308"/>
      <c r="I267" s="308"/>
      <c r="J267" s="308"/>
      <c r="K267" s="308"/>
      <c r="N267" s="44"/>
    </row>
    <row r="268" spans="1:14" x14ac:dyDescent="0.25">
      <c r="A268" s="45" t="s">
        <v>3</v>
      </c>
      <c r="B268" s="46">
        <f>'MASQUE COLLABORATEUR'!B268</f>
        <v>2026</v>
      </c>
      <c r="C268" s="47"/>
      <c r="D268" s="48" t="s">
        <v>1</v>
      </c>
      <c r="E268" s="46">
        <f>'MASQUE COLLABORATEUR'!E268</f>
        <v>0</v>
      </c>
      <c r="F268" s="49"/>
      <c r="G268" s="49"/>
      <c r="H268" s="48" t="s">
        <v>2</v>
      </c>
      <c r="I268" s="47">
        <f>'MASQUE COLLABORATEUR'!I268</f>
        <v>0</v>
      </c>
      <c r="J268" s="50"/>
      <c r="K268" s="50"/>
      <c r="N268" s="44"/>
    </row>
    <row r="269" spans="1:14" ht="15.75" thickBot="1" x14ac:dyDescent="0.3">
      <c r="A269" s="45" t="s">
        <v>10</v>
      </c>
      <c r="B269" s="49"/>
      <c r="C269" s="49"/>
      <c r="D269" s="50" t="str">
        <f>'MASQUE COLLABORATEUR'!D269</f>
        <v>01 juin 2026 au 31 mai 2027.</v>
      </c>
      <c r="E269" s="2"/>
      <c r="H269" s="48" t="s">
        <v>205</v>
      </c>
      <c r="I269" s="47" t="str">
        <f>'MASQUE COLLABORATEUR'!I269</f>
        <v>Juin</v>
      </c>
      <c r="N269" s="44"/>
    </row>
    <row r="270" spans="1:14" x14ac:dyDescent="0.25">
      <c r="A270" s="192" t="s">
        <v>448</v>
      </c>
      <c r="B270" s="193"/>
      <c r="C270" s="193"/>
      <c r="D270" s="194"/>
      <c r="E270" s="194"/>
      <c r="F270" s="194"/>
      <c r="G270" s="194"/>
      <c r="H270" s="194"/>
      <c r="I270" s="194"/>
      <c r="J270" s="194"/>
      <c r="K270" s="194"/>
      <c r="L270" s="194"/>
      <c r="M270" s="194"/>
      <c r="N270" s="195"/>
    </row>
    <row r="271" spans="1:14" ht="15.75" thickBot="1" x14ac:dyDescent="0.3">
      <c r="A271" s="196"/>
      <c r="B271" s="197"/>
      <c r="C271" s="197"/>
      <c r="D271" s="197"/>
      <c r="E271" s="197"/>
      <c r="F271" s="197"/>
      <c r="G271" s="197"/>
      <c r="H271" s="197"/>
      <c r="I271" s="198"/>
      <c r="J271" s="198"/>
      <c r="K271" s="198"/>
      <c r="L271" s="198"/>
      <c r="M271" s="198"/>
      <c r="N271" s="199"/>
    </row>
    <row r="272" spans="1:14" x14ac:dyDescent="0.25">
      <c r="A272" s="49" t="s">
        <v>18</v>
      </c>
      <c r="B272" s="113">
        <f>'MASQUE COLLABORATEUR'!B272</f>
        <v>0</v>
      </c>
      <c r="E272" s="49"/>
      <c r="G272" s="57" t="s">
        <v>317</v>
      </c>
      <c r="H272" s="58" t="e">
        <f>'MASQUE COLLABORATEUR'!H272</f>
        <v>#N/A</v>
      </c>
      <c r="J272" s="10" t="s">
        <v>161</v>
      </c>
      <c r="K272" s="58" t="e">
        <f>'MASQUE COLLABORATEUR'!K272</f>
        <v>#N/A</v>
      </c>
      <c r="L272" s="114" t="s">
        <v>340</v>
      </c>
      <c r="M272" s="115" t="e">
        <f>'MASQUE COLLABORATEUR'!M272</f>
        <v>#N/A</v>
      </c>
    </row>
    <row r="273" spans="1:13" ht="15.75" thickBot="1" x14ac:dyDescent="0.3">
      <c r="A273" s="49" t="s">
        <v>59</v>
      </c>
      <c r="B273" s="2" t="e">
        <f>'MASQUE COLLABORATEUR'!B273</f>
        <v>#N/A</v>
      </c>
      <c r="C273" s="2"/>
      <c r="D273" s="2"/>
      <c r="G273" s="57" t="s">
        <v>158</v>
      </c>
      <c r="H273" s="58" t="e">
        <f>'MASQUE COLLABORATEUR'!H273</f>
        <v>#N/A</v>
      </c>
    </row>
    <row r="274" spans="1:13" ht="15.75" thickBot="1" x14ac:dyDescent="0.3">
      <c r="A274" s="64" t="str">
        <f>A241</f>
        <v>Semaine 25</v>
      </c>
      <c r="B274" s="65" t="e">
        <f>'MASQUE COLLABORATEUR'!B274</f>
        <v>#N/A</v>
      </c>
      <c r="C274" s="65" t="s">
        <v>141</v>
      </c>
      <c r="D274" s="66" t="e">
        <f>'MASQUE COLLABORATEUR'!D274</f>
        <v>#N/A</v>
      </c>
      <c r="E274" s="66" t="e">
        <f>'MASQUE COLLABORATEUR'!E274</f>
        <v>#N/A</v>
      </c>
      <c r="F274" s="67" t="s">
        <v>110</v>
      </c>
      <c r="H274" s="64" t="str">
        <f>H241</f>
        <v>Semaine 26</v>
      </c>
      <c r="I274" s="65" t="e">
        <f>'MASQUE COLLABORATEUR'!I274</f>
        <v>#N/A</v>
      </c>
      <c r="J274" s="65" t="s">
        <v>141</v>
      </c>
      <c r="K274" s="66" t="e">
        <f>'MASQUE COLLABORATEUR'!K274</f>
        <v>#N/A</v>
      </c>
      <c r="L274" s="66" t="e">
        <f>'MASQUE COLLABORATEUR'!L274</f>
        <v>#N/A</v>
      </c>
      <c r="M274" s="67" t="s">
        <v>110</v>
      </c>
    </row>
    <row r="275" spans="1:13" x14ac:dyDescent="0.25">
      <c r="A275" s="68" t="s">
        <v>103</v>
      </c>
      <c r="B275" s="98"/>
      <c r="C275" s="98"/>
      <c r="D275" s="99"/>
      <c r="E275" s="100"/>
      <c r="F275" s="101"/>
      <c r="H275" s="69" t="s">
        <v>103</v>
      </c>
      <c r="I275" s="95"/>
      <c r="J275" s="95"/>
      <c r="K275" s="106"/>
      <c r="L275" s="105"/>
      <c r="M275" s="101"/>
    </row>
    <row r="276" spans="1:13" x14ac:dyDescent="0.25">
      <c r="A276" s="69" t="s">
        <v>104</v>
      </c>
      <c r="B276" s="96"/>
      <c r="C276" s="96"/>
      <c r="D276" s="102"/>
      <c r="E276" s="103"/>
      <c r="F276" s="38"/>
      <c r="H276" s="69" t="s">
        <v>104</v>
      </c>
      <c r="I276" s="96"/>
      <c r="J276" s="96"/>
      <c r="K276" s="102"/>
      <c r="L276" s="103"/>
      <c r="M276" s="38"/>
    </row>
    <row r="277" spans="1:13" x14ac:dyDescent="0.25">
      <c r="A277" s="69" t="s">
        <v>105</v>
      </c>
      <c r="B277" s="96"/>
      <c r="C277" s="96"/>
      <c r="D277" s="102"/>
      <c r="E277" s="103"/>
      <c r="F277" s="38"/>
      <c r="H277" s="69" t="s">
        <v>105</v>
      </c>
      <c r="I277" s="96"/>
      <c r="J277" s="96"/>
      <c r="K277" s="102"/>
      <c r="L277" s="103"/>
      <c r="M277" s="38"/>
    </row>
    <row r="278" spans="1:13" x14ac:dyDescent="0.25">
      <c r="A278" s="69" t="s">
        <v>106</v>
      </c>
      <c r="B278" s="96"/>
      <c r="C278" s="96"/>
      <c r="D278" s="102"/>
      <c r="E278" s="103"/>
      <c r="F278" s="38"/>
      <c r="H278" s="69" t="s">
        <v>106</v>
      </c>
      <c r="I278" s="96"/>
      <c r="J278" s="96"/>
      <c r="K278" s="102"/>
      <c r="L278" s="103"/>
      <c r="M278" s="38"/>
    </row>
    <row r="279" spans="1:13" x14ac:dyDescent="0.25">
      <c r="A279" s="69" t="s">
        <v>107</v>
      </c>
      <c r="B279" s="96"/>
      <c r="C279" s="96"/>
      <c r="D279" s="102"/>
      <c r="E279" s="103"/>
      <c r="F279" s="38"/>
      <c r="H279" s="69" t="s">
        <v>107</v>
      </c>
      <c r="I279" s="96"/>
      <c r="J279" s="96"/>
      <c r="K279" s="102"/>
      <c r="L279" s="103"/>
      <c r="M279" s="38"/>
    </row>
    <row r="280" spans="1:13" x14ac:dyDescent="0.25">
      <c r="A280" s="69" t="s">
        <v>108</v>
      </c>
      <c r="B280" s="96"/>
      <c r="C280" s="96"/>
      <c r="D280" s="102"/>
      <c r="E280" s="103"/>
      <c r="F280" s="38"/>
      <c r="H280" s="69" t="s">
        <v>108</v>
      </c>
      <c r="I280" s="96"/>
      <c r="J280" s="96"/>
      <c r="K280" s="102"/>
      <c r="L280" s="103"/>
      <c r="M280" s="38"/>
    </row>
    <row r="281" spans="1:13" ht="15.75" thickBot="1" x14ac:dyDescent="0.3">
      <c r="A281" s="70" t="s">
        <v>109</v>
      </c>
      <c r="B281" s="97"/>
      <c r="C281" s="97"/>
      <c r="D281" s="71"/>
      <c r="E281" s="104"/>
      <c r="F281" s="38"/>
      <c r="H281" s="70" t="s">
        <v>109</v>
      </c>
      <c r="I281" s="97"/>
      <c r="J281" s="97"/>
      <c r="K281" s="71"/>
      <c r="L281" s="104"/>
      <c r="M281" s="38"/>
    </row>
    <row r="282" spans="1:13" ht="15.75" thickBot="1" x14ac:dyDescent="0.3">
      <c r="A282" s="64" t="str">
        <f>A249</f>
        <v>Semaine 27</v>
      </c>
      <c r="B282" s="65" t="e">
        <f>'MASQUE COLLABORATEUR'!B282</f>
        <v>#N/A</v>
      </c>
      <c r="C282" s="65" t="s">
        <v>141</v>
      </c>
      <c r="D282" s="66" t="e">
        <f>'MASQUE COLLABORATEUR'!D282</f>
        <v>#N/A</v>
      </c>
      <c r="E282" s="66">
        <f>'MASQUE COLLABORATEUR'!E282</f>
        <v>0</v>
      </c>
      <c r="F282" s="67" t="s">
        <v>110</v>
      </c>
      <c r="H282" s="64" t="str">
        <f>H249</f>
        <v>Semaine 28</v>
      </c>
      <c r="I282" s="65" t="e">
        <f>'MASQUE COLLABORATEUR'!I282</f>
        <v>#N/A</v>
      </c>
      <c r="J282" s="65" t="s">
        <v>141</v>
      </c>
      <c r="K282" s="66" t="e">
        <f>'MASQUE COLLABORATEUR'!K282</f>
        <v>#N/A</v>
      </c>
      <c r="L282" s="66" t="e">
        <f>'MASQUE COLLABORATEUR'!L282</f>
        <v>#N/A</v>
      </c>
      <c r="M282" s="67" t="s">
        <v>110</v>
      </c>
    </row>
    <row r="283" spans="1:13" x14ac:dyDescent="0.25">
      <c r="A283" s="69" t="s">
        <v>103</v>
      </c>
      <c r="B283" s="95"/>
      <c r="C283" s="95"/>
      <c r="D283" s="106"/>
      <c r="E283" s="105"/>
      <c r="F283" s="101"/>
      <c r="H283" s="69" t="s">
        <v>103</v>
      </c>
      <c r="I283" s="95"/>
      <c r="J283" s="95"/>
      <c r="K283" s="106"/>
      <c r="L283" s="105"/>
      <c r="M283" s="101"/>
    </row>
    <row r="284" spans="1:13" x14ac:dyDescent="0.25">
      <c r="A284" s="69" t="s">
        <v>104</v>
      </c>
      <c r="B284" s="96"/>
      <c r="C284" s="96"/>
      <c r="D284" s="102"/>
      <c r="E284" s="103"/>
      <c r="F284" s="38"/>
      <c r="H284" s="69" t="s">
        <v>104</v>
      </c>
      <c r="I284" s="96"/>
      <c r="J284" s="96"/>
      <c r="K284" s="102"/>
      <c r="L284" s="103"/>
      <c r="M284" s="38"/>
    </row>
    <row r="285" spans="1:13" x14ac:dyDescent="0.25">
      <c r="A285" s="69" t="s">
        <v>105</v>
      </c>
      <c r="B285" s="96"/>
      <c r="C285" s="96"/>
      <c r="D285" s="102"/>
      <c r="E285" s="103"/>
      <c r="F285" s="38"/>
      <c r="H285" s="69" t="s">
        <v>105</v>
      </c>
      <c r="I285" s="96"/>
      <c r="J285" s="96"/>
      <c r="K285" s="102"/>
      <c r="L285" s="103"/>
      <c r="M285" s="38"/>
    </row>
    <row r="286" spans="1:13" x14ac:dyDescent="0.25">
      <c r="A286" s="69" t="s">
        <v>106</v>
      </c>
      <c r="B286" s="96"/>
      <c r="C286" s="96"/>
      <c r="D286" s="102"/>
      <c r="E286" s="103"/>
      <c r="F286" s="38"/>
      <c r="H286" s="69" t="s">
        <v>106</v>
      </c>
      <c r="I286" s="96"/>
      <c r="J286" s="96"/>
      <c r="K286" s="102"/>
      <c r="L286" s="103"/>
      <c r="M286" s="38"/>
    </row>
    <row r="287" spans="1:13" x14ac:dyDescent="0.25">
      <c r="A287" s="69" t="s">
        <v>107</v>
      </c>
      <c r="B287" s="96"/>
      <c r="C287" s="96"/>
      <c r="D287" s="102"/>
      <c r="E287" s="103"/>
      <c r="F287" s="38"/>
      <c r="H287" s="69" t="s">
        <v>107</v>
      </c>
      <c r="I287" s="96"/>
      <c r="J287" s="96"/>
      <c r="K287" s="102"/>
      <c r="L287" s="103"/>
      <c r="M287" s="38"/>
    </row>
    <row r="288" spans="1:13" x14ac:dyDescent="0.25">
      <c r="A288" s="69" t="s">
        <v>108</v>
      </c>
      <c r="B288" s="96"/>
      <c r="C288" s="96"/>
      <c r="D288" s="102"/>
      <c r="E288" s="103"/>
      <c r="F288" s="38"/>
      <c r="H288" s="69" t="s">
        <v>108</v>
      </c>
      <c r="I288" s="96"/>
      <c r="J288" s="96"/>
      <c r="K288" s="102"/>
      <c r="L288" s="103"/>
      <c r="M288" s="38"/>
    </row>
    <row r="289" spans="1:14" ht="15.75" thickBot="1" x14ac:dyDescent="0.3">
      <c r="A289" s="70" t="s">
        <v>109</v>
      </c>
      <c r="B289" s="97"/>
      <c r="C289" s="97"/>
      <c r="D289" s="71"/>
      <c r="E289" s="104"/>
      <c r="F289" s="38"/>
      <c r="H289" s="70" t="s">
        <v>109</v>
      </c>
      <c r="I289" s="97"/>
      <c r="J289" s="97"/>
      <c r="K289" s="71"/>
      <c r="L289" s="104"/>
      <c r="M289" s="39"/>
    </row>
    <row r="290" spans="1:14" ht="15.75" thickBot="1" x14ac:dyDescent="0.3">
      <c r="A290" s="64" t="str">
        <f>A257</f>
        <v>Semaine 29</v>
      </c>
      <c r="B290" s="65" t="e">
        <f>'MASQUE COLLABORATEUR'!B290</f>
        <v>#N/A</v>
      </c>
      <c r="C290" s="65" t="s">
        <v>141</v>
      </c>
      <c r="D290" s="66" t="e">
        <f>'MASQUE COLLABORATEUR'!D290</f>
        <v>#N/A</v>
      </c>
      <c r="E290" s="66" t="e">
        <f>'MASQUE COLLABORATEUR'!E290</f>
        <v>#N/A</v>
      </c>
      <c r="F290" s="67" t="s">
        <v>110</v>
      </c>
      <c r="H290" s="77" t="s">
        <v>136</v>
      </c>
      <c r="I290" s="78" t="e">
        <f>'MASQUE COLLABORATEUR'!I290</f>
        <v>#N/A</v>
      </c>
      <c r="J290" s="78" t="s">
        <v>141</v>
      </c>
      <c r="K290" s="79" t="e">
        <f>'MASQUE COLLABORATEUR'!K290</f>
        <v>#N/A</v>
      </c>
      <c r="L290" s="80" t="e">
        <f>'MASQUE COLLABORATEUR'!L290</f>
        <v>#N/A</v>
      </c>
      <c r="M290" s="49"/>
    </row>
    <row r="291" spans="1:14" x14ac:dyDescent="0.25">
      <c r="A291" s="69" t="s">
        <v>103</v>
      </c>
      <c r="B291" s="95"/>
      <c r="C291" s="95"/>
      <c r="D291" s="106"/>
      <c r="E291" s="105"/>
      <c r="F291" s="101"/>
      <c r="H291" s="81" t="s">
        <v>103</v>
      </c>
      <c r="I291" s="82">
        <v>0</v>
      </c>
      <c r="J291" s="82">
        <v>0</v>
      </c>
      <c r="K291" s="83">
        <v>0</v>
      </c>
      <c r="L291" s="84">
        <v>0</v>
      </c>
      <c r="M291" s="187"/>
      <c r="N291" s="188"/>
    </row>
    <row r="292" spans="1:14" x14ac:dyDescent="0.25">
      <c r="A292" s="69" t="s">
        <v>104</v>
      </c>
      <c r="B292" s="96"/>
      <c r="C292" s="96"/>
      <c r="D292" s="102"/>
      <c r="E292" s="103"/>
      <c r="F292" s="38"/>
      <c r="H292" s="81" t="s">
        <v>104</v>
      </c>
      <c r="I292" s="88">
        <v>0</v>
      </c>
      <c r="J292" s="88">
        <v>0</v>
      </c>
      <c r="K292" s="89">
        <v>0</v>
      </c>
      <c r="L292" s="90">
        <v>0</v>
      </c>
      <c r="M292" s="49"/>
    </row>
    <row r="293" spans="1:14" x14ac:dyDescent="0.25">
      <c r="A293" s="69" t="s">
        <v>105</v>
      </c>
      <c r="B293" s="96"/>
      <c r="C293" s="96"/>
      <c r="D293" s="102"/>
      <c r="E293" s="103"/>
      <c r="F293" s="38"/>
      <c r="H293" s="81" t="s">
        <v>105</v>
      </c>
      <c r="I293" s="88">
        <v>0</v>
      </c>
      <c r="J293" s="88">
        <v>0</v>
      </c>
      <c r="K293" s="89">
        <v>0</v>
      </c>
      <c r="L293" s="90">
        <v>0</v>
      </c>
      <c r="M293" s="49"/>
    </row>
    <row r="294" spans="1:14" x14ac:dyDescent="0.25">
      <c r="A294" s="69" t="s">
        <v>106</v>
      </c>
      <c r="B294" s="96"/>
      <c r="C294" s="96"/>
      <c r="D294" s="102"/>
      <c r="E294" s="103"/>
      <c r="F294" s="38"/>
      <c r="H294" s="81" t="s">
        <v>106</v>
      </c>
      <c r="I294" s="88">
        <v>0</v>
      </c>
      <c r="J294" s="88">
        <v>0</v>
      </c>
      <c r="K294" s="89">
        <v>0</v>
      </c>
      <c r="L294" s="90">
        <v>0</v>
      </c>
      <c r="M294" s="49"/>
    </row>
    <row r="295" spans="1:14" x14ac:dyDescent="0.25">
      <c r="A295" s="69" t="s">
        <v>107</v>
      </c>
      <c r="B295" s="96"/>
      <c r="C295" s="96"/>
      <c r="D295" s="102"/>
      <c r="E295" s="103"/>
      <c r="F295" s="38"/>
      <c r="H295" s="81" t="s">
        <v>107</v>
      </c>
      <c r="I295" s="88">
        <v>0</v>
      </c>
      <c r="J295" s="88">
        <v>0</v>
      </c>
      <c r="K295" s="89">
        <v>0</v>
      </c>
      <c r="L295" s="90">
        <v>0</v>
      </c>
      <c r="M295" s="187"/>
      <c r="N295" s="190" t="s">
        <v>447</v>
      </c>
    </row>
    <row r="296" spans="1:14" x14ac:dyDescent="0.25">
      <c r="A296" s="69" t="s">
        <v>108</v>
      </c>
      <c r="B296" s="96"/>
      <c r="C296" s="96"/>
      <c r="D296" s="102"/>
      <c r="E296" s="103"/>
      <c r="F296" s="38"/>
      <c r="H296" s="81" t="s">
        <v>108</v>
      </c>
      <c r="I296" s="88">
        <v>0</v>
      </c>
      <c r="J296" s="88">
        <v>0</v>
      </c>
      <c r="K296" s="89">
        <v>0</v>
      </c>
      <c r="L296" s="90">
        <v>0</v>
      </c>
      <c r="M296" s="49"/>
      <c r="N296" s="189">
        <f ca="1">TODAY()</f>
        <v>46181</v>
      </c>
    </row>
    <row r="297" spans="1:14" ht="15.75" thickBot="1" x14ac:dyDescent="0.3">
      <c r="A297" s="70" t="s">
        <v>109</v>
      </c>
      <c r="B297" s="97"/>
      <c r="C297" s="97"/>
      <c r="D297" s="71"/>
      <c r="E297" s="104"/>
      <c r="F297" s="39"/>
      <c r="H297" s="92" t="s">
        <v>109</v>
      </c>
      <c r="I297" s="93">
        <v>0</v>
      </c>
      <c r="J297" s="93">
        <v>0</v>
      </c>
      <c r="K297" s="71">
        <v>0</v>
      </c>
      <c r="L297" s="94">
        <v>0</v>
      </c>
      <c r="M297" s="49"/>
    </row>
    <row r="298" spans="1:14" ht="15" customHeight="1" x14ac:dyDescent="0.25">
      <c r="D298" s="308" t="s">
        <v>443</v>
      </c>
      <c r="E298" s="308"/>
      <c r="F298" s="308"/>
      <c r="G298" s="308"/>
      <c r="H298" s="308"/>
      <c r="I298" s="308"/>
      <c r="J298" s="308"/>
      <c r="K298" s="308"/>
      <c r="L298" s="42" t="s">
        <v>286</v>
      </c>
      <c r="N298" s="43" t="s">
        <v>442</v>
      </c>
    </row>
    <row r="299" spans="1:14" x14ac:dyDescent="0.25">
      <c r="D299" s="308"/>
      <c r="E299" s="308"/>
      <c r="F299" s="308"/>
      <c r="G299" s="308"/>
      <c r="H299" s="308"/>
      <c r="I299" s="308"/>
      <c r="J299" s="308"/>
      <c r="K299" s="308"/>
      <c r="N299" s="43" t="s">
        <v>446</v>
      </c>
    </row>
    <row r="300" spans="1:14" x14ac:dyDescent="0.25">
      <c r="D300" s="308"/>
      <c r="E300" s="308"/>
      <c r="F300" s="308"/>
      <c r="G300" s="308"/>
      <c r="H300" s="308"/>
      <c r="I300" s="308"/>
      <c r="J300" s="308"/>
      <c r="K300" s="308"/>
      <c r="N300" s="44"/>
    </row>
    <row r="301" spans="1:14" x14ac:dyDescent="0.25">
      <c r="A301" s="45" t="s">
        <v>3</v>
      </c>
      <c r="B301" s="46">
        <f>'MASQUE COLLABORATEUR'!B301</f>
        <v>2026</v>
      </c>
      <c r="C301" s="47"/>
      <c r="D301" s="48" t="s">
        <v>1</v>
      </c>
      <c r="E301" s="46">
        <f>'MASQUE COLLABORATEUR'!E301</f>
        <v>0</v>
      </c>
      <c r="F301" s="49"/>
      <c r="G301" s="49"/>
      <c r="H301" s="48" t="s">
        <v>2</v>
      </c>
      <c r="I301" s="47">
        <f>'MASQUE COLLABORATEUR'!I301</f>
        <v>0</v>
      </c>
      <c r="J301" s="50"/>
      <c r="K301" s="50"/>
      <c r="N301" s="44"/>
    </row>
    <row r="302" spans="1:14" ht="15.75" thickBot="1" x14ac:dyDescent="0.3">
      <c r="A302" s="45" t="s">
        <v>10</v>
      </c>
      <c r="B302" s="49"/>
      <c r="C302" s="49"/>
      <c r="D302" s="50" t="str">
        <f>'MASQUE COLLABORATEUR'!D302</f>
        <v>01 juin 2026 au 31 mai 2027.</v>
      </c>
      <c r="E302" s="2"/>
      <c r="H302" s="48" t="s">
        <v>205</v>
      </c>
      <c r="I302" s="47" t="str">
        <f>'MASQUE COLLABORATEUR'!I302</f>
        <v>Juin</v>
      </c>
      <c r="N302" s="44"/>
    </row>
    <row r="303" spans="1:14" x14ac:dyDescent="0.25">
      <c r="A303" s="192" t="s">
        <v>448</v>
      </c>
      <c r="B303" s="193"/>
      <c r="C303" s="193"/>
      <c r="D303" s="194"/>
      <c r="E303" s="194"/>
      <c r="F303" s="194"/>
      <c r="G303" s="194"/>
      <c r="H303" s="194"/>
      <c r="I303" s="194"/>
      <c r="J303" s="194"/>
      <c r="K303" s="194"/>
      <c r="L303" s="194"/>
      <c r="M303" s="194"/>
      <c r="N303" s="195"/>
    </row>
    <row r="304" spans="1:14" ht="15.75" thickBot="1" x14ac:dyDescent="0.3">
      <c r="A304" s="196"/>
      <c r="B304" s="197"/>
      <c r="C304" s="197"/>
      <c r="D304" s="197"/>
      <c r="E304" s="197"/>
      <c r="F304" s="197"/>
      <c r="G304" s="197"/>
      <c r="H304" s="197"/>
      <c r="I304" s="198"/>
      <c r="J304" s="198"/>
      <c r="K304" s="198"/>
      <c r="L304" s="198"/>
      <c r="M304" s="198"/>
      <c r="N304" s="199"/>
    </row>
    <row r="305" spans="1:13" x14ac:dyDescent="0.25">
      <c r="A305" s="49" t="s">
        <v>18</v>
      </c>
      <c r="B305" s="113">
        <f>'MASQUE COLLABORATEUR'!B305</f>
        <v>0</v>
      </c>
      <c r="E305" s="49"/>
      <c r="G305" s="57" t="s">
        <v>317</v>
      </c>
      <c r="H305" s="58" t="e">
        <f>'MASQUE COLLABORATEUR'!H305</f>
        <v>#N/A</v>
      </c>
      <c r="J305" s="10" t="s">
        <v>161</v>
      </c>
      <c r="K305" s="58" t="e">
        <f>'MASQUE COLLABORATEUR'!K305</f>
        <v>#N/A</v>
      </c>
      <c r="L305" s="114" t="s">
        <v>340</v>
      </c>
      <c r="M305" s="115" t="e">
        <f>'MASQUE COLLABORATEUR'!M305</f>
        <v>#N/A</v>
      </c>
    </row>
    <row r="306" spans="1:13" ht="15.75" thickBot="1" x14ac:dyDescent="0.3">
      <c r="A306" s="49" t="s">
        <v>59</v>
      </c>
      <c r="B306" s="2" t="e">
        <f>'MASQUE COLLABORATEUR'!B306</f>
        <v>#N/A</v>
      </c>
      <c r="C306" s="2"/>
      <c r="D306" s="2"/>
      <c r="G306" s="57" t="s">
        <v>158</v>
      </c>
      <c r="H306" s="58" t="e">
        <f>'MASQUE COLLABORATEUR'!H306</f>
        <v>#N/A</v>
      </c>
    </row>
    <row r="307" spans="1:13" ht="15.75" thickBot="1" x14ac:dyDescent="0.3">
      <c r="A307" s="64" t="str">
        <f>A274</f>
        <v>Semaine 25</v>
      </c>
      <c r="B307" s="65" t="e">
        <f>'MASQUE COLLABORATEUR'!B307</f>
        <v>#N/A</v>
      </c>
      <c r="C307" s="65" t="s">
        <v>141</v>
      </c>
      <c r="D307" s="66" t="e">
        <f>'MASQUE COLLABORATEUR'!D307</f>
        <v>#N/A</v>
      </c>
      <c r="E307" s="66" t="e">
        <f>'MASQUE COLLABORATEUR'!E307</f>
        <v>#N/A</v>
      </c>
      <c r="F307" s="67" t="s">
        <v>110</v>
      </c>
      <c r="H307" s="64" t="str">
        <f>H274</f>
        <v>Semaine 26</v>
      </c>
      <c r="I307" s="65" t="e">
        <f>'MASQUE COLLABORATEUR'!I307</f>
        <v>#N/A</v>
      </c>
      <c r="J307" s="65" t="s">
        <v>141</v>
      </c>
      <c r="K307" s="66" t="e">
        <f>'MASQUE COLLABORATEUR'!K307</f>
        <v>#N/A</v>
      </c>
      <c r="L307" s="66" t="e">
        <f>'MASQUE COLLABORATEUR'!L307</f>
        <v>#N/A</v>
      </c>
      <c r="M307" s="67" t="s">
        <v>110</v>
      </c>
    </row>
    <row r="308" spans="1:13" x14ac:dyDescent="0.25">
      <c r="A308" s="68" t="s">
        <v>103</v>
      </c>
      <c r="B308" s="98"/>
      <c r="C308" s="98"/>
      <c r="D308" s="99"/>
      <c r="E308" s="100"/>
      <c r="F308" s="101"/>
      <c r="H308" s="69" t="s">
        <v>103</v>
      </c>
      <c r="I308" s="95"/>
      <c r="J308" s="95"/>
      <c r="K308" s="106"/>
      <c r="L308" s="105"/>
      <c r="M308" s="101"/>
    </row>
    <row r="309" spans="1:13" x14ac:dyDescent="0.25">
      <c r="A309" s="69" t="s">
        <v>104</v>
      </c>
      <c r="B309" s="96"/>
      <c r="C309" s="96"/>
      <c r="D309" s="102"/>
      <c r="E309" s="103"/>
      <c r="F309" s="38"/>
      <c r="H309" s="69" t="s">
        <v>104</v>
      </c>
      <c r="I309" s="96"/>
      <c r="J309" s="96"/>
      <c r="K309" s="102"/>
      <c r="L309" s="103"/>
      <c r="M309" s="38"/>
    </row>
    <row r="310" spans="1:13" x14ac:dyDescent="0.25">
      <c r="A310" s="69" t="s">
        <v>105</v>
      </c>
      <c r="B310" s="96"/>
      <c r="C310" s="96"/>
      <c r="D310" s="102"/>
      <c r="E310" s="103"/>
      <c r="F310" s="38"/>
      <c r="H310" s="69" t="s">
        <v>105</v>
      </c>
      <c r="I310" s="96"/>
      <c r="J310" s="96"/>
      <c r="K310" s="102"/>
      <c r="L310" s="103"/>
      <c r="M310" s="38"/>
    </row>
    <row r="311" spans="1:13" x14ac:dyDescent="0.25">
      <c r="A311" s="69" t="s">
        <v>106</v>
      </c>
      <c r="B311" s="96"/>
      <c r="C311" s="96"/>
      <c r="D311" s="102"/>
      <c r="E311" s="103"/>
      <c r="F311" s="38"/>
      <c r="H311" s="69" t="s">
        <v>106</v>
      </c>
      <c r="I311" s="96"/>
      <c r="J311" s="96"/>
      <c r="K311" s="102"/>
      <c r="L311" s="103"/>
      <c r="M311" s="38"/>
    </row>
    <row r="312" spans="1:13" x14ac:dyDescent="0.25">
      <c r="A312" s="69" t="s">
        <v>107</v>
      </c>
      <c r="B312" s="96"/>
      <c r="C312" s="96"/>
      <c r="D312" s="102"/>
      <c r="E312" s="103"/>
      <c r="F312" s="38"/>
      <c r="H312" s="69" t="s">
        <v>107</v>
      </c>
      <c r="I312" s="96"/>
      <c r="J312" s="96"/>
      <c r="K312" s="102"/>
      <c r="L312" s="103"/>
      <c r="M312" s="38"/>
    </row>
    <row r="313" spans="1:13" x14ac:dyDescent="0.25">
      <c r="A313" s="69" t="s">
        <v>108</v>
      </c>
      <c r="B313" s="96"/>
      <c r="C313" s="96"/>
      <c r="D313" s="102"/>
      <c r="E313" s="103"/>
      <c r="F313" s="38"/>
      <c r="H313" s="69" t="s">
        <v>108</v>
      </c>
      <c r="I313" s="96"/>
      <c r="J313" s="96"/>
      <c r="K313" s="102"/>
      <c r="L313" s="103"/>
      <c r="M313" s="38"/>
    </row>
    <row r="314" spans="1:13" ht="15.75" thickBot="1" x14ac:dyDescent="0.3">
      <c r="A314" s="70" t="s">
        <v>109</v>
      </c>
      <c r="B314" s="97"/>
      <c r="C314" s="97"/>
      <c r="D314" s="71"/>
      <c r="E314" s="104"/>
      <c r="F314" s="38"/>
      <c r="H314" s="70" t="s">
        <v>109</v>
      </c>
      <c r="I314" s="97"/>
      <c r="J314" s="97"/>
      <c r="K314" s="71"/>
      <c r="L314" s="104"/>
      <c r="M314" s="38"/>
    </row>
    <row r="315" spans="1:13" ht="15.75" thickBot="1" x14ac:dyDescent="0.3">
      <c r="A315" s="64" t="str">
        <f>A282</f>
        <v>Semaine 27</v>
      </c>
      <c r="B315" s="65" t="e">
        <f>'MASQUE COLLABORATEUR'!B315</f>
        <v>#N/A</v>
      </c>
      <c r="C315" s="65" t="s">
        <v>141</v>
      </c>
      <c r="D315" s="66" t="e">
        <f>'MASQUE COLLABORATEUR'!D315</f>
        <v>#N/A</v>
      </c>
      <c r="E315" s="66" t="e">
        <f>'MASQUE COLLABORATEUR'!E315</f>
        <v>#N/A</v>
      </c>
      <c r="F315" s="67" t="s">
        <v>110</v>
      </c>
      <c r="H315" s="64" t="str">
        <f>H282</f>
        <v>Semaine 28</v>
      </c>
      <c r="I315" s="65" t="e">
        <f>'MASQUE COLLABORATEUR'!I315</f>
        <v>#N/A</v>
      </c>
      <c r="J315" s="65" t="s">
        <v>141</v>
      </c>
      <c r="K315" s="66" t="e">
        <f>'MASQUE COLLABORATEUR'!K315</f>
        <v>#N/A</v>
      </c>
      <c r="L315" s="66" t="e">
        <f>'MASQUE COLLABORATEUR'!L315</f>
        <v>#N/A</v>
      </c>
      <c r="M315" s="67" t="s">
        <v>110</v>
      </c>
    </row>
    <row r="316" spans="1:13" x14ac:dyDescent="0.25">
      <c r="A316" s="69" t="s">
        <v>103</v>
      </c>
      <c r="B316" s="95"/>
      <c r="C316" s="95"/>
      <c r="D316" s="106"/>
      <c r="E316" s="105"/>
      <c r="F316" s="101"/>
      <c r="H316" s="69" t="s">
        <v>103</v>
      </c>
      <c r="I316" s="95"/>
      <c r="J316" s="95"/>
      <c r="K316" s="106"/>
      <c r="L316" s="105"/>
      <c r="M316" s="101"/>
    </row>
    <row r="317" spans="1:13" x14ac:dyDescent="0.25">
      <c r="A317" s="69" t="s">
        <v>104</v>
      </c>
      <c r="B317" s="96"/>
      <c r="C317" s="96"/>
      <c r="D317" s="102"/>
      <c r="E317" s="103"/>
      <c r="F317" s="38"/>
      <c r="H317" s="69" t="s">
        <v>104</v>
      </c>
      <c r="I317" s="96"/>
      <c r="J317" s="96"/>
      <c r="K317" s="102"/>
      <c r="L317" s="103"/>
      <c r="M317" s="38"/>
    </row>
    <row r="318" spans="1:13" x14ac:dyDescent="0.25">
      <c r="A318" s="69" t="s">
        <v>105</v>
      </c>
      <c r="B318" s="96"/>
      <c r="C318" s="96"/>
      <c r="D318" s="102"/>
      <c r="E318" s="103"/>
      <c r="F318" s="38"/>
      <c r="H318" s="69" t="s">
        <v>105</v>
      </c>
      <c r="I318" s="96"/>
      <c r="J318" s="96"/>
      <c r="K318" s="102"/>
      <c r="L318" s="103"/>
      <c r="M318" s="38"/>
    </row>
    <row r="319" spans="1:13" x14ac:dyDescent="0.25">
      <c r="A319" s="69" t="s">
        <v>106</v>
      </c>
      <c r="B319" s="96"/>
      <c r="C319" s="96"/>
      <c r="D319" s="102"/>
      <c r="E319" s="103"/>
      <c r="F319" s="38"/>
      <c r="H319" s="69" t="s">
        <v>106</v>
      </c>
      <c r="I319" s="96"/>
      <c r="J319" s="96"/>
      <c r="K319" s="102"/>
      <c r="L319" s="103"/>
      <c r="M319" s="38"/>
    </row>
    <row r="320" spans="1:13" x14ac:dyDescent="0.25">
      <c r="A320" s="69" t="s">
        <v>107</v>
      </c>
      <c r="B320" s="96"/>
      <c r="C320" s="96"/>
      <c r="D320" s="102"/>
      <c r="E320" s="103"/>
      <c r="F320" s="38"/>
      <c r="H320" s="69" t="s">
        <v>107</v>
      </c>
      <c r="I320" s="96"/>
      <c r="J320" s="96"/>
      <c r="K320" s="102"/>
      <c r="L320" s="103"/>
      <c r="M320" s="38"/>
    </row>
    <row r="321" spans="1:14" x14ac:dyDescent="0.25">
      <c r="A321" s="69" t="s">
        <v>108</v>
      </c>
      <c r="B321" s="96"/>
      <c r="C321" s="96"/>
      <c r="D321" s="102"/>
      <c r="E321" s="103"/>
      <c r="F321" s="38"/>
      <c r="H321" s="69" t="s">
        <v>108</v>
      </c>
      <c r="I321" s="96"/>
      <c r="J321" s="96"/>
      <c r="K321" s="102"/>
      <c r="L321" s="103"/>
      <c r="M321" s="38"/>
    </row>
    <row r="322" spans="1:14" ht="15.75" thickBot="1" x14ac:dyDescent="0.3">
      <c r="A322" s="70" t="s">
        <v>109</v>
      </c>
      <c r="B322" s="97"/>
      <c r="C322" s="97"/>
      <c r="D322" s="71"/>
      <c r="E322" s="104"/>
      <c r="F322" s="38"/>
      <c r="H322" s="70" t="s">
        <v>109</v>
      </c>
      <c r="I322" s="97"/>
      <c r="J322" s="97"/>
      <c r="K322" s="71"/>
      <c r="L322" s="104"/>
      <c r="M322" s="39"/>
    </row>
    <row r="323" spans="1:14" ht="15.75" thickBot="1" x14ac:dyDescent="0.3">
      <c r="A323" s="64" t="str">
        <f>A290</f>
        <v>Semaine 29</v>
      </c>
      <c r="B323" s="65" t="e">
        <f>'MASQUE COLLABORATEUR'!B323</f>
        <v>#N/A</v>
      </c>
      <c r="C323" s="65" t="s">
        <v>141</v>
      </c>
      <c r="D323" s="66" t="e">
        <f>'MASQUE COLLABORATEUR'!D323</f>
        <v>#N/A</v>
      </c>
      <c r="E323" s="66" t="e">
        <f>'MASQUE COLLABORATEUR'!E323</f>
        <v>#N/A</v>
      </c>
      <c r="F323" s="67" t="s">
        <v>110</v>
      </c>
      <c r="H323" s="77" t="s">
        <v>136</v>
      </c>
      <c r="I323" s="78" t="e">
        <f>'MASQUE COLLABORATEUR'!I323</f>
        <v>#N/A</v>
      </c>
      <c r="J323" s="78" t="s">
        <v>141</v>
      </c>
      <c r="K323" s="79" t="e">
        <f>'MASQUE COLLABORATEUR'!K323</f>
        <v>#N/A</v>
      </c>
      <c r="L323" s="80" t="e">
        <f>'MASQUE COLLABORATEUR'!L323</f>
        <v>#N/A</v>
      </c>
      <c r="M323" s="49"/>
    </row>
    <row r="324" spans="1:14" x14ac:dyDescent="0.25">
      <c r="A324" s="69" t="s">
        <v>103</v>
      </c>
      <c r="B324" s="95"/>
      <c r="C324" s="95"/>
      <c r="D324" s="106"/>
      <c r="E324" s="105"/>
      <c r="F324" s="101"/>
      <c r="H324" s="81" t="s">
        <v>103</v>
      </c>
      <c r="I324" s="82">
        <v>0</v>
      </c>
      <c r="J324" s="82">
        <v>0</v>
      </c>
      <c r="K324" s="83">
        <v>0</v>
      </c>
      <c r="L324" s="84">
        <v>0</v>
      </c>
      <c r="M324" s="187"/>
      <c r="N324" s="188"/>
    </row>
    <row r="325" spans="1:14" x14ac:dyDescent="0.25">
      <c r="A325" s="69" t="s">
        <v>104</v>
      </c>
      <c r="B325" s="96"/>
      <c r="C325" s="96"/>
      <c r="D325" s="102"/>
      <c r="E325" s="103"/>
      <c r="F325" s="38"/>
      <c r="H325" s="81" t="s">
        <v>104</v>
      </c>
      <c r="I325" s="88">
        <v>0</v>
      </c>
      <c r="J325" s="88">
        <v>0</v>
      </c>
      <c r="K325" s="89">
        <v>0</v>
      </c>
      <c r="L325" s="90">
        <v>0</v>
      </c>
      <c r="M325" s="49"/>
    </row>
    <row r="326" spans="1:14" x14ac:dyDescent="0.25">
      <c r="A326" s="69" t="s">
        <v>105</v>
      </c>
      <c r="B326" s="96"/>
      <c r="C326" s="96"/>
      <c r="D326" s="102"/>
      <c r="E326" s="103"/>
      <c r="F326" s="38"/>
      <c r="H326" s="81" t="s">
        <v>105</v>
      </c>
      <c r="I326" s="88">
        <v>0</v>
      </c>
      <c r="J326" s="88">
        <v>0</v>
      </c>
      <c r="K326" s="89">
        <v>0</v>
      </c>
      <c r="L326" s="90">
        <v>0</v>
      </c>
      <c r="M326" s="49"/>
    </row>
    <row r="327" spans="1:14" x14ac:dyDescent="0.25">
      <c r="A327" s="69" t="s">
        <v>106</v>
      </c>
      <c r="B327" s="96"/>
      <c r="C327" s="96"/>
      <c r="D327" s="102"/>
      <c r="E327" s="103"/>
      <c r="F327" s="38"/>
      <c r="H327" s="81" t="s">
        <v>106</v>
      </c>
      <c r="I327" s="88">
        <v>0</v>
      </c>
      <c r="J327" s="88">
        <v>0</v>
      </c>
      <c r="K327" s="89">
        <v>0</v>
      </c>
      <c r="L327" s="90">
        <v>0</v>
      </c>
      <c r="M327" s="49"/>
    </row>
    <row r="328" spans="1:14" x14ac:dyDescent="0.25">
      <c r="A328" s="69" t="s">
        <v>107</v>
      </c>
      <c r="B328" s="96"/>
      <c r="C328" s="96"/>
      <c r="D328" s="102"/>
      <c r="E328" s="103"/>
      <c r="F328" s="38"/>
      <c r="H328" s="81" t="s">
        <v>107</v>
      </c>
      <c r="I328" s="88">
        <v>0</v>
      </c>
      <c r="J328" s="88">
        <v>0</v>
      </c>
      <c r="K328" s="89">
        <v>0</v>
      </c>
      <c r="L328" s="90">
        <v>0</v>
      </c>
      <c r="M328" s="187"/>
      <c r="N328" s="190" t="s">
        <v>447</v>
      </c>
    </row>
    <row r="329" spans="1:14" x14ac:dyDescent="0.25">
      <c r="A329" s="69" t="s">
        <v>108</v>
      </c>
      <c r="B329" s="96"/>
      <c r="C329" s="96"/>
      <c r="D329" s="102"/>
      <c r="E329" s="103"/>
      <c r="F329" s="38"/>
      <c r="H329" s="81" t="s">
        <v>108</v>
      </c>
      <c r="I329" s="88">
        <v>0</v>
      </c>
      <c r="J329" s="88">
        <v>0</v>
      </c>
      <c r="K329" s="89">
        <v>0</v>
      </c>
      <c r="L329" s="90">
        <v>0</v>
      </c>
      <c r="M329" s="49"/>
      <c r="N329" s="189">
        <f ca="1">TODAY()</f>
        <v>46181</v>
      </c>
    </row>
    <row r="330" spans="1:14" ht="15.75" thickBot="1" x14ac:dyDescent="0.3">
      <c r="A330" s="70" t="s">
        <v>109</v>
      </c>
      <c r="B330" s="97"/>
      <c r="C330" s="97"/>
      <c r="D330" s="71"/>
      <c r="E330" s="104"/>
      <c r="F330" s="39"/>
      <c r="H330" s="92" t="s">
        <v>109</v>
      </c>
      <c r="I330" s="93">
        <v>0</v>
      </c>
      <c r="J330" s="93">
        <v>0</v>
      </c>
      <c r="K330" s="71">
        <v>0</v>
      </c>
      <c r="L330" s="94">
        <v>0</v>
      </c>
      <c r="M330" s="49"/>
    </row>
    <row r="331" spans="1:14" ht="15" customHeight="1" x14ac:dyDescent="0.25">
      <c r="D331" s="308" t="s">
        <v>443</v>
      </c>
      <c r="E331" s="308"/>
      <c r="F331" s="308"/>
      <c r="G331" s="308"/>
      <c r="H331" s="308"/>
      <c r="I331" s="308"/>
      <c r="J331" s="308"/>
      <c r="K331" s="308"/>
      <c r="L331" s="42" t="s">
        <v>287</v>
      </c>
      <c r="N331" s="43" t="s">
        <v>442</v>
      </c>
    </row>
    <row r="332" spans="1:14" x14ac:dyDescent="0.25">
      <c r="D332" s="308"/>
      <c r="E332" s="308"/>
      <c r="F332" s="308"/>
      <c r="G332" s="308"/>
      <c r="H332" s="308"/>
      <c r="I332" s="308"/>
      <c r="J332" s="308"/>
      <c r="K332" s="308"/>
      <c r="N332" s="43" t="s">
        <v>446</v>
      </c>
    </row>
    <row r="333" spans="1:14" x14ac:dyDescent="0.25">
      <c r="D333" s="308"/>
      <c r="E333" s="308"/>
      <c r="F333" s="308"/>
      <c r="G333" s="308"/>
      <c r="H333" s="308"/>
      <c r="I333" s="308"/>
      <c r="J333" s="308"/>
      <c r="K333" s="308"/>
      <c r="N333" s="44"/>
    </row>
    <row r="334" spans="1:14" x14ac:dyDescent="0.25">
      <c r="A334" s="45" t="s">
        <v>3</v>
      </c>
      <c r="B334" s="46">
        <f>'MASQUE COLLABORATEUR'!B334</f>
        <v>2026</v>
      </c>
      <c r="C334" s="47"/>
      <c r="D334" s="48" t="s">
        <v>1</v>
      </c>
      <c r="E334" s="46">
        <f>'MASQUE COLLABORATEUR'!E334</f>
        <v>0</v>
      </c>
      <c r="F334" s="49"/>
      <c r="G334" s="49"/>
      <c r="H334" s="48" t="s">
        <v>2</v>
      </c>
      <c r="I334" s="47">
        <f>'MASQUE COLLABORATEUR'!I334</f>
        <v>0</v>
      </c>
      <c r="J334" s="50"/>
      <c r="K334" s="50"/>
      <c r="N334" s="44"/>
    </row>
    <row r="335" spans="1:14" ht="15.75" thickBot="1" x14ac:dyDescent="0.3">
      <c r="A335" s="45" t="s">
        <v>10</v>
      </c>
      <c r="B335" s="49"/>
      <c r="C335" s="49"/>
      <c r="D335" s="50" t="str">
        <f>'MASQUE COLLABORATEUR'!D335</f>
        <v>01 juin 2026 au 31 mai 2027.</v>
      </c>
      <c r="E335" s="2"/>
      <c r="H335" s="48" t="s">
        <v>205</v>
      </c>
      <c r="I335" s="47" t="str">
        <f>'MASQUE COLLABORATEUR'!I335</f>
        <v>Juin</v>
      </c>
      <c r="N335" s="44"/>
    </row>
    <row r="336" spans="1:14" x14ac:dyDescent="0.25">
      <c r="A336" s="192" t="s">
        <v>448</v>
      </c>
      <c r="B336" s="193"/>
      <c r="C336" s="193"/>
      <c r="D336" s="194"/>
      <c r="E336" s="194"/>
      <c r="F336" s="194"/>
      <c r="G336" s="194"/>
      <c r="H336" s="194"/>
      <c r="I336" s="194"/>
      <c r="J336" s="194"/>
      <c r="K336" s="194"/>
      <c r="L336" s="194"/>
      <c r="M336" s="194"/>
      <c r="N336" s="195"/>
    </row>
    <row r="337" spans="1:14" ht="15.75" thickBot="1" x14ac:dyDescent="0.3">
      <c r="A337" s="196"/>
      <c r="B337" s="197"/>
      <c r="C337" s="197"/>
      <c r="D337" s="197"/>
      <c r="E337" s="197"/>
      <c r="F337" s="197"/>
      <c r="G337" s="197"/>
      <c r="H337" s="197"/>
      <c r="I337" s="198"/>
      <c r="J337" s="198"/>
      <c r="K337" s="198"/>
      <c r="L337" s="198"/>
      <c r="M337" s="198"/>
      <c r="N337" s="199"/>
    </row>
    <row r="338" spans="1:14" x14ac:dyDescent="0.25">
      <c r="A338" s="49" t="s">
        <v>18</v>
      </c>
      <c r="B338" s="113">
        <f>'MASQUE COLLABORATEUR'!B338</f>
        <v>0</v>
      </c>
      <c r="E338" s="49"/>
      <c r="G338" s="57" t="s">
        <v>317</v>
      </c>
      <c r="H338" s="58" t="e">
        <f>'MASQUE COLLABORATEUR'!H338</f>
        <v>#N/A</v>
      </c>
      <c r="J338" s="10" t="s">
        <v>161</v>
      </c>
      <c r="K338" s="58" t="e">
        <f>'MASQUE COLLABORATEUR'!K338</f>
        <v>#N/A</v>
      </c>
      <c r="L338" s="114" t="s">
        <v>340</v>
      </c>
      <c r="M338" s="115" t="e">
        <f>'MASQUE COLLABORATEUR'!M338</f>
        <v>#N/A</v>
      </c>
    </row>
    <row r="339" spans="1:14" ht="15.75" thickBot="1" x14ac:dyDescent="0.3">
      <c r="A339" s="49" t="s">
        <v>59</v>
      </c>
      <c r="B339" s="2" t="e">
        <f>'MASQUE COLLABORATEUR'!B339</f>
        <v>#N/A</v>
      </c>
      <c r="C339" s="2"/>
      <c r="D339" s="2"/>
      <c r="G339" s="57" t="s">
        <v>158</v>
      </c>
      <c r="H339" s="58" t="e">
        <f>'MASQUE COLLABORATEUR'!H339</f>
        <v>#N/A</v>
      </c>
    </row>
    <row r="340" spans="1:14" ht="15.75" thickBot="1" x14ac:dyDescent="0.3">
      <c r="A340" s="64" t="str">
        <f>A307</f>
        <v>Semaine 25</v>
      </c>
      <c r="B340" s="65" t="e">
        <f>'MASQUE COLLABORATEUR'!B340</f>
        <v>#N/A</v>
      </c>
      <c r="C340" s="65" t="s">
        <v>141</v>
      </c>
      <c r="D340" s="66" t="e">
        <f>'MASQUE COLLABORATEUR'!D340</f>
        <v>#N/A</v>
      </c>
      <c r="E340" s="66" t="e">
        <f>'MASQUE COLLABORATEUR'!E340</f>
        <v>#N/A</v>
      </c>
      <c r="F340" s="67" t="s">
        <v>110</v>
      </c>
      <c r="H340" s="64" t="str">
        <f>H307</f>
        <v>Semaine 26</v>
      </c>
      <c r="I340" s="65" t="e">
        <f>'MASQUE COLLABORATEUR'!I340</f>
        <v>#N/A</v>
      </c>
      <c r="J340" s="65" t="s">
        <v>141</v>
      </c>
      <c r="K340" s="66" t="e">
        <f>'MASQUE COLLABORATEUR'!K340</f>
        <v>#N/A</v>
      </c>
      <c r="L340" s="66" t="e">
        <f>'MASQUE COLLABORATEUR'!L340</f>
        <v>#N/A</v>
      </c>
      <c r="M340" s="67" t="s">
        <v>110</v>
      </c>
    </row>
    <row r="341" spans="1:14" x14ac:dyDescent="0.25">
      <c r="A341" s="68" t="s">
        <v>103</v>
      </c>
      <c r="B341" s="98"/>
      <c r="C341" s="98"/>
      <c r="D341" s="99"/>
      <c r="E341" s="100"/>
      <c r="F341" s="101"/>
      <c r="H341" s="69" t="s">
        <v>103</v>
      </c>
      <c r="I341" s="95"/>
      <c r="J341" s="95"/>
      <c r="K341" s="106"/>
      <c r="L341" s="105"/>
      <c r="M341" s="101"/>
    </row>
    <row r="342" spans="1:14" x14ac:dyDescent="0.25">
      <c r="A342" s="69" t="s">
        <v>104</v>
      </c>
      <c r="B342" s="96"/>
      <c r="C342" s="96"/>
      <c r="D342" s="102"/>
      <c r="E342" s="103"/>
      <c r="F342" s="38"/>
      <c r="H342" s="69" t="s">
        <v>104</v>
      </c>
      <c r="I342" s="96"/>
      <c r="J342" s="96"/>
      <c r="K342" s="102"/>
      <c r="L342" s="103"/>
      <c r="M342" s="38"/>
    </row>
    <row r="343" spans="1:14" x14ac:dyDescent="0.25">
      <c r="A343" s="69" t="s">
        <v>105</v>
      </c>
      <c r="B343" s="96"/>
      <c r="C343" s="96"/>
      <c r="D343" s="102"/>
      <c r="E343" s="103"/>
      <c r="F343" s="38"/>
      <c r="H343" s="69" t="s">
        <v>105</v>
      </c>
      <c r="I343" s="96"/>
      <c r="J343" s="96"/>
      <c r="K343" s="102"/>
      <c r="L343" s="103"/>
      <c r="M343" s="38"/>
    </row>
    <row r="344" spans="1:14" x14ac:dyDescent="0.25">
      <c r="A344" s="69" t="s">
        <v>106</v>
      </c>
      <c r="B344" s="96"/>
      <c r="C344" s="96"/>
      <c r="D344" s="102"/>
      <c r="E344" s="103"/>
      <c r="F344" s="38"/>
      <c r="H344" s="69" t="s">
        <v>106</v>
      </c>
      <c r="I344" s="96"/>
      <c r="J344" s="96"/>
      <c r="K344" s="102"/>
      <c r="L344" s="103"/>
      <c r="M344" s="38"/>
    </row>
    <row r="345" spans="1:14" x14ac:dyDescent="0.25">
      <c r="A345" s="69" t="s">
        <v>107</v>
      </c>
      <c r="B345" s="96"/>
      <c r="C345" s="96"/>
      <c r="D345" s="102"/>
      <c r="E345" s="103"/>
      <c r="F345" s="38"/>
      <c r="H345" s="69" t="s">
        <v>107</v>
      </c>
      <c r="I345" s="96"/>
      <c r="J345" s="96"/>
      <c r="K345" s="102"/>
      <c r="L345" s="103"/>
      <c r="M345" s="38"/>
    </row>
    <row r="346" spans="1:14" x14ac:dyDescent="0.25">
      <c r="A346" s="69" t="s">
        <v>108</v>
      </c>
      <c r="B346" s="96"/>
      <c r="C346" s="96"/>
      <c r="D346" s="102"/>
      <c r="E346" s="103"/>
      <c r="F346" s="38"/>
      <c r="H346" s="69" t="s">
        <v>108</v>
      </c>
      <c r="I346" s="96"/>
      <c r="J346" s="96"/>
      <c r="K346" s="102"/>
      <c r="L346" s="103"/>
      <c r="M346" s="38"/>
    </row>
    <row r="347" spans="1:14" ht="15.75" thickBot="1" x14ac:dyDescent="0.3">
      <c r="A347" s="70" t="s">
        <v>109</v>
      </c>
      <c r="B347" s="97"/>
      <c r="C347" s="97"/>
      <c r="D347" s="71"/>
      <c r="E347" s="104"/>
      <c r="F347" s="38"/>
      <c r="H347" s="70" t="s">
        <v>109</v>
      </c>
      <c r="I347" s="97"/>
      <c r="J347" s="97"/>
      <c r="K347" s="71"/>
      <c r="L347" s="104"/>
      <c r="M347" s="38"/>
    </row>
    <row r="348" spans="1:14" ht="15.75" thickBot="1" x14ac:dyDescent="0.3">
      <c r="A348" s="64" t="str">
        <f>A315</f>
        <v>Semaine 27</v>
      </c>
      <c r="B348" s="65" t="e">
        <f>'MASQUE COLLABORATEUR'!B348</f>
        <v>#N/A</v>
      </c>
      <c r="C348" s="65" t="s">
        <v>141</v>
      </c>
      <c r="D348" s="66" t="e">
        <f>'MASQUE COLLABORATEUR'!D348</f>
        <v>#N/A</v>
      </c>
      <c r="E348" s="66" t="e">
        <f>'MASQUE COLLABORATEUR'!E348</f>
        <v>#N/A</v>
      </c>
      <c r="F348" s="67" t="s">
        <v>110</v>
      </c>
      <c r="H348" s="64" t="str">
        <f>H315</f>
        <v>Semaine 28</v>
      </c>
      <c r="I348" s="65" t="e">
        <f>'MASQUE COLLABORATEUR'!I348</f>
        <v>#N/A</v>
      </c>
      <c r="J348" s="65" t="s">
        <v>141</v>
      </c>
      <c r="K348" s="66" t="e">
        <f>'MASQUE COLLABORATEUR'!K348</f>
        <v>#N/A</v>
      </c>
      <c r="L348" s="66" t="e">
        <f>'MASQUE COLLABORATEUR'!L348</f>
        <v>#N/A</v>
      </c>
      <c r="M348" s="67" t="s">
        <v>110</v>
      </c>
    </row>
    <row r="349" spans="1:14" x14ac:dyDescent="0.25">
      <c r="A349" s="69" t="s">
        <v>103</v>
      </c>
      <c r="B349" s="95"/>
      <c r="C349" s="95"/>
      <c r="D349" s="106"/>
      <c r="E349" s="105"/>
      <c r="F349" s="101"/>
      <c r="H349" s="69" t="s">
        <v>103</v>
      </c>
      <c r="I349" s="95"/>
      <c r="J349" s="95"/>
      <c r="K349" s="106"/>
      <c r="L349" s="105"/>
      <c r="M349" s="101"/>
    </row>
    <row r="350" spans="1:14" x14ac:dyDescent="0.25">
      <c r="A350" s="69" t="s">
        <v>104</v>
      </c>
      <c r="B350" s="96"/>
      <c r="C350" s="96"/>
      <c r="D350" s="102"/>
      <c r="E350" s="103"/>
      <c r="F350" s="38"/>
      <c r="H350" s="69" t="s">
        <v>104</v>
      </c>
      <c r="I350" s="96"/>
      <c r="J350" s="96"/>
      <c r="K350" s="102"/>
      <c r="L350" s="103"/>
      <c r="M350" s="38"/>
    </row>
    <row r="351" spans="1:14" x14ac:dyDescent="0.25">
      <c r="A351" s="69" t="s">
        <v>105</v>
      </c>
      <c r="B351" s="96"/>
      <c r="C351" s="96"/>
      <c r="D351" s="102"/>
      <c r="E351" s="103"/>
      <c r="F351" s="38"/>
      <c r="H351" s="69" t="s">
        <v>105</v>
      </c>
      <c r="I351" s="96"/>
      <c r="J351" s="96"/>
      <c r="K351" s="102"/>
      <c r="L351" s="103"/>
      <c r="M351" s="38"/>
    </row>
    <row r="352" spans="1:14" x14ac:dyDescent="0.25">
      <c r="A352" s="69" t="s">
        <v>106</v>
      </c>
      <c r="B352" s="96"/>
      <c r="C352" s="96"/>
      <c r="D352" s="102"/>
      <c r="E352" s="103"/>
      <c r="F352" s="38"/>
      <c r="H352" s="69" t="s">
        <v>106</v>
      </c>
      <c r="I352" s="96"/>
      <c r="J352" s="96"/>
      <c r="K352" s="102"/>
      <c r="L352" s="103"/>
      <c r="M352" s="38"/>
    </row>
    <row r="353" spans="1:14" x14ac:dyDescent="0.25">
      <c r="A353" s="69" t="s">
        <v>107</v>
      </c>
      <c r="B353" s="96"/>
      <c r="C353" s="96"/>
      <c r="D353" s="102"/>
      <c r="E353" s="103"/>
      <c r="F353" s="38"/>
      <c r="H353" s="69" t="s">
        <v>107</v>
      </c>
      <c r="I353" s="96"/>
      <c r="J353" s="96"/>
      <c r="K353" s="102"/>
      <c r="L353" s="103"/>
      <c r="M353" s="38"/>
    </row>
    <row r="354" spans="1:14" x14ac:dyDescent="0.25">
      <c r="A354" s="69" t="s">
        <v>108</v>
      </c>
      <c r="B354" s="96"/>
      <c r="C354" s="96"/>
      <c r="D354" s="102"/>
      <c r="E354" s="103"/>
      <c r="F354" s="38"/>
      <c r="H354" s="69" t="s">
        <v>108</v>
      </c>
      <c r="I354" s="96"/>
      <c r="J354" s="96"/>
      <c r="K354" s="102"/>
      <c r="L354" s="103"/>
      <c r="M354" s="38"/>
    </row>
    <row r="355" spans="1:14" ht="15.75" thickBot="1" x14ac:dyDescent="0.3">
      <c r="A355" s="70" t="s">
        <v>109</v>
      </c>
      <c r="B355" s="97"/>
      <c r="C355" s="97"/>
      <c r="D355" s="71"/>
      <c r="E355" s="104"/>
      <c r="F355" s="38"/>
      <c r="H355" s="70" t="s">
        <v>109</v>
      </c>
      <c r="I355" s="97"/>
      <c r="J355" s="97"/>
      <c r="K355" s="71"/>
      <c r="L355" s="104"/>
      <c r="M355" s="39"/>
    </row>
    <row r="356" spans="1:14" ht="15.75" thickBot="1" x14ac:dyDescent="0.3">
      <c r="A356" s="64" t="str">
        <f>A323</f>
        <v>Semaine 29</v>
      </c>
      <c r="B356" s="65" t="e">
        <f>'MASQUE COLLABORATEUR'!B356</f>
        <v>#N/A</v>
      </c>
      <c r="C356" s="65" t="s">
        <v>141</v>
      </c>
      <c r="D356" s="66" t="e">
        <f>'MASQUE COLLABORATEUR'!D356</f>
        <v>#N/A</v>
      </c>
      <c r="E356" s="66" t="e">
        <f>'MASQUE COLLABORATEUR'!E356</f>
        <v>#N/A</v>
      </c>
      <c r="F356" s="67" t="s">
        <v>110</v>
      </c>
      <c r="H356" s="77" t="s">
        <v>136</v>
      </c>
      <c r="I356" s="78" t="e">
        <f>'MASQUE COLLABORATEUR'!I356</f>
        <v>#N/A</v>
      </c>
      <c r="J356" s="78" t="s">
        <v>141</v>
      </c>
      <c r="K356" s="79" t="e">
        <f>'MASQUE COLLABORATEUR'!K356</f>
        <v>#N/A</v>
      </c>
      <c r="L356" s="80" t="e">
        <f>'MASQUE COLLABORATEUR'!L356</f>
        <v>#N/A</v>
      </c>
      <c r="M356" s="49"/>
    </row>
    <row r="357" spans="1:14" x14ac:dyDescent="0.25">
      <c r="A357" s="69" t="s">
        <v>103</v>
      </c>
      <c r="B357" s="95"/>
      <c r="C357" s="95"/>
      <c r="D357" s="106"/>
      <c r="E357" s="105"/>
      <c r="F357" s="101"/>
      <c r="H357" s="81" t="s">
        <v>103</v>
      </c>
      <c r="I357" s="82">
        <v>0</v>
      </c>
      <c r="J357" s="82">
        <v>0</v>
      </c>
      <c r="K357" s="83">
        <v>0</v>
      </c>
      <c r="L357" s="84">
        <v>0</v>
      </c>
      <c r="M357" s="187"/>
      <c r="N357" s="188"/>
    </row>
    <row r="358" spans="1:14" x14ac:dyDescent="0.25">
      <c r="A358" s="69" t="s">
        <v>104</v>
      </c>
      <c r="B358" s="96"/>
      <c r="C358" s="96"/>
      <c r="D358" s="102"/>
      <c r="E358" s="103"/>
      <c r="F358" s="38"/>
      <c r="H358" s="81" t="s">
        <v>104</v>
      </c>
      <c r="I358" s="88">
        <v>0</v>
      </c>
      <c r="J358" s="88">
        <v>0</v>
      </c>
      <c r="K358" s="89">
        <v>0</v>
      </c>
      <c r="L358" s="90">
        <v>0</v>
      </c>
      <c r="M358" s="49"/>
    </row>
    <row r="359" spans="1:14" x14ac:dyDescent="0.25">
      <c r="A359" s="69" t="s">
        <v>105</v>
      </c>
      <c r="B359" s="96"/>
      <c r="C359" s="96"/>
      <c r="D359" s="102"/>
      <c r="E359" s="103"/>
      <c r="F359" s="38"/>
      <c r="H359" s="81" t="s">
        <v>105</v>
      </c>
      <c r="I359" s="88">
        <v>0</v>
      </c>
      <c r="J359" s="88">
        <v>0</v>
      </c>
      <c r="K359" s="89">
        <v>0</v>
      </c>
      <c r="L359" s="90">
        <v>0</v>
      </c>
      <c r="M359" s="49"/>
    </row>
    <row r="360" spans="1:14" x14ac:dyDescent="0.25">
      <c r="A360" s="69" t="s">
        <v>106</v>
      </c>
      <c r="B360" s="96"/>
      <c r="C360" s="96"/>
      <c r="D360" s="102"/>
      <c r="E360" s="103"/>
      <c r="F360" s="38"/>
      <c r="H360" s="81" t="s">
        <v>106</v>
      </c>
      <c r="I360" s="88">
        <v>0</v>
      </c>
      <c r="J360" s="88">
        <v>0</v>
      </c>
      <c r="K360" s="89">
        <v>0</v>
      </c>
      <c r="L360" s="90">
        <v>0</v>
      </c>
      <c r="M360" s="49"/>
    </row>
    <row r="361" spans="1:14" x14ac:dyDescent="0.25">
      <c r="A361" s="69" t="s">
        <v>107</v>
      </c>
      <c r="B361" s="96"/>
      <c r="C361" s="96"/>
      <c r="D361" s="102"/>
      <c r="E361" s="103"/>
      <c r="F361" s="38"/>
      <c r="H361" s="81" t="s">
        <v>107</v>
      </c>
      <c r="I361" s="88">
        <v>0</v>
      </c>
      <c r="J361" s="88">
        <v>0</v>
      </c>
      <c r="K361" s="89">
        <v>0</v>
      </c>
      <c r="L361" s="90">
        <v>0</v>
      </c>
      <c r="M361" s="187"/>
      <c r="N361" s="190" t="s">
        <v>447</v>
      </c>
    </row>
    <row r="362" spans="1:14" x14ac:dyDescent="0.25">
      <c r="A362" s="69" t="s">
        <v>108</v>
      </c>
      <c r="B362" s="96"/>
      <c r="C362" s="96"/>
      <c r="D362" s="102"/>
      <c r="E362" s="103"/>
      <c r="F362" s="38"/>
      <c r="H362" s="81" t="s">
        <v>108</v>
      </c>
      <c r="I362" s="88">
        <v>0</v>
      </c>
      <c r="J362" s="88">
        <v>0</v>
      </c>
      <c r="K362" s="89">
        <v>0</v>
      </c>
      <c r="L362" s="90">
        <v>0</v>
      </c>
      <c r="M362" s="49"/>
      <c r="N362" s="189">
        <f ca="1">TODAY()</f>
        <v>46181</v>
      </c>
    </row>
    <row r="363" spans="1:14" ht="15.75" thickBot="1" x14ac:dyDescent="0.3">
      <c r="A363" s="70" t="s">
        <v>109</v>
      </c>
      <c r="B363" s="97"/>
      <c r="C363" s="97"/>
      <c r="D363" s="71"/>
      <c r="E363" s="104"/>
      <c r="F363" s="39"/>
      <c r="H363" s="92" t="s">
        <v>109</v>
      </c>
      <c r="I363" s="93">
        <v>0</v>
      </c>
      <c r="J363" s="93">
        <v>0</v>
      </c>
      <c r="K363" s="71">
        <v>0</v>
      </c>
      <c r="L363" s="94">
        <v>0</v>
      </c>
      <c r="M363" s="49"/>
    </row>
    <row r="364" spans="1:14" ht="15" customHeight="1" x14ac:dyDescent="0.25">
      <c r="D364" s="308" t="s">
        <v>443</v>
      </c>
      <c r="E364" s="308"/>
      <c r="F364" s="308"/>
      <c r="G364" s="308"/>
      <c r="H364" s="308"/>
      <c r="I364" s="308"/>
      <c r="J364" s="308"/>
      <c r="K364" s="308"/>
      <c r="L364" s="42" t="s">
        <v>288</v>
      </c>
      <c r="N364" s="43" t="s">
        <v>442</v>
      </c>
    </row>
    <row r="365" spans="1:14" x14ac:dyDescent="0.25">
      <c r="D365" s="308"/>
      <c r="E365" s="308"/>
      <c r="F365" s="308"/>
      <c r="G365" s="308"/>
      <c r="H365" s="308"/>
      <c r="I365" s="308"/>
      <c r="J365" s="308"/>
      <c r="K365" s="308"/>
      <c r="N365" s="43" t="s">
        <v>446</v>
      </c>
    </row>
    <row r="366" spans="1:14" x14ac:dyDescent="0.25">
      <c r="D366" s="308"/>
      <c r="E366" s="308"/>
      <c r="F366" s="308"/>
      <c r="G366" s="308"/>
      <c r="H366" s="308"/>
      <c r="I366" s="308"/>
      <c r="J366" s="308"/>
      <c r="K366" s="308"/>
      <c r="N366" s="44"/>
    </row>
    <row r="367" spans="1:14" x14ac:dyDescent="0.25">
      <c r="A367" s="45" t="s">
        <v>3</v>
      </c>
      <c r="B367" s="46">
        <f>'MASQUE COLLABORATEUR'!B367</f>
        <v>2026</v>
      </c>
      <c r="C367" s="47"/>
      <c r="D367" s="48" t="s">
        <v>1</v>
      </c>
      <c r="E367" s="46">
        <f>'MASQUE COLLABORATEUR'!E367</f>
        <v>0</v>
      </c>
      <c r="F367" s="49"/>
      <c r="G367" s="49"/>
      <c r="H367" s="48" t="s">
        <v>2</v>
      </c>
      <c r="I367" s="47">
        <f>'MASQUE COLLABORATEUR'!I367</f>
        <v>0</v>
      </c>
      <c r="J367" s="50"/>
      <c r="K367" s="50"/>
      <c r="N367" s="44"/>
    </row>
    <row r="368" spans="1:14" ht="15.75" thickBot="1" x14ac:dyDescent="0.3">
      <c r="A368" s="45" t="s">
        <v>10</v>
      </c>
      <c r="B368" s="49"/>
      <c r="C368" s="49"/>
      <c r="D368" s="50" t="str">
        <f>'MASQUE COLLABORATEUR'!D368</f>
        <v>01 juin 2026 au 31 mai 2027.</v>
      </c>
      <c r="E368" s="2"/>
      <c r="H368" s="48" t="s">
        <v>205</v>
      </c>
      <c r="I368" s="47" t="str">
        <f>'MASQUE COLLABORATEUR'!I368</f>
        <v>Juin</v>
      </c>
      <c r="N368" s="44"/>
    </row>
    <row r="369" spans="1:14" x14ac:dyDescent="0.25">
      <c r="A369" s="192" t="s">
        <v>448</v>
      </c>
      <c r="B369" s="193"/>
      <c r="C369" s="193"/>
      <c r="D369" s="194"/>
      <c r="E369" s="194"/>
      <c r="F369" s="194"/>
      <c r="G369" s="194"/>
      <c r="H369" s="194"/>
      <c r="I369" s="194"/>
      <c r="J369" s="194"/>
      <c r="K369" s="194"/>
      <c r="L369" s="194"/>
      <c r="M369" s="194"/>
      <c r="N369" s="195"/>
    </row>
    <row r="370" spans="1:14" ht="15.75" thickBot="1" x14ac:dyDescent="0.3">
      <c r="A370" s="196"/>
      <c r="B370" s="197"/>
      <c r="C370" s="197"/>
      <c r="D370" s="197"/>
      <c r="E370" s="197"/>
      <c r="F370" s="197"/>
      <c r="G370" s="197"/>
      <c r="H370" s="197"/>
      <c r="I370" s="198"/>
      <c r="J370" s="198"/>
      <c r="K370" s="198"/>
      <c r="L370" s="198"/>
      <c r="M370" s="198"/>
      <c r="N370" s="199"/>
    </row>
    <row r="371" spans="1:14" x14ac:dyDescent="0.25">
      <c r="A371" s="49" t="s">
        <v>18</v>
      </c>
      <c r="B371" s="113">
        <f>'MASQUE COLLABORATEUR'!B371</f>
        <v>0</v>
      </c>
      <c r="E371" s="49"/>
      <c r="G371" s="57" t="s">
        <v>317</v>
      </c>
      <c r="H371" s="58" t="e">
        <f>'MASQUE COLLABORATEUR'!H371</f>
        <v>#N/A</v>
      </c>
      <c r="J371" s="10" t="s">
        <v>161</v>
      </c>
      <c r="K371" s="58" t="e">
        <f>'MASQUE COLLABORATEUR'!K371</f>
        <v>#N/A</v>
      </c>
      <c r="L371" s="114" t="s">
        <v>340</v>
      </c>
      <c r="M371" s="115" t="e">
        <f>'MASQUE COLLABORATEUR'!M371</f>
        <v>#N/A</v>
      </c>
    </row>
    <row r="372" spans="1:14" ht="15.75" thickBot="1" x14ac:dyDescent="0.3">
      <c r="A372" s="49" t="s">
        <v>59</v>
      </c>
      <c r="B372" s="2" t="e">
        <f>'MASQUE COLLABORATEUR'!B372</f>
        <v>#N/A</v>
      </c>
      <c r="C372" s="2"/>
      <c r="D372" s="2"/>
      <c r="G372" s="57" t="s">
        <v>158</v>
      </c>
      <c r="H372" s="58" t="e">
        <f>'MASQUE COLLABORATEUR'!H372</f>
        <v>#N/A</v>
      </c>
    </row>
    <row r="373" spans="1:14" ht="15.75" thickBot="1" x14ac:dyDescent="0.3">
      <c r="A373" s="64" t="str">
        <f>A340</f>
        <v>Semaine 25</v>
      </c>
      <c r="B373" s="65" t="e">
        <f>'MASQUE COLLABORATEUR'!B373</f>
        <v>#N/A</v>
      </c>
      <c r="C373" s="65" t="s">
        <v>141</v>
      </c>
      <c r="D373" s="66" t="e">
        <f>'MASQUE COLLABORATEUR'!D373</f>
        <v>#N/A</v>
      </c>
      <c r="E373" s="66" t="e">
        <f>'MASQUE COLLABORATEUR'!E373</f>
        <v>#N/A</v>
      </c>
      <c r="F373" s="67" t="s">
        <v>110</v>
      </c>
      <c r="H373" s="64" t="str">
        <f>H340</f>
        <v>Semaine 26</v>
      </c>
      <c r="I373" s="65" t="e">
        <f>'MASQUE COLLABORATEUR'!I373</f>
        <v>#N/A</v>
      </c>
      <c r="J373" s="65" t="s">
        <v>141</v>
      </c>
      <c r="K373" s="66" t="e">
        <f>'MASQUE COLLABORATEUR'!K373</f>
        <v>#N/A</v>
      </c>
      <c r="L373" s="66" t="e">
        <f>'MASQUE COLLABORATEUR'!L373</f>
        <v>#N/A</v>
      </c>
      <c r="M373" s="67" t="s">
        <v>110</v>
      </c>
    </row>
    <row r="374" spans="1:14" x14ac:dyDescent="0.25">
      <c r="A374" s="68" t="s">
        <v>103</v>
      </c>
      <c r="B374" s="98"/>
      <c r="C374" s="98"/>
      <c r="D374" s="99"/>
      <c r="E374" s="100"/>
      <c r="F374" s="101"/>
      <c r="H374" s="69" t="s">
        <v>103</v>
      </c>
      <c r="I374" s="95"/>
      <c r="J374" s="95"/>
      <c r="K374" s="106"/>
      <c r="L374" s="105"/>
      <c r="M374" s="101"/>
    </row>
    <row r="375" spans="1:14" x14ac:dyDescent="0.25">
      <c r="A375" s="69" t="s">
        <v>104</v>
      </c>
      <c r="B375" s="96"/>
      <c r="C375" s="96"/>
      <c r="D375" s="102"/>
      <c r="E375" s="103"/>
      <c r="F375" s="38"/>
      <c r="H375" s="69" t="s">
        <v>104</v>
      </c>
      <c r="I375" s="96"/>
      <c r="J375" s="96"/>
      <c r="K375" s="102"/>
      <c r="L375" s="103"/>
      <c r="M375" s="38"/>
    </row>
    <row r="376" spans="1:14" x14ac:dyDescent="0.25">
      <c r="A376" s="69" t="s">
        <v>105</v>
      </c>
      <c r="B376" s="96"/>
      <c r="C376" s="96"/>
      <c r="D376" s="102"/>
      <c r="E376" s="103"/>
      <c r="F376" s="38"/>
      <c r="H376" s="69" t="s">
        <v>105</v>
      </c>
      <c r="I376" s="96"/>
      <c r="J376" s="96"/>
      <c r="K376" s="102"/>
      <c r="L376" s="103"/>
      <c r="M376" s="38"/>
    </row>
    <row r="377" spans="1:14" x14ac:dyDescent="0.25">
      <c r="A377" s="69" t="s">
        <v>106</v>
      </c>
      <c r="B377" s="96"/>
      <c r="C377" s="96"/>
      <c r="D377" s="102"/>
      <c r="E377" s="103"/>
      <c r="F377" s="38"/>
      <c r="H377" s="69" t="s">
        <v>106</v>
      </c>
      <c r="I377" s="96"/>
      <c r="J377" s="96"/>
      <c r="K377" s="102"/>
      <c r="L377" s="103"/>
      <c r="M377" s="38"/>
    </row>
    <row r="378" spans="1:14" x14ac:dyDescent="0.25">
      <c r="A378" s="69" t="s">
        <v>107</v>
      </c>
      <c r="B378" s="96"/>
      <c r="C378" s="96"/>
      <c r="D378" s="102"/>
      <c r="E378" s="103"/>
      <c r="F378" s="38"/>
      <c r="H378" s="69" t="s">
        <v>107</v>
      </c>
      <c r="I378" s="96"/>
      <c r="J378" s="96"/>
      <c r="K378" s="102"/>
      <c r="L378" s="103"/>
      <c r="M378" s="38"/>
    </row>
    <row r="379" spans="1:14" x14ac:dyDescent="0.25">
      <c r="A379" s="69" t="s">
        <v>108</v>
      </c>
      <c r="B379" s="96"/>
      <c r="C379" s="96"/>
      <c r="D379" s="102"/>
      <c r="E379" s="103"/>
      <c r="F379" s="38"/>
      <c r="H379" s="69" t="s">
        <v>108</v>
      </c>
      <c r="I379" s="96"/>
      <c r="J379" s="96"/>
      <c r="K379" s="102"/>
      <c r="L379" s="103"/>
      <c r="M379" s="38"/>
    </row>
    <row r="380" spans="1:14" ht="15.75" thickBot="1" x14ac:dyDescent="0.3">
      <c r="A380" s="70" t="s">
        <v>109</v>
      </c>
      <c r="B380" s="97"/>
      <c r="C380" s="97"/>
      <c r="D380" s="71"/>
      <c r="E380" s="104"/>
      <c r="F380" s="38"/>
      <c r="H380" s="70" t="s">
        <v>109</v>
      </c>
      <c r="I380" s="97"/>
      <c r="J380" s="97"/>
      <c r="K380" s="71"/>
      <c r="L380" s="104"/>
      <c r="M380" s="38"/>
    </row>
    <row r="381" spans="1:14" ht="15.75" thickBot="1" x14ac:dyDescent="0.3">
      <c r="A381" s="64" t="str">
        <f>A348</f>
        <v>Semaine 27</v>
      </c>
      <c r="B381" s="65" t="e">
        <f>'MASQUE COLLABORATEUR'!B381</f>
        <v>#N/A</v>
      </c>
      <c r="C381" s="65" t="s">
        <v>141</v>
      </c>
      <c r="D381" s="66" t="e">
        <f>'MASQUE COLLABORATEUR'!D381</f>
        <v>#N/A</v>
      </c>
      <c r="E381" s="66" t="e">
        <f>'MASQUE COLLABORATEUR'!E381</f>
        <v>#N/A</v>
      </c>
      <c r="F381" s="67" t="s">
        <v>110</v>
      </c>
      <c r="H381" s="64" t="str">
        <f>H348</f>
        <v>Semaine 28</v>
      </c>
      <c r="I381" s="65" t="e">
        <f>'MASQUE COLLABORATEUR'!I381</f>
        <v>#N/A</v>
      </c>
      <c r="J381" s="65" t="s">
        <v>141</v>
      </c>
      <c r="K381" s="66" t="e">
        <f>'MASQUE COLLABORATEUR'!K381</f>
        <v>#N/A</v>
      </c>
      <c r="L381" s="66" t="e">
        <f>'MASQUE COLLABORATEUR'!L381</f>
        <v>#N/A</v>
      </c>
      <c r="M381" s="67" t="s">
        <v>110</v>
      </c>
    </row>
    <row r="382" spans="1:14" x14ac:dyDescent="0.25">
      <c r="A382" s="69" t="s">
        <v>103</v>
      </c>
      <c r="B382" s="95"/>
      <c r="C382" s="95"/>
      <c r="D382" s="106"/>
      <c r="E382" s="105"/>
      <c r="F382" s="101"/>
      <c r="H382" s="69" t="s">
        <v>103</v>
      </c>
      <c r="I382" s="95"/>
      <c r="J382" s="95"/>
      <c r="K382" s="106"/>
      <c r="L382" s="105"/>
      <c r="M382" s="101"/>
    </row>
    <row r="383" spans="1:14" x14ac:dyDescent="0.25">
      <c r="A383" s="69" t="s">
        <v>104</v>
      </c>
      <c r="B383" s="96"/>
      <c r="C383" s="96"/>
      <c r="D383" s="102"/>
      <c r="E383" s="103"/>
      <c r="F383" s="38"/>
      <c r="H383" s="69" t="s">
        <v>104</v>
      </c>
      <c r="I383" s="96"/>
      <c r="J383" s="96"/>
      <c r="K383" s="102"/>
      <c r="L383" s="103"/>
      <c r="M383" s="38"/>
    </row>
    <row r="384" spans="1:14" x14ac:dyDescent="0.25">
      <c r="A384" s="69" t="s">
        <v>105</v>
      </c>
      <c r="B384" s="96"/>
      <c r="C384" s="96"/>
      <c r="D384" s="102"/>
      <c r="E384" s="103"/>
      <c r="F384" s="38"/>
      <c r="H384" s="69" t="s">
        <v>105</v>
      </c>
      <c r="I384" s="96"/>
      <c r="J384" s="96"/>
      <c r="K384" s="102"/>
      <c r="L384" s="103"/>
      <c r="M384" s="38"/>
    </row>
    <row r="385" spans="1:14" x14ac:dyDescent="0.25">
      <c r="A385" s="69" t="s">
        <v>106</v>
      </c>
      <c r="B385" s="96"/>
      <c r="C385" s="96"/>
      <c r="D385" s="102"/>
      <c r="E385" s="103"/>
      <c r="F385" s="38"/>
      <c r="H385" s="69" t="s">
        <v>106</v>
      </c>
      <c r="I385" s="96"/>
      <c r="J385" s="96"/>
      <c r="K385" s="102"/>
      <c r="L385" s="103"/>
      <c r="M385" s="38"/>
    </row>
    <row r="386" spans="1:14" x14ac:dyDescent="0.25">
      <c r="A386" s="69" t="s">
        <v>107</v>
      </c>
      <c r="B386" s="96"/>
      <c r="C386" s="96"/>
      <c r="D386" s="102"/>
      <c r="E386" s="103"/>
      <c r="F386" s="38"/>
      <c r="H386" s="69" t="s">
        <v>107</v>
      </c>
      <c r="I386" s="96"/>
      <c r="J386" s="96"/>
      <c r="K386" s="102"/>
      <c r="L386" s="103"/>
      <c r="M386" s="38"/>
    </row>
    <row r="387" spans="1:14" x14ac:dyDescent="0.25">
      <c r="A387" s="69" t="s">
        <v>108</v>
      </c>
      <c r="B387" s="96"/>
      <c r="C387" s="96"/>
      <c r="D387" s="102"/>
      <c r="E387" s="103"/>
      <c r="F387" s="38"/>
      <c r="H387" s="69" t="s">
        <v>108</v>
      </c>
      <c r="I387" s="96"/>
      <c r="J387" s="96"/>
      <c r="K387" s="102"/>
      <c r="L387" s="103"/>
      <c r="M387" s="38"/>
    </row>
    <row r="388" spans="1:14" ht="15.75" thickBot="1" x14ac:dyDescent="0.3">
      <c r="A388" s="70" t="s">
        <v>109</v>
      </c>
      <c r="B388" s="97"/>
      <c r="C388" s="97"/>
      <c r="D388" s="71"/>
      <c r="E388" s="104"/>
      <c r="F388" s="38"/>
      <c r="H388" s="70" t="s">
        <v>109</v>
      </c>
      <c r="I388" s="97"/>
      <c r="J388" s="97"/>
      <c r="K388" s="71"/>
      <c r="L388" s="104"/>
      <c r="M388" s="39"/>
    </row>
    <row r="389" spans="1:14" ht="15.75" thickBot="1" x14ac:dyDescent="0.3">
      <c r="A389" s="64" t="str">
        <f>A356</f>
        <v>Semaine 29</v>
      </c>
      <c r="B389" s="65" t="e">
        <f>'MASQUE COLLABORATEUR'!B389</f>
        <v>#N/A</v>
      </c>
      <c r="C389" s="65" t="s">
        <v>141</v>
      </c>
      <c r="D389" s="66" t="e">
        <f>'MASQUE COLLABORATEUR'!D389</f>
        <v>#N/A</v>
      </c>
      <c r="E389" s="66" t="e">
        <f>'MASQUE COLLABORATEUR'!E389</f>
        <v>#N/A</v>
      </c>
      <c r="F389" s="67" t="s">
        <v>110</v>
      </c>
      <c r="H389" s="77" t="s">
        <v>136</v>
      </c>
      <c r="I389" s="78" t="e">
        <f>'MASQUE COLLABORATEUR'!I389</f>
        <v>#N/A</v>
      </c>
      <c r="J389" s="78" t="s">
        <v>141</v>
      </c>
      <c r="K389" s="79" t="e">
        <f>'MASQUE COLLABORATEUR'!K389</f>
        <v>#N/A</v>
      </c>
      <c r="L389" s="80" t="e">
        <f>'MASQUE COLLABORATEUR'!L389</f>
        <v>#N/A</v>
      </c>
      <c r="M389" s="49"/>
    </row>
    <row r="390" spans="1:14" x14ac:dyDescent="0.25">
      <c r="A390" s="69" t="s">
        <v>103</v>
      </c>
      <c r="B390" s="95"/>
      <c r="C390" s="95"/>
      <c r="D390" s="106"/>
      <c r="E390" s="105"/>
      <c r="F390" s="101"/>
      <c r="H390" s="81" t="s">
        <v>103</v>
      </c>
      <c r="I390" s="82">
        <v>0</v>
      </c>
      <c r="J390" s="82">
        <v>0</v>
      </c>
      <c r="K390" s="83">
        <v>0</v>
      </c>
      <c r="L390" s="84">
        <v>0</v>
      </c>
      <c r="M390" s="187"/>
      <c r="N390" s="188"/>
    </row>
    <row r="391" spans="1:14" x14ac:dyDescent="0.25">
      <c r="A391" s="69" t="s">
        <v>104</v>
      </c>
      <c r="B391" s="96"/>
      <c r="C391" s="96"/>
      <c r="D391" s="102"/>
      <c r="E391" s="103"/>
      <c r="F391" s="38"/>
      <c r="H391" s="81" t="s">
        <v>104</v>
      </c>
      <c r="I391" s="88">
        <v>0</v>
      </c>
      <c r="J391" s="88">
        <v>0</v>
      </c>
      <c r="K391" s="89">
        <v>0</v>
      </c>
      <c r="L391" s="90">
        <v>0</v>
      </c>
      <c r="M391" s="49"/>
    </row>
    <row r="392" spans="1:14" x14ac:dyDescent="0.25">
      <c r="A392" s="69" t="s">
        <v>105</v>
      </c>
      <c r="B392" s="96"/>
      <c r="C392" s="96"/>
      <c r="D392" s="102"/>
      <c r="E392" s="103"/>
      <c r="F392" s="38"/>
      <c r="H392" s="81" t="s">
        <v>105</v>
      </c>
      <c r="I392" s="88">
        <v>0</v>
      </c>
      <c r="J392" s="88">
        <v>0</v>
      </c>
      <c r="K392" s="89">
        <v>0</v>
      </c>
      <c r="L392" s="90">
        <v>0</v>
      </c>
      <c r="M392" s="49"/>
    </row>
    <row r="393" spans="1:14" x14ac:dyDescent="0.25">
      <c r="A393" s="69" t="s">
        <v>106</v>
      </c>
      <c r="B393" s="96"/>
      <c r="C393" s="96"/>
      <c r="D393" s="102"/>
      <c r="E393" s="103"/>
      <c r="F393" s="38"/>
      <c r="H393" s="81" t="s">
        <v>106</v>
      </c>
      <c r="I393" s="88">
        <v>0</v>
      </c>
      <c r="J393" s="88">
        <v>0</v>
      </c>
      <c r="K393" s="89">
        <v>0</v>
      </c>
      <c r="L393" s="90">
        <v>0</v>
      </c>
      <c r="M393" s="49"/>
    </row>
    <row r="394" spans="1:14" x14ac:dyDescent="0.25">
      <c r="A394" s="69" t="s">
        <v>107</v>
      </c>
      <c r="B394" s="96"/>
      <c r="C394" s="96"/>
      <c r="D394" s="102"/>
      <c r="E394" s="103"/>
      <c r="F394" s="38"/>
      <c r="H394" s="81" t="s">
        <v>107</v>
      </c>
      <c r="I394" s="88">
        <v>0</v>
      </c>
      <c r="J394" s="88">
        <v>0</v>
      </c>
      <c r="K394" s="89">
        <v>0</v>
      </c>
      <c r="L394" s="90">
        <v>0</v>
      </c>
      <c r="M394" s="187"/>
      <c r="N394" s="190" t="s">
        <v>447</v>
      </c>
    </row>
    <row r="395" spans="1:14" x14ac:dyDescent="0.25">
      <c r="A395" s="69" t="s">
        <v>108</v>
      </c>
      <c r="B395" s="96"/>
      <c r="C395" s="96"/>
      <c r="D395" s="102"/>
      <c r="E395" s="103"/>
      <c r="F395" s="38"/>
      <c r="H395" s="81" t="s">
        <v>108</v>
      </c>
      <c r="I395" s="88">
        <v>0</v>
      </c>
      <c r="J395" s="88">
        <v>0</v>
      </c>
      <c r="K395" s="89">
        <v>0</v>
      </c>
      <c r="L395" s="90">
        <v>0</v>
      </c>
      <c r="M395" s="49"/>
      <c r="N395" s="189">
        <f ca="1">TODAY()</f>
        <v>46181</v>
      </c>
    </row>
    <row r="396" spans="1:14" ht="15.75" thickBot="1" x14ac:dyDescent="0.3">
      <c r="A396" s="70" t="s">
        <v>109</v>
      </c>
      <c r="B396" s="97"/>
      <c r="C396" s="97"/>
      <c r="D396" s="71"/>
      <c r="E396" s="104"/>
      <c r="F396" s="39"/>
      <c r="H396" s="92" t="s">
        <v>109</v>
      </c>
      <c r="I396" s="93">
        <v>0</v>
      </c>
      <c r="J396" s="93">
        <v>0</v>
      </c>
      <c r="K396" s="71">
        <v>0</v>
      </c>
      <c r="L396" s="94">
        <v>0</v>
      </c>
      <c r="M396" s="49"/>
    </row>
    <row r="397" spans="1:14" ht="15" customHeight="1" x14ac:dyDescent="0.25">
      <c r="D397" s="308" t="s">
        <v>443</v>
      </c>
      <c r="E397" s="308"/>
      <c r="F397" s="308"/>
      <c r="G397" s="308"/>
      <c r="H397" s="308"/>
      <c r="I397" s="308"/>
      <c r="J397" s="308"/>
      <c r="K397" s="308"/>
      <c r="L397" s="42" t="s">
        <v>289</v>
      </c>
      <c r="N397" s="43" t="s">
        <v>442</v>
      </c>
    </row>
    <row r="398" spans="1:14" x14ac:dyDescent="0.25">
      <c r="D398" s="308"/>
      <c r="E398" s="308"/>
      <c r="F398" s="308"/>
      <c r="G398" s="308"/>
      <c r="H398" s="308"/>
      <c r="I398" s="308"/>
      <c r="J398" s="308"/>
      <c r="K398" s="308"/>
      <c r="N398" s="43" t="s">
        <v>446</v>
      </c>
    </row>
    <row r="399" spans="1:14" x14ac:dyDescent="0.25">
      <c r="D399" s="308"/>
      <c r="E399" s="308"/>
      <c r="F399" s="308"/>
      <c r="G399" s="308"/>
      <c r="H399" s="308"/>
      <c r="I399" s="308"/>
      <c r="J399" s="308"/>
      <c r="K399" s="308"/>
      <c r="N399" s="44"/>
    </row>
    <row r="400" spans="1:14" x14ac:dyDescent="0.25">
      <c r="A400" s="45" t="s">
        <v>3</v>
      </c>
      <c r="B400" s="46">
        <f>'MASQUE COLLABORATEUR'!B400</f>
        <v>2026</v>
      </c>
      <c r="C400" s="47"/>
      <c r="D400" s="48" t="s">
        <v>1</v>
      </c>
      <c r="E400" s="46">
        <f>'MASQUE COLLABORATEUR'!E400</f>
        <v>0</v>
      </c>
      <c r="F400" s="49"/>
      <c r="G400" s="49"/>
      <c r="H400" s="48" t="s">
        <v>2</v>
      </c>
      <c r="I400" s="47">
        <f>'MASQUE COLLABORATEUR'!I400</f>
        <v>0</v>
      </c>
      <c r="J400" s="50"/>
      <c r="K400" s="50"/>
      <c r="N400" s="44"/>
    </row>
    <row r="401" spans="1:14" ht="15.75" thickBot="1" x14ac:dyDescent="0.3">
      <c r="A401" s="45" t="s">
        <v>10</v>
      </c>
      <c r="B401" s="49"/>
      <c r="C401" s="49"/>
      <c r="D401" s="50" t="str">
        <f>'MASQUE COLLABORATEUR'!D401</f>
        <v>01 juin 2026 au 31 mai 2027.</v>
      </c>
      <c r="E401" s="2"/>
      <c r="H401" s="48" t="s">
        <v>205</v>
      </c>
      <c r="I401" s="47" t="str">
        <f>'MASQUE COLLABORATEUR'!I401</f>
        <v>Juin</v>
      </c>
      <c r="N401" s="44"/>
    </row>
    <row r="402" spans="1:14" x14ac:dyDescent="0.25">
      <c r="A402" s="192" t="s">
        <v>448</v>
      </c>
      <c r="B402" s="193"/>
      <c r="C402" s="193"/>
      <c r="D402" s="194"/>
      <c r="E402" s="194"/>
      <c r="F402" s="194"/>
      <c r="G402" s="194"/>
      <c r="H402" s="194"/>
      <c r="I402" s="194"/>
      <c r="J402" s="194"/>
      <c r="K402" s="194"/>
      <c r="L402" s="194"/>
      <c r="M402" s="194"/>
      <c r="N402" s="195"/>
    </row>
    <row r="403" spans="1:14" ht="15.75" thickBot="1" x14ac:dyDescent="0.3">
      <c r="A403" s="196"/>
      <c r="B403" s="197"/>
      <c r="C403" s="197"/>
      <c r="D403" s="197"/>
      <c r="E403" s="197"/>
      <c r="F403" s="197"/>
      <c r="G403" s="197"/>
      <c r="H403" s="197"/>
      <c r="I403" s="198"/>
      <c r="J403" s="198"/>
      <c r="K403" s="198"/>
      <c r="L403" s="198"/>
      <c r="M403" s="198"/>
      <c r="N403" s="199"/>
    </row>
    <row r="404" spans="1:14" x14ac:dyDescent="0.25">
      <c r="A404" s="49" t="s">
        <v>18</v>
      </c>
      <c r="B404" s="113">
        <f>'MASQUE COLLABORATEUR'!B404</f>
        <v>0</v>
      </c>
      <c r="E404" s="49"/>
      <c r="G404" s="57" t="s">
        <v>317</v>
      </c>
      <c r="H404" s="58" t="e">
        <f>'MASQUE COLLABORATEUR'!H404</f>
        <v>#N/A</v>
      </c>
      <c r="J404" s="10" t="s">
        <v>161</v>
      </c>
      <c r="K404" s="58" t="e">
        <f>'MASQUE COLLABORATEUR'!K404</f>
        <v>#N/A</v>
      </c>
      <c r="L404" s="114" t="s">
        <v>340</v>
      </c>
      <c r="M404" s="115" t="e">
        <f>'MASQUE COLLABORATEUR'!M404</f>
        <v>#N/A</v>
      </c>
    </row>
    <row r="405" spans="1:14" ht="15.75" thickBot="1" x14ac:dyDescent="0.3">
      <c r="A405" s="49" t="s">
        <v>59</v>
      </c>
      <c r="B405" s="2" t="e">
        <f>'MASQUE COLLABORATEUR'!B405</f>
        <v>#N/A</v>
      </c>
      <c r="C405" s="2"/>
      <c r="D405" s="2"/>
      <c r="G405" s="57" t="s">
        <v>158</v>
      </c>
      <c r="H405" s="58" t="e">
        <f>'MASQUE COLLABORATEUR'!H405</f>
        <v>#N/A</v>
      </c>
    </row>
    <row r="406" spans="1:14" ht="15.75" thickBot="1" x14ac:dyDescent="0.3">
      <c r="A406" s="64" t="str">
        <f>A373</f>
        <v>Semaine 25</v>
      </c>
      <c r="B406" s="65" t="e">
        <f>'MASQUE COLLABORATEUR'!B406</f>
        <v>#N/A</v>
      </c>
      <c r="C406" s="65" t="s">
        <v>141</v>
      </c>
      <c r="D406" s="66" t="e">
        <f>'MASQUE COLLABORATEUR'!D406</f>
        <v>#N/A</v>
      </c>
      <c r="E406" s="66" t="e">
        <f>'MASQUE COLLABORATEUR'!E406</f>
        <v>#N/A</v>
      </c>
      <c r="F406" s="67" t="s">
        <v>110</v>
      </c>
      <c r="H406" s="64" t="str">
        <f>H373</f>
        <v>Semaine 26</v>
      </c>
      <c r="I406" s="65" t="e">
        <f>'MASQUE COLLABORATEUR'!I406</f>
        <v>#N/A</v>
      </c>
      <c r="J406" s="65" t="s">
        <v>141</v>
      </c>
      <c r="K406" s="66" t="e">
        <f>'MASQUE COLLABORATEUR'!K406</f>
        <v>#N/A</v>
      </c>
      <c r="L406" s="66" t="e">
        <f>'MASQUE COLLABORATEUR'!L406</f>
        <v>#N/A</v>
      </c>
      <c r="M406" s="67" t="s">
        <v>110</v>
      </c>
    </row>
    <row r="407" spans="1:14" x14ac:dyDescent="0.25">
      <c r="A407" s="68" t="s">
        <v>103</v>
      </c>
      <c r="B407" s="98"/>
      <c r="C407" s="98"/>
      <c r="D407" s="99"/>
      <c r="E407" s="100"/>
      <c r="F407" s="101"/>
      <c r="H407" s="69" t="s">
        <v>103</v>
      </c>
      <c r="I407" s="95"/>
      <c r="J407" s="95"/>
      <c r="K407" s="106"/>
      <c r="L407" s="105"/>
      <c r="M407" s="101"/>
    </row>
    <row r="408" spans="1:14" x14ac:dyDescent="0.25">
      <c r="A408" s="69" t="s">
        <v>104</v>
      </c>
      <c r="B408" s="96"/>
      <c r="C408" s="96"/>
      <c r="D408" s="102"/>
      <c r="E408" s="103"/>
      <c r="F408" s="38"/>
      <c r="H408" s="69" t="s">
        <v>104</v>
      </c>
      <c r="I408" s="96"/>
      <c r="J408" s="96"/>
      <c r="K408" s="102"/>
      <c r="L408" s="103"/>
      <c r="M408" s="38"/>
    </row>
    <row r="409" spans="1:14" x14ac:dyDescent="0.25">
      <c r="A409" s="69" t="s">
        <v>105</v>
      </c>
      <c r="B409" s="96"/>
      <c r="C409" s="96"/>
      <c r="D409" s="102"/>
      <c r="E409" s="103"/>
      <c r="F409" s="38"/>
      <c r="H409" s="69" t="s">
        <v>105</v>
      </c>
      <c r="I409" s="96"/>
      <c r="J409" s="96"/>
      <c r="K409" s="102"/>
      <c r="L409" s="103"/>
      <c r="M409" s="38"/>
    </row>
    <row r="410" spans="1:14" x14ac:dyDescent="0.25">
      <c r="A410" s="69" t="s">
        <v>106</v>
      </c>
      <c r="B410" s="96"/>
      <c r="C410" s="96"/>
      <c r="D410" s="102"/>
      <c r="E410" s="103"/>
      <c r="F410" s="38"/>
      <c r="H410" s="69" t="s">
        <v>106</v>
      </c>
      <c r="I410" s="96"/>
      <c r="J410" s="96"/>
      <c r="K410" s="102"/>
      <c r="L410" s="103"/>
      <c r="M410" s="38"/>
    </row>
    <row r="411" spans="1:14" x14ac:dyDescent="0.25">
      <c r="A411" s="69" t="s">
        <v>107</v>
      </c>
      <c r="B411" s="96"/>
      <c r="C411" s="96"/>
      <c r="D411" s="102"/>
      <c r="E411" s="103"/>
      <c r="F411" s="38"/>
      <c r="H411" s="69" t="s">
        <v>107</v>
      </c>
      <c r="I411" s="96"/>
      <c r="J411" s="96"/>
      <c r="K411" s="102"/>
      <c r="L411" s="103"/>
      <c r="M411" s="38"/>
    </row>
    <row r="412" spans="1:14" x14ac:dyDescent="0.25">
      <c r="A412" s="69" t="s">
        <v>108</v>
      </c>
      <c r="B412" s="96"/>
      <c r="C412" s="96"/>
      <c r="D412" s="102"/>
      <c r="E412" s="103"/>
      <c r="F412" s="38"/>
      <c r="H412" s="69" t="s">
        <v>108</v>
      </c>
      <c r="I412" s="96"/>
      <c r="J412" s="96"/>
      <c r="K412" s="102"/>
      <c r="L412" s="103"/>
      <c r="M412" s="38"/>
    </row>
    <row r="413" spans="1:14" ht="15.75" thickBot="1" x14ac:dyDescent="0.3">
      <c r="A413" s="70" t="s">
        <v>109</v>
      </c>
      <c r="B413" s="97"/>
      <c r="C413" s="97"/>
      <c r="D413" s="71"/>
      <c r="E413" s="104"/>
      <c r="F413" s="38"/>
      <c r="H413" s="70" t="s">
        <v>109</v>
      </c>
      <c r="I413" s="97"/>
      <c r="J413" s="97"/>
      <c r="K413" s="71"/>
      <c r="L413" s="104"/>
      <c r="M413" s="38"/>
    </row>
    <row r="414" spans="1:14" ht="15.75" thickBot="1" x14ac:dyDescent="0.3">
      <c r="A414" s="64" t="str">
        <f>A381</f>
        <v>Semaine 27</v>
      </c>
      <c r="B414" s="65" t="e">
        <f>'MASQUE COLLABORATEUR'!B414</f>
        <v>#N/A</v>
      </c>
      <c r="C414" s="65" t="s">
        <v>141</v>
      </c>
      <c r="D414" s="66" t="e">
        <f>'MASQUE COLLABORATEUR'!D414</f>
        <v>#N/A</v>
      </c>
      <c r="E414" s="66" t="e">
        <f>'MASQUE COLLABORATEUR'!E414</f>
        <v>#N/A</v>
      </c>
      <c r="F414" s="67" t="s">
        <v>110</v>
      </c>
      <c r="H414" s="64" t="str">
        <f>H381</f>
        <v>Semaine 28</v>
      </c>
      <c r="I414" s="65" t="e">
        <f>'MASQUE COLLABORATEUR'!I414</f>
        <v>#N/A</v>
      </c>
      <c r="J414" s="65" t="s">
        <v>141</v>
      </c>
      <c r="K414" s="66" t="e">
        <f>'MASQUE COLLABORATEUR'!K414</f>
        <v>#N/A</v>
      </c>
      <c r="L414" s="66" t="e">
        <f>'MASQUE COLLABORATEUR'!L414</f>
        <v>#N/A</v>
      </c>
      <c r="M414" s="67" t="s">
        <v>110</v>
      </c>
    </row>
    <row r="415" spans="1:14" x14ac:dyDescent="0.25">
      <c r="A415" s="69" t="s">
        <v>103</v>
      </c>
      <c r="B415" s="95"/>
      <c r="C415" s="95"/>
      <c r="D415" s="106"/>
      <c r="E415" s="105"/>
      <c r="F415" s="101"/>
      <c r="H415" s="69" t="s">
        <v>103</v>
      </c>
      <c r="I415" s="95"/>
      <c r="J415" s="95"/>
      <c r="K415" s="106"/>
      <c r="L415" s="105"/>
      <c r="M415" s="101"/>
    </row>
    <row r="416" spans="1:14" x14ac:dyDescent="0.25">
      <c r="A416" s="69" t="s">
        <v>104</v>
      </c>
      <c r="B416" s="96"/>
      <c r="C416" s="96"/>
      <c r="D416" s="102"/>
      <c r="E416" s="103"/>
      <c r="F416" s="38"/>
      <c r="H416" s="69" t="s">
        <v>104</v>
      </c>
      <c r="I416" s="96"/>
      <c r="J416" s="96"/>
      <c r="K416" s="102"/>
      <c r="L416" s="103"/>
      <c r="M416" s="38"/>
    </row>
    <row r="417" spans="1:14" x14ac:dyDescent="0.25">
      <c r="A417" s="69" t="s">
        <v>105</v>
      </c>
      <c r="B417" s="96"/>
      <c r="C417" s="96"/>
      <c r="D417" s="102"/>
      <c r="E417" s="103"/>
      <c r="F417" s="38"/>
      <c r="H417" s="69" t="s">
        <v>105</v>
      </c>
      <c r="I417" s="96"/>
      <c r="J417" s="96"/>
      <c r="K417" s="102"/>
      <c r="L417" s="103"/>
      <c r="M417" s="38"/>
    </row>
    <row r="418" spans="1:14" x14ac:dyDescent="0.25">
      <c r="A418" s="69" t="s">
        <v>106</v>
      </c>
      <c r="B418" s="96"/>
      <c r="C418" s="96"/>
      <c r="D418" s="102"/>
      <c r="E418" s="103"/>
      <c r="F418" s="38"/>
      <c r="H418" s="69" t="s">
        <v>106</v>
      </c>
      <c r="I418" s="96"/>
      <c r="J418" s="96"/>
      <c r="K418" s="102"/>
      <c r="L418" s="103"/>
      <c r="M418" s="38"/>
    </row>
    <row r="419" spans="1:14" x14ac:dyDescent="0.25">
      <c r="A419" s="69" t="s">
        <v>107</v>
      </c>
      <c r="B419" s="96"/>
      <c r="C419" s="96"/>
      <c r="D419" s="102"/>
      <c r="E419" s="103"/>
      <c r="F419" s="38"/>
      <c r="H419" s="69" t="s">
        <v>107</v>
      </c>
      <c r="I419" s="96"/>
      <c r="J419" s="96"/>
      <c r="K419" s="102"/>
      <c r="L419" s="103"/>
      <c r="M419" s="38"/>
    </row>
    <row r="420" spans="1:14" x14ac:dyDescent="0.25">
      <c r="A420" s="69" t="s">
        <v>108</v>
      </c>
      <c r="B420" s="96"/>
      <c r="C420" s="96"/>
      <c r="D420" s="102"/>
      <c r="E420" s="103"/>
      <c r="F420" s="38"/>
      <c r="H420" s="69" t="s">
        <v>108</v>
      </c>
      <c r="I420" s="96"/>
      <c r="J420" s="96"/>
      <c r="K420" s="102"/>
      <c r="L420" s="103"/>
      <c r="M420" s="38"/>
    </row>
    <row r="421" spans="1:14" ht="15.75" thickBot="1" x14ac:dyDescent="0.3">
      <c r="A421" s="70" t="s">
        <v>109</v>
      </c>
      <c r="B421" s="97"/>
      <c r="C421" s="97"/>
      <c r="D421" s="71"/>
      <c r="E421" s="104"/>
      <c r="F421" s="38"/>
      <c r="H421" s="70" t="s">
        <v>109</v>
      </c>
      <c r="I421" s="97"/>
      <c r="J421" s="97"/>
      <c r="K421" s="71"/>
      <c r="L421" s="104"/>
      <c r="M421" s="39"/>
    </row>
    <row r="422" spans="1:14" ht="15.75" thickBot="1" x14ac:dyDescent="0.3">
      <c r="A422" s="64" t="str">
        <f>A389</f>
        <v>Semaine 29</v>
      </c>
      <c r="B422" s="65" t="e">
        <f>'MASQUE COLLABORATEUR'!B422</f>
        <v>#N/A</v>
      </c>
      <c r="C422" s="65" t="s">
        <v>141</v>
      </c>
      <c r="D422" s="66" t="e">
        <f>'MASQUE COLLABORATEUR'!D422</f>
        <v>#N/A</v>
      </c>
      <c r="E422" s="66" t="e">
        <f>'MASQUE COLLABORATEUR'!E422</f>
        <v>#N/A</v>
      </c>
      <c r="F422" s="67" t="s">
        <v>110</v>
      </c>
      <c r="H422" s="77" t="s">
        <v>136</v>
      </c>
      <c r="I422" s="78" t="e">
        <f>'MASQUE COLLABORATEUR'!I422</f>
        <v>#N/A</v>
      </c>
      <c r="J422" s="78" t="s">
        <v>141</v>
      </c>
      <c r="K422" s="79" t="e">
        <f>'MASQUE COLLABORATEUR'!K422</f>
        <v>#N/A</v>
      </c>
      <c r="L422" s="80" t="e">
        <f>'MASQUE COLLABORATEUR'!L422</f>
        <v>#N/A</v>
      </c>
      <c r="M422" s="49"/>
    </row>
    <row r="423" spans="1:14" x14ac:dyDescent="0.25">
      <c r="A423" s="69" t="s">
        <v>103</v>
      </c>
      <c r="B423" s="95"/>
      <c r="C423" s="95"/>
      <c r="D423" s="106"/>
      <c r="E423" s="105"/>
      <c r="F423" s="101"/>
      <c r="H423" s="81" t="s">
        <v>103</v>
      </c>
      <c r="I423" s="82">
        <v>0</v>
      </c>
      <c r="J423" s="82">
        <v>0</v>
      </c>
      <c r="K423" s="83">
        <v>0</v>
      </c>
      <c r="L423" s="84">
        <v>0</v>
      </c>
      <c r="M423" s="187"/>
      <c r="N423" s="188"/>
    </row>
    <row r="424" spans="1:14" x14ac:dyDescent="0.25">
      <c r="A424" s="69" t="s">
        <v>104</v>
      </c>
      <c r="B424" s="96"/>
      <c r="C424" s="96"/>
      <c r="D424" s="102"/>
      <c r="E424" s="103"/>
      <c r="F424" s="38"/>
      <c r="H424" s="81" t="s">
        <v>104</v>
      </c>
      <c r="I424" s="88">
        <v>0</v>
      </c>
      <c r="J424" s="88">
        <v>0</v>
      </c>
      <c r="K424" s="89">
        <v>0</v>
      </c>
      <c r="L424" s="90">
        <v>0</v>
      </c>
      <c r="M424" s="49"/>
    </row>
    <row r="425" spans="1:14" x14ac:dyDescent="0.25">
      <c r="A425" s="69" t="s">
        <v>105</v>
      </c>
      <c r="B425" s="96"/>
      <c r="C425" s="96"/>
      <c r="D425" s="102"/>
      <c r="E425" s="103"/>
      <c r="F425" s="38"/>
      <c r="H425" s="81" t="s">
        <v>105</v>
      </c>
      <c r="I425" s="88">
        <v>0</v>
      </c>
      <c r="J425" s="88">
        <v>0</v>
      </c>
      <c r="K425" s="89">
        <v>0</v>
      </c>
      <c r="L425" s="90">
        <v>0</v>
      </c>
      <c r="M425" s="49"/>
    </row>
    <row r="426" spans="1:14" x14ac:dyDescent="0.25">
      <c r="A426" s="69" t="s">
        <v>106</v>
      </c>
      <c r="B426" s="96"/>
      <c r="C426" s="96"/>
      <c r="D426" s="102"/>
      <c r="E426" s="103"/>
      <c r="F426" s="38"/>
      <c r="H426" s="81" t="s">
        <v>106</v>
      </c>
      <c r="I426" s="88">
        <v>0</v>
      </c>
      <c r="J426" s="88">
        <v>0</v>
      </c>
      <c r="K426" s="89">
        <v>0</v>
      </c>
      <c r="L426" s="90">
        <v>0</v>
      </c>
      <c r="M426" s="49"/>
    </row>
    <row r="427" spans="1:14" x14ac:dyDescent="0.25">
      <c r="A427" s="69" t="s">
        <v>107</v>
      </c>
      <c r="B427" s="96"/>
      <c r="C427" s="96"/>
      <c r="D427" s="102"/>
      <c r="E427" s="103"/>
      <c r="F427" s="38"/>
      <c r="H427" s="81" t="s">
        <v>107</v>
      </c>
      <c r="I427" s="88">
        <v>0</v>
      </c>
      <c r="J427" s="88">
        <v>0</v>
      </c>
      <c r="K427" s="89">
        <v>0</v>
      </c>
      <c r="L427" s="90">
        <v>0</v>
      </c>
      <c r="M427" s="187"/>
      <c r="N427" s="190" t="s">
        <v>447</v>
      </c>
    </row>
    <row r="428" spans="1:14" x14ac:dyDescent="0.25">
      <c r="A428" s="69" t="s">
        <v>108</v>
      </c>
      <c r="B428" s="96"/>
      <c r="C428" s="96"/>
      <c r="D428" s="102"/>
      <c r="E428" s="103"/>
      <c r="F428" s="38"/>
      <c r="H428" s="81" t="s">
        <v>108</v>
      </c>
      <c r="I428" s="88">
        <v>0</v>
      </c>
      <c r="J428" s="88">
        <v>0</v>
      </c>
      <c r="K428" s="89">
        <v>0</v>
      </c>
      <c r="L428" s="90">
        <v>0</v>
      </c>
      <c r="M428" s="49"/>
      <c r="N428" s="189">
        <f ca="1">TODAY()</f>
        <v>46181</v>
      </c>
    </row>
    <row r="429" spans="1:14" ht="15.75" thickBot="1" x14ac:dyDescent="0.3">
      <c r="A429" s="70" t="s">
        <v>109</v>
      </c>
      <c r="B429" s="97"/>
      <c r="C429" s="97"/>
      <c r="D429" s="71"/>
      <c r="E429" s="104"/>
      <c r="F429" s="39"/>
      <c r="H429" s="92" t="s">
        <v>109</v>
      </c>
      <c r="I429" s="93">
        <v>0</v>
      </c>
      <c r="J429" s="93">
        <v>0</v>
      </c>
      <c r="K429" s="71">
        <v>0</v>
      </c>
      <c r="L429" s="94">
        <v>0</v>
      </c>
      <c r="M429" s="49"/>
    </row>
    <row r="430" spans="1:14" ht="15" customHeight="1" x14ac:dyDescent="0.25">
      <c r="D430" s="308" t="s">
        <v>443</v>
      </c>
      <c r="E430" s="308"/>
      <c r="F430" s="308"/>
      <c r="G430" s="308"/>
      <c r="H430" s="308"/>
      <c r="I430" s="308"/>
      <c r="J430" s="308"/>
      <c r="K430" s="308"/>
      <c r="L430" s="42" t="s">
        <v>290</v>
      </c>
      <c r="N430" s="43" t="s">
        <v>442</v>
      </c>
    </row>
    <row r="431" spans="1:14" x14ac:dyDescent="0.25">
      <c r="D431" s="308"/>
      <c r="E431" s="308"/>
      <c r="F431" s="308"/>
      <c r="G431" s="308"/>
      <c r="H431" s="308"/>
      <c r="I431" s="308"/>
      <c r="J431" s="308"/>
      <c r="K431" s="308"/>
      <c r="N431" s="43" t="s">
        <v>446</v>
      </c>
    </row>
    <row r="432" spans="1:14" x14ac:dyDescent="0.25">
      <c r="D432" s="308"/>
      <c r="E432" s="308"/>
      <c r="F432" s="308"/>
      <c r="G432" s="308"/>
      <c r="H432" s="308"/>
      <c r="I432" s="308"/>
      <c r="J432" s="308"/>
      <c r="K432" s="308"/>
      <c r="N432" s="44"/>
    </row>
    <row r="433" spans="1:14" x14ac:dyDescent="0.25">
      <c r="A433" s="45" t="s">
        <v>3</v>
      </c>
      <c r="B433" s="46">
        <f>'MASQUE COLLABORATEUR'!B433</f>
        <v>2026</v>
      </c>
      <c r="C433" s="47"/>
      <c r="D433" s="48" t="s">
        <v>1</v>
      </c>
      <c r="E433" s="46">
        <f>'MASQUE COLLABORATEUR'!E433</f>
        <v>0</v>
      </c>
      <c r="F433" s="49"/>
      <c r="G433" s="49"/>
      <c r="H433" s="48" t="s">
        <v>2</v>
      </c>
      <c r="I433" s="47">
        <f>'MASQUE COLLABORATEUR'!I433</f>
        <v>0</v>
      </c>
      <c r="J433" s="50"/>
      <c r="K433" s="50"/>
      <c r="N433" s="44"/>
    </row>
    <row r="434" spans="1:14" ht="15.75" thickBot="1" x14ac:dyDescent="0.3">
      <c r="A434" s="45" t="s">
        <v>10</v>
      </c>
      <c r="B434" s="49"/>
      <c r="C434" s="49"/>
      <c r="D434" s="50" t="str">
        <f>'MASQUE COLLABORATEUR'!D434</f>
        <v>01 juin 2026 au 31 mai 2027.</v>
      </c>
      <c r="E434" s="2"/>
      <c r="H434" s="48" t="s">
        <v>205</v>
      </c>
      <c r="I434" s="47" t="str">
        <f>'MASQUE COLLABORATEUR'!I434</f>
        <v>Juin</v>
      </c>
      <c r="N434" s="44"/>
    </row>
    <row r="435" spans="1:14" x14ac:dyDescent="0.25">
      <c r="A435" s="192" t="s">
        <v>448</v>
      </c>
      <c r="B435" s="193"/>
      <c r="C435" s="193"/>
      <c r="D435" s="194"/>
      <c r="E435" s="194"/>
      <c r="F435" s="194"/>
      <c r="G435" s="194"/>
      <c r="H435" s="194"/>
      <c r="I435" s="194"/>
      <c r="J435" s="194"/>
      <c r="K435" s="194"/>
      <c r="L435" s="194"/>
      <c r="M435" s="194"/>
      <c r="N435" s="195"/>
    </row>
    <row r="436" spans="1:14" ht="15.75" thickBot="1" x14ac:dyDescent="0.3">
      <c r="A436" s="196"/>
      <c r="B436" s="197"/>
      <c r="C436" s="197"/>
      <c r="D436" s="197"/>
      <c r="E436" s="197"/>
      <c r="F436" s="197"/>
      <c r="G436" s="197"/>
      <c r="H436" s="197"/>
      <c r="I436" s="198"/>
      <c r="J436" s="198"/>
      <c r="K436" s="198"/>
      <c r="L436" s="198"/>
      <c r="M436" s="198"/>
      <c r="N436" s="199"/>
    </row>
    <row r="437" spans="1:14" x14ac:dyDescent="0.25">
      <c r="A437" s="49" t="s">
        <v>18</v>
      </c>
      <c r="B437" s="113">
        <f>'MASQUE COLLABORATEUR'!B437</f>
        <v>0</v>
      </c>
      <c r="E437" s="49"/>
      <c r="G437" s="57" t="s">
        <v>317</v>
      </c>
      <c r="H437" s="58" t="e">
        <f>'MASQUE COLLABORATEUR'!H437</f>
        <v>#N/A</v>
      </c>
      <c r="J437" s="10" t="s">
        <v>161</v>
      </c>
      <c r="K437" s="58" t="e">
        <f>'MASQUE COLLABORATEUR'!K437</f>
        <v>#N/A</v>
      </c>
      <c r="L437" s="114" t="s">
        <v>340</v>
      </c>
      <c r="M437" s="115" t="e">
        <f>'MASQUE COLLABORATEUR'!M437</f>
        <v>#N/A</v>
      </c>
    </row>
    <row r="438" spans="1:14" ht="15.75" thickBot="1" x14ac:dyDescent="0.3">
      <c r="A438" s="49" t="s">
        <v>59</v>
      </c>
      <c r="B438" s="2" t="e">
        <f>'MASQUE COLLABORATEUR'!B438</f>
        <v>#N/A</v>
      </c>
      <c r="C438" s="2"/>
      <c r="D438" s="2"/>
      <c r="G438" s="57" t="s">
        <v>158</v>
      </c>
      <c r="H438" s="58" t="e">
        <f>'MASQUE COLLABORATEUR'!H438</f>
        <v>#N/A</v>
      </c>
    </row>
    <row r="439" spans="1:14" ht="15.75" thickBot="1" x14ac:dyDescent="0.3">
      <c r="A439" s="64" t="str">
        <f>A406</f>
        <v>Semaine 25</v>
      </c>
      <c r="B439" s="65" t="e">
        <f>'MASQUE COLLABORATEUR'!B439</f>
        <v>#N/A</v>
      </c>
      <c r="C439" s="65" t="s">
        <v>141</v>
      </c>
      <c r="D439" s="66" t="e">
        <f>'MASQUE COLLABORATEUR'!D439</f>
        <v>#N/A</v>
      </c>
      <c r="E439" s="66" t="e">
        <f>'MASQUE COLLABORATEUR'!E439</f>
        <v>#N/A</v>
      </c>
      <c r="F439" s="67" t="s">
        <v>110</v>
      </c>
      <c r="H439" s="64" t="str">
        <f>H406</f>
        <v>Semaine 26</v>
      </c>
      <c r="I439" s="65" t="e">
        <f>'MASQUE COLLABORATEUR'!I439</f>
        <v>#N/A</v>
      </c>
      <c r="J439" s="65" t="s">
        <v>141</v>
      </c>
      <c r="K439" s="66" t="e">
        <f>'MASQUE COLLABORATEUR'!K439</f>
        <v>#N/A</v>
      </c>
      <c r="L439" s="66" t="e">
        <f>'MASQUE COLLABORATEUR'!L439</f>
        <v>#N/A</v>
      </c>
      <c r="M439" s="67" t="s">
        <v>110</v>
      </c>
    </row>
    <row r="440" spans="1:14" x14ac:dyDescent="0.25">
      <c r="A440" s="68" t="s">
        <v>103</v>
      </c>
      <c r="B440" s="98"/>
      <c r="C440" s="98"/>
      <c r="D440" s="99"/>
      <c r="E440" s="100"/>
      <c r="F440" s="101"/>
      <c r="H440" s="69" t="s">
        <v>103</v>
      </c>
      <c r="I440" s="95"/>
      <c r="J440" s="95"/>
      <c r="K440" s="106"/>
      <c r="L440" s="105"/>
      <c r="M440" s="101"/>
    </row>
    <row r="441" spans="1:14" x14ac:dyDescent="0.25">
      <c r="A441" s="69" t="s">
        <v>104</v>
      </c>
      <c r="B441" s="96"/>
      <c r="C441" s="96"/>
      <c r="D441" s="102"/>
      <c r="E441" s="103"/>
      <c r="F441" s="38"/>
      <c r="H441" s="69" t="s">
        <v>104</v>
      </c>
      <c r="I441" s="96"/>
      <c r="J441" s="96"/>
      <c r="K441" s="102"/>
      <c r="L441" s="103"/>
      <c r="M441" s="38"/>
    </row>
    <row r="442" spans="1:14" x14ac:dyDescent="0.25">
      <c r="A442" s="69" t="s">
        <v>105</v>
      </c>
      <c r="B442" s="96"/>
      <c r="C442" s="96"/>
      <c r="D442" s="102"/>
      <c r="E442" s="103"/>
      <c r="F442" s="38"/>
      <c r="H442" s="69" t="s">
        <v>105</v>
      </c>
      <c r="I442" s="96"/>
      <c r="J442" s="96"/>
      <c r="K442" s="102"/>
      <c r="L442" s="103"/>
      <c r="M442" s="38"/>
    </row>
    <row r="443" spans="1:14" x14ac:dyDescent="0.25">
      <c r="A443" s="69" t="s">
        <v>106</v>
      </c>
      <c r="B443" s="96"/>
      <c r="C443" s="96"/>
      <c r="D443" s="102"/>
      <c r="E443" s="103"/>
      <c r="F443" s="38"/>
      <c r="H443" s="69" t="s">
        <v>106</v>
      </c>
      <c r="I443" s="96"/>
      <c r="J443" s="96"/>
      <c r="K443" s="102"/>
      <c r="L443" s="103"/>
      <c r="M443" s="38"/>
    </row>
    <row r="444" spans="1:14" x14ac:dyDescent="0.25">
      <c r="A444" s="69" t="s">
        <v>107</v>
      </c>
      <c r="B444" s="96"/>
      <c r="C444" s="96"/>
      <c r="D444" s="102"/>
      <c r="E444" s="103"/>
      <c r="F444" s="38"/>
      <c r="H444" s="69" t="s">
        <v>107</v>
      </c>
      <c r="I444" s="96"/>
      <c r="J444" s="96"/>
      <c r="K444" s="102"/>
      <c r="L444" s="103"/>
      <c r="M444" s="38"/>
    </row>
    <row r="445" spans="1:14" x14ac:dyDescent="0.25">
      <c r="A445" s="69" t="s">
        <v>108</v>
      </c>
      <c r="B445" s="96"/>
      <c r="C445" s="96"/>
      <c r="D445" s="102"/>
      <c r="E445" s="103"/>
      <c r="F445" s="38"/>
      <c r="H445" s="69" t="s">
        <v>108</v>
      </c>
      <c r="I445" s="96"/>
      <c r="J445" s="96"/>
      <c r="K445" s="102"/>
      <c r="L445" s="103"/>
      <c r="M445" s="38"/>
    </row>
    <row r="446" spans="1:14" ht="15.75" thickBot="1" x14ac:dyDescent="0.3">
      <c r="A446" s="70" t="s">
        <v>109</v>
      </c>
      <c r="B446" s="97"/>
      <c r="C446" s="97"/>
      <c r="D446" s="71"/>
      <c r="E446" s="104"/>
      <c r="F446" s="38"/>
      <c r="H446" s="70" t="s">
        <v>109</v>
      </c>
      <c r="I446" s="97"/>
      <c r="J446" s="97"/>
      <c r="K446" s="71"/>
      <c r="L446" s="104"/>
      <c r="M446" s="38"/>
    </row>
    <row r="447" spans="1:14" ht="15.75" thickBot="1" x14ac:dyDescent="0.3">
      <c r="A447" s="64" t="str">
        <f>A414</f>
        <v>Semaine 27</v>
      </c>
      <c r="B447" s="65" t="e">
        <f>'MASQUE COLLABORATEUR'!B447</f>
        <v>#N/A</v>
      </c>
      <c r="C447" s="65" t="s">
        <v>141</v>
      </c>
      <c r="D447" s="66" t="e">
        <f>'MASQUE COLLABORATEUR'!D447</f>
        <v>#N/A</v>
      </c>
      <c r="E447" s="66" t="e">
        <f>'MASQUE COLLABORATEUR'!E447</f>
        <v>#N/A</v>
      </c>
      <c r="F447" s="67" t="s">
        <v>110</v>
      </c>
      <c r="H447" s="64" t="str">
        <f>H414</f>
        <v>Semaine 28</v>
      </c>
      <c r="I447" s="65" t="e">
        <f>'MASQUE COLLABORATEUR'!I447</f>
        <v>#N/A</v>
      </c>
      <c r="J447" s="65" t="s">
        <v>141</v>
      </c>
      <c r="K447" s="66" t="e">
        <f>'MASQUE COLLABORATEUR'!K447</f>
        <v>#N/A</v>
      </c>
      <c r="L447" s="66" t="e">
        <f>'MASQUE COLLABORATEUR'!L447</f>
        <v>#N/A</v>
      </c>
      <c r="M447" s="67" t="s">
        <v>110</v>
      </c>
    </row>
    <row r="448" spans="1:14" x14ac:dyDescent="0.25">
      <c r="A448" s="69" t="s">
        <v>103</v>
      </c>
      <c r="B448" s="95"/>
      <c r="C448" s="95"/>
      <c r="D448" s="106"/>
      <c r="E448" s="105"/>
      <c r="F448" s="101"/>
      <c r="H448" s="69" t="s">
        <v>103</v>
      </c>
      <c r="I448" s="95"/>
      <c r="J448" s="95"/>
      <c r="K448" s="106"/>
      <c r="L448" s="105"/>
      <c r="M448" s="101"/>
    </row>
    <row r="449" spans="1:14" x14ac:dyDescent="0.25">
      <c r="A449" s="69" t="s">
        <v>104</v>
      </c>
      <c r="B449" s="96"/>
      <c r="C449" s="96"/>
      <c r="D449" s="102"/>
      <c r="E449" s="103"/>
      <c r="F449" s="38"/>
      <c r="H449" s="69" t="s">
        <v>104</v>
      </c>
      <c r="I449" s="96"/>
      <c r="J449" s="96"/>
      <c r="K449" s="102"/>
      <c r="L449" s="103"/>
      <c r="M449" s="38"/>
    </row>
    <row r="450" spans="1:14" x14ac:dyDescent="0.25">
      <c r="A450" s="69" t="s">
        <v>105</v>
      </c>
      <c r="B450" s="96"/>
      <c r="C450" s="96"/>
      <c r="D450" s="102"/>
      <c r="E450" s="103"/>
      <c r="F450" s="38"/>
      <c r="H450" s="69" t="s">
        <v>105</v>
      </c>
      <c r="I450" s="96"/>
      <c r="J450" s="96"/>
      <c r="K450" s="102"/>
      <c r="L450" s="103"/>
      <c r="M450" s="38"/>
    </row>
    <row r="451" spans="1:14" x14ac:dyDescent="0.25">
      <c r="A451" s="69" t="s">
        <v>106</v>
      </c>
      <c r="B451" s="96"/>
      <c r="C451" s="96"/>
      <c r="D451" s="102"/>
      <c r="E451" s="103"/>
      <c r="F451" s="38"/>
      <c r="H451" s="69" t="s">
        <v>106</v>
      </c>
      <c r="I451" s="96"/>
      <c r="J451" s="96"/>
      <c r="K451" s="102"/>
      <c r="L451" s="103"/>
      <c r="M451" s="38"/>
    </row>
    <row r="452" spans="1:14" x14ac:dyDescent="0.25">
      <c r="A452" s="69" t="s">
        <v>107</v>
      </c>
      <c r="B452" s="96"/>
      <c r="C452" s="96"/>
      <c r="D452" s="102"/>
      <c r="E452" s="103"/>
      <c r="F452" s="38"/>
      <c r="H452" s="69" t="s">
        <v>107</v>
      </c>
      <c r="I452" s="96"/>
      <c r="J452" s="96"/>
      <c r="K452" s="102"/>
      <c r="L452" s="103"/>
      <c r="M452" s="38"/>
    </row>
    <row r="453" spans="1:14" x14ac:dyDescent="0.25">
      <c r="A453" s="69" t="s">
        <v>108</v>
      </c>
      <c r="B453" s="96"/>
      <c r="C453" s="96"/>
      <c r="D453" s="102"/>
      <c r="E453" s="103"/>
      <c r="F453" s="38"/>
      <c r="H453" s="69" t="s">
        <v>108</v>
      </c>
      <c r="I453" s="96"/>
      <c r="J453" s="96"/>
      <c r="K453" s="102"/>
      <c r="L453" s="103"/>
      <c r="M453" s="38"/>
    </row>
    <row r="454" spans="1:14" ht="15.75" thickBot="1" x14ac:dyDescent="0.3">
      <c r="A454" s="70" t="s">
        <v>109</v>
      </c>
      <c r="B454" s="97"/>
      <c r="C454" s="97"/>
      <c r="D454" s="71"/>
      <c r="E454" s="104"/>
      <c r="F454" s="38"/>
      <c r="H454" s="70" t="s">
        <v>109</v>
      </c>
      <c r="I454" s="97"/>
      <c r="J454" s="97"/>
      <c r="K454" s="71"/>
      <c r="L454" s="104"/>
      <c r="M454" s="39"/>
    </row>
    <row r="455" spans="1:14" ht="15.75" thickBot="1" x14ac:dyDescent="0.3">
      <c r="A455" s="64" t="str">
        <f>A422</f>
        <v>Semaine 29</v>
      </c>
      <c r="B455" s="65" t="e">
        <f>'MASQUE COLLABORATEUR'!B455</f>
        <v>#N/A</v>
      </c>
      <c r="C455" s="65" t="s">
        <v>141</v>
      </c>
      <c r="D455" s="66" t="e">
        <f>'MASQUE COLLABORATEUR'!D455</f>
        <v>#N/A</v>
      </c>
      <c r="E455" s="66" t="e">
        <f>'MASQUE COLLABORATEUR'!E455</f>
        <v>#N/A</v>
      </c>
      <c r="F455" s="67" t="s">
        <v>110</v>
      </c>
      <c r="H455" s="77" t="s">
        <v>136</v>
      </c>
      <c r="I455" s="78" t="e">
        <f>'MASQUE COLLABORATEUR'!I455</f>
        <v>#N/A</v>
      </c>
      <c r="J455" s="78" t="s">
        <v>141</v>
      </c>
      <c r="K455" s="79" t="e">
        <f>'MASQUE COLLABORATEUR'!K455</f>
        <v>#N/A</v>
      </c>
      <c r="L455" s="80" t="e">
        <f>'MASQUE COLLABORATEUR'!L455</f>
        <v>#N/A</v>
      </c>
      <c r="M455" s="49"/>
    </row>
    <row r="456" spans="1:14" x14ac:dyDescent="0.25">
      <c r="A456" s="69" t="s">
        <v>103</v>
      </c>
      <c r="B456" s="95"/>
      <c r="C456" s="95"/>
      <c r="D456" s="106"/>
      <c r="E456" s="105"/>
      <c r="F456" s="101"/>
      <c r="H456" s="81" t="s">
        <v>103</v>
      </c>
      <c r="I456" s="82">
        <v>0</v>
      </c>
      <c r="J456" s="82">
        <v>0</v>
      </c>
      <c r="K456" s="83">
        <v>0</v>
      </c>
      <c r="L456" s="84">
        <v>0</v>
      </c>
      <c r="M456" s="187"/>
      <c r="N456" s="188"/>
    </row>
    <row r="457" spans="1:14" x14ac:dyDescent="0.25">
      <c r="A457" s="69" t="s">
        <v>104</v>
      </c>
      <c r="B457" s="96"/>
      <c r="C457" s="96"/>
      <c r="D457" s="102"/>
      <c r="E457" s="103"/>
      <c r="F457" s="38"/>
      <c r="H457" s="81" t="s">
        <v>104</v>
      </c>
      <c r="I457" s="88">
        <v>0</v>
      </c>
      <c r="J457" s="88">
        <v>0</v>
      </c>
      <c r="K457" s="89">
        <v>0</v>
      </c>
      <c r="L457" s="90">
        <v>0</v>
      </c>
      <c r="M457" s="49"/>
    </row>
    <row r="458" spans="1:14" x14ac:dyDescent="0.25">
      <c r="A458" s="69" t="s">
        <v>105</v>
      </c>
      <c r="B458" s="96"/>
      <c r="C458" s="96"/>
      <c r="D458" s="102"/>
      <c r="E458" s="103"/>
      <c r="F458" s="38"/>
      <c r="H458" s="81" t="s">
        <v>105</v>
      </c>
      <c r="I458" s="88">
        <v>0</v>
      </c>
      <c r="J458" s="88">
        <v>0</v>
      </c>
      <c r="K458" s="89">
        <v>0</v>
      </c>
      <c r="L458" s="90">
        <v>0</v>
      </c>
      <c r="M458" s="49"/>
    </row>
    <row r="459" spans="1:14" x14ac:dyDescent="0.25">
      <c r="A459" s="69" t="s">
        <v>106</v>
      </c>
      <c r="B459" s="96"/>
      <c r="C459" s="96"/>
      <c r="D459" s="102"/>
      <c r="E459" s="103"/>
      <c r="F459" s="38"/>
      <c r="H459" s="81" t="s">
        <v>106</v>
      </c>
      <c r="I459" s="88">
        <v>0</v>
      </c>
      <c r="J459" s="88">
        <v>0</v>
      </c>
      <c r="K459" s="89">
        <v>0</v>
      </c>
      <c r="L459" s="90">
        <v>0</v>
      </c>
      <c r="M459" s="49"/>
    </row>
    <row r="460" spans="1:14" x14ac:dyDescent="0.25">
      <c r="A460" s="69" t="s">
        <v>107</v>
      </c>
      <c r="B460" s="96"/>
      <c r="C460" s="96"/>
      <c r="D460" s="102"/>
      <c r="E460" s="103"/>
      <c r="F460" s="38"/>
      <c r="H460" s="81" t="s">
        <v>107</v>
      </c>
      <c r="I460" s="88">
        <v>0</v>
      </c>
      <c r="J460" s="88">
        <v>0</v>
      </c>
      <c r="K460" s="89">
        <v>0</v>
      </c>
      <c r="L460" s="90">
        <v>0</v>
      </c>
      <c r="M460" s="187"/>
      <c r="N460" s="190" t="s">
        <v>447</v>
      </c>
    </row>
    <row r="461" spans="1:14" x14ac:dyDescent="0.25">
      <c r="A461" s="69" t="s">
        <v>108</v>
      </c>
      <c r="B461" s="96"/>
      <c r="C461" s="96"/>
      <c r="D461" s="102"/>
      <c r="E461" s="103"/>
      <c r="F461" s="38"/>
      <c r="H461" s="81" t="s">
        <v>108</v>
      </c>
      <c r="I461" s="88">
        <v>0</v>
      </c>
      <c r="J461" s="88">
        <v>0</v>
      </c>
      <c r="K461" s="89">
        <v>0</v>
      </c>
      <c r="L461" s="90">
        <v>0</v>
      </c>
      <c r="M461" s="49"/>
      <c r="N461" s="189">
        <f ca="1">TODAY()</f>
        <v>46181</v>
      </c>
    </row>
    <row r="462" spans="1:14" ht="15.75" thickBot="1" x14ac:dyDescent="0.3">
      <c r="A462" s="70" t="s">
        <v>109</v>
      </c>
      <c r="B462" s="97"/>
      <c r="C462" s="97"/>
      <c r="D462" s="71"/>
      <c r="E462" s="104"/>
      <c r="F462" s="39"/>
      <c r="H462" s="92" t="s">
        <v>109</v>
      </c>
      <c r="I462" s="93">
        <v>0</v>
      </c>
      <c r="J462" s="93">
        <v>0</v>
      </c>
      <c r="K462" s="71">
        <v>0</v>
      </c>
      <c r="L462" s="94">
        <v>0</v>
      </c>
      <c r="M462" s="49"/>
    </row>
    <row r="463" spans="1:14" ht="15" customHeight="1" x14ac:dyDescent="0.25">
      <c r="D463" s="308" t="s">
        <v>443</v>
      </c>
      <c r="E463" s="308"/>
      <c r="F463" s="308"/>
      <c r="G463" s="308"/>
      <c r="H463" s="308"/>
      <c r="I463" s="308"/>
      <c r="J463" s="308"/>
      <c r="K463" s="308"/>
      <c r="L463" s="42" t="s">
        <v>291</v>
      </c>
      <c r="N463" s="43" t="s">
        <v>442</v>
      </c>
    </row>
    <row r="464" spans="1:14" x14ac:dyDescent="0.25">
      <c r="D464" s="308"/>
      <c r="E464" s="308"/>
      <c r="F464" s="308"/>
      <c r="G464" s="308"/>
      <c r="H464" s="308"/>
      <c r="I464" s="308"/>
      <c r="J464" s="308"/>
      <c r="K464" s="308"/>
      <c r="N464" s="43" t="s">
        <v>446</v>
      </c>
    </row>
    <row r="465" spans="1:14" x14ac:dyDescent="0.25">
      <c r="D465" s="308"/>
      <c r="E465" s="308"/>
      <c r="F465" s="308"/>
      <c r="G465" s="308"/>
      <c r="H465" s="308"/>
      <c r="I465" s="308"/>
      <c r="J465" s="308"/>
      <c r="K465" s="308"/>
      <c r="N465" s="44"/>
    </row>
    <row r="466" spans="1:14" x14ac:dyDescent="0.25">
      <c r="A466" s="45" t="s">
        <v>3</v>
      </c>
      <c r="B466" s="46">
        <f>'MASQUE COLLABORATEUR'!B466</f>
        <v>2026</v>
      </c>
      <c r="C466" s="47"/>
      <c r="D466" s="48" t="s">
        <v>1</v>
      </c>
      <c r="E466" s="46">
        <f>'MASQUE COLLABORATEUR'!E466</f>
        <v>0</v>
      </c>
      <c r="F466" s="49"/>
      <c r="G466" s="49"/>
      <c r="H466" s="48" t="s">
        <v>2</v>
      </c>
      <c r="I466" s="47">
        <f>'MASQUE COLLABORATEUR'!I466</f>
        <v>0</v>
      </c>
      <c r="J466" s="50"/>
      <c r="K466" s="50"/>
      <c r="N466" s="44"/>
    </row>
    <row r="467" spans="1:14" ht="15.75" thickBot="1" x14ac:dyDescent="0.3">
      <c r="A467" s="45" t="s">
        <v>10</v>
      </c>
      <c r="B467" s="49"/>
      <c r="C467" s="49"/>
      <c r="D467" s="50" t="str">
        <f>'MASQUE COLLABORATEUR'!D467</f>
        <v>01 juin 2026 au 31 mai 2027.</v>
      </c>
      <c r="E467" s="2"/>
      <c r="H467" s="48" t="s">
        <v>205</v>
      </c>
      <c r="I467" s="47" t="str">
        <f>'MASQUE COLLABORATEUR'!I467</f>
        <v>Juin</v>
      </c>
      <c r="N467" s="44"/>
    </row>
    <row r="468" spans="1:14" x14ac:dyDescent="0.25">
      <c r="A468" s="192" t="s">
        <v>448</v>
      </c>
      <c r="B468" s="193"/>
      <c r="C468" s="193"/>
      <c r="D468" s="194"/>
      <c r="E468" s="194"/>
      <c r="F468" s="194"/>
      <c r="G468" s="194"/>
      <c r="H468" s="194"/>
      <c r="I468" s="194"/>
      <c r="J468" s="194"/>
      <c r="K468" s="194"/>
      <c r="L468" s="194"/>
      <c r="M468" s="194"/>
      <c r="N468" s="195"/>
    </row>
    <row r="469" spans="1:14" ht="15.75" thickBot="1" x14ac:dyDescent="0.3">
      <c r="A469" s="196"/>
      <c r="B469" s="197"/>
      <c r="C469" s="197"/>
      <c r="D469" s="197"/>
      <c r="E469" s="197"/>
      <c r="F469" s="197"/>
      <c r="G469" s="197"/>
      <c r="H469" s="197"/>
      <c r="I469" s="198"/>
      <c r="J469" s="198"/>
      <c r="K469" s="198"/>
      <c r="L469" s="198"/>
      <c r="M469" s="198"/>
      <c r="N469" s="199"/>
    </row>
    <row r="470" spans="1:14" x14ac:dyDescent="0.25">
      <c r="A470" s="49" t="s">
        <v>18</v>
      </c>
      <c r="B470" s="113">
        <f>'MASQUE COLLABORATEUR'!B470</f>
        <v>0</v>
      </c>
      <c r="E470" s="49"/>
      <c r="G470" s="57" t="s">
        <v>317</v>
      </c>
      <c r="H470" s="58" t="e">
        <f>'MASQUE COLLABORATEUR'!H470</f>
        <v>#N/A</v>
      </c>
      <c r="J470" s="10" t="s">
        <v>161</v>
      </c>
      <c r="K470" s="58" t="e">
        <f>'MASQUE COLLABORATEUR'!K470</f>
        <v>#N/A</v>
      </c>
      <c r="L470" s="114" t="s">
        <v>340</v>
      </c>
      <c r="M470" s="115" t="e">
        <f>'MASQUE COLLABORATEUR'!M470</f>
        <v>#N/A</v>
      </c>
    </row>
    <row r="471" spans="1:14" ht="15.75" thickBot="1" x14ac:dyDescent="0.3">
      <c r="A471" s="49" t="s">
        <v>59</v>
      </c>
      <c r="B471" s="2" t="e">
        <f>'MASQUE COLLABORATEUR'!B471</f>
        <v>#N/A</v>
      </c>
      <c r="C471" s="2"/>
      <c r="D471" s="2"/>
      <c r="G471" s="57" t="s">
        <v>158</v>
      </c>
      <c r="H471" s="58" t="e">
        <f>'MASQUE COLLABORATEUR'!H471</f>
        <v>#N/A</v>
      </c>
    </row>
    <row r="472" spans="1:14" ht="15.75" thickBot="1" x14ac:dyDescent="0.3">
      <c r="A472" s="64" t="str">
        <f>A439</f>
        <v>Semaine 25</v>
      </c>
      <c r="B472" s="65" t="e">
        <f>'MASQUE COLLABORATEUR'!B472</f>
        <v>#N/A</v>
      </c>
      <c r="C472" s="65" t="s">
        <v>141</v>
      </c>
      <c r="D472" s="66" t="e">
        <f>'MASQUE COLLABORATEUR'!D472</f>
        <v>#N/A</v>
      </c>
      <c r="E472" s="66" t="e">
        <f>'MASQUE COLLABORATEUR'!E472</f>
        <v>#N/A</v>
      </c>
      <c r="F472" s="67" t="s">
        <v>110</v>
      </c>
      <c r="H472" s="64" t="str">
        <f>H439</f>
        <v>Semaine 26</v>
      </c>
      <c r="I472" s="65" t="e">
        <f>'MASQUE COLLABORATEUR'!I472</f>
        <v>#N/A</v>
      </c>
      <c r="J472" s="65" t="s">
        <v>141</v>
      </c>
      <c r="K472" s="66" t="e">
        <f>'MASQUE COLLABORATEUR'!K472</f>
        <v>#N/A</v>
      </c>
      <c r="L472" s="66" t="e">
        <f>'MASQUE COLLABORATEUR'!L472</f>
        <v>#N/A</v>
      </c>
      <c r="M472" s="67" t="s">
        <v>110</v>
      </c>
    </row>
    <row r="473" spans="1:14" x14ac:dyDescent="0.25">
      <c r="A473" s="68" t="s">
        <v>103</v>
      </c>
      <c r="B473" s="98"/>
      <c r="C473" s="98"/>
      <c r="D473" s="99"/>
      <c r="E473" s="100"/>
      <c r="F473" s="101"/>
      <c r="H473" s="69" t="s">
        <v>103</v>
      </c>
      <c r="I473" s="95"/>
      <c r="J473" s="95"/>
      <c r="K473" s="106"/>
      <c r="L473" s="105"/>
      <c r="M473" s="101"/>
    </row>
    <row r="474" spans="1:14" x14ac:dyDescent="0.25">
      <c r="A474" s="69" t="s">
        <v>104</v>
      </c>
      <c r="B474" s="96"/>
      <c r="C474" s="96"/>
      <c r="D474" s="102"/>
      <c r="E474" s="103"/>
      <c r="F474" s="38"/>
      <c r="H474" s="69" t="s">
        <v>104</v>
      </c>
      <c r="I474" s="96"/>
      <c r="J474" s="96"/>
      <c r="K474" s="102"/>
      <c r="L474" s="103"/>
      <c r="M474" s="38"/>
    </row>
    <row r="475" spans="1:14" x14ac:dyDescent="0.25">
      <c r="A475" s="69" t="s">
        <v>105</v>
      </c>
      <c r="B475" s="96"/>
      <c r="C475" s="96"/>
      <c r="D475" s="102"/>
      <c r="E475" s="103"/>
      <c r="F475" s="38"/>
      <c r="H475" s="69" t="s">
        <v>105</v>
      </c>
      <c r="I475" s="96"/>
      <c r="J475" s="96"/>
      <c r="K475" s="102"/>
      <c r="L475" s="103"/>
      <c r="M475" s="38"/>
    </row>
    <row r="476" spans="1:14" x14ac:dyDescent="0.25">
      <c r="A476" s="69" t="s">
        <v>106</v>
      </c>
      <c r="B476" s="96"/>
      <c r="C476" s="96"/>
      <c r="D476" s="102"/>
      <c r="E476" s="103"/>
      <c r="F476" s="38"/>
      <c r="H476" s="69" t="s">
        <v>106</v>
      </c>
      <c r="I476" s="96"/>
      <c r="J476" s="96"/>
      <c r="K476" s="102"/>
      <c r="L476" s="103"/>
      <c r="M476" s="38"/>
    </row>
    <row r="477" spans="1:14" x14ac:dyDescent="0.25">
      <c r="A477" s="69" t="s">
        <v>107</v>
      </c>
      <c r="B477" s="96"/>
      <c r="C477" s="96"/>
      <c r="D477" s="102"/>
      <c r="E477" s="103"/>
      <c r="F477" s="38"/>
      <c r="H477" s="69" t="s">
        <v>107</v>
      </c>
      <c r="I477" s="96"/>
      <c r="J477" s="96"/>
      <c r="K477" s="102"/>
      <c r="L477" s="103"/>
      <c r="M477" s="38"/>
    </row>
    <row r="478" spans="1:14" x14ac:dyDescent="0.25">
      <c r="A478" s="69" t="s">
        <v>108</v>
      </c>
      <c r="B478" s="96"/>
      <c r="C478" s="96"/>
      <c r="D478" s="102"/>
      <c r="E478" s="103"/>
      <c r="F478" s="38"/>
      <c r="H478" s="69" t="s">
        <v>108</v>
      </c>
      <c r="I478" s="96"/>
      <c r="J478" s="96"/>
      <c r="K478" s="102"/>
      <c r="L478" s="103"/>
      <c r="M478" s="38"/>
    </row>
    <row r="479" spans="1:14" ht="15.75" thickBot="1" x14ac:dyDescent="0.3">
      <c r="A479" s="70" t="s">
        <v>109</v>
      </c>
      <c r="B479" s="97"/>
      <c r="C479" s="97"/>
      <c r="D479" s="71"/>
      <c r="E479" s="104"/>
      <c r="F479" s="38"/>
      <c r="H479" s="70" t="s">
        <v>109</v>
      </c>
      <c r="I479" s="97"/>
      <c r="J479" s="97"/>
      <c r="K479" s="71"/>
      <c r="L479" s="104"/>
      <c r="M479" s="38"/>
    </row>
    <row r="480" spans="1:14" ht="15.75" thickBot="1" x14ac:dyDescent="0.3">
      <c r="A480" s="64" t="str">
        <f>A447</f>
        <v>Semaine 27</v>
      </c>
      <c r="B480" s="65" t="e">
        <f>'MASQUE COLLABORATEUR'!B480</f>
        <v>#N/A</v>
      </c>
      <c r="C480" s="65" t="s">
        <v>141</v>
      </c>
      <c r="D480" s="66" t="e">
        <f>'MASQUE COLLABORATEUR'!D480</f>
        <v>#N/A</v>
      </c>
      <c r="E480" s="66" t="e">
        <f>'MASQUE COLLABORATEUR'!E480</f>
        <v>#N/A</v>
      </c>
      <c r="F480" s="67" t="s">
        <v>110</v>
      </c>
      <c r="H480" s="64" t="str">
        <f>H447</f>
        <v>Semaine 28</v>
      </c>
      <c r="I480" s="65" t="e">
        <f>'MASQUE COLLABORATEUR'!I480</f>
        <v>#N/A</v>
      </c>
      <c r="J480" s="65" t="s">
        <v>141</v>
      </c>
      <c r="K480" s="66" t="e">
        <f>'MASQUE COLLABORATEUR'!K480</f>
        <v>#N/A</v>
      </c>
      <c r="L480" s="66" t="e">
        <f>'MASQUE COLLABORATEUR'!L480</f>
        <v>#N/A</v>
      </c>
      <c r="M480" s="67" t="s">
        <v>110</v>
      </c>
    </row>
    <row r="481" spans="1:14" x14ac:dyDescent="0.25">
      <c r="A481" s="69" t="s">
        <v>103</v>
      </c>
      <c r="B481" s="95"/>
      <c r="C481" s="95"/>
      <c r="D481" s="106"/>
      <c r="E481" s="105"/>
      <c r="F481" s="101"/>
      <c r="H481" s="69" t="s">
        <v>103</v>
      </c>
      <c r="I481" s="95"/>
      <c r="J481" s="95"/>
      <c r="K481" s="106"/>
      <c r="L481" s="105"/>
      <c r="M481" s="101"/>
    </row>
    <row r="482" spans="1:14" x14ac:dyDescent="0.25">
      <c r="A482" s="69" t="s">
        <v>104</v>
      </c>
      <c r="B482" s="96"/>
      <c r="C482" s="96"/>
      <c r="D482" s="102"/>
      <c r="E482" s="103"/>
      <c r="F482" s="38"/>
      <c r="H482" s="69" t="s">
        <v>104</v>
      </c>
      <c r="I482" s="96"/>
      <c r="J482" s="96"/>
      <c r="K482" s="102"/>
      <c r="L482" s="103"/>
      <c r="M482" s="38"/>
    </row>
    <row r="483" spans="1:14" x14ac:dyDescent="0.25">
      <c r="A483" s="69" t="s">
        <v>105</v>
      </c>
      <c r="B483" s="96"/>
      <c r="C483" s="96"/>
      <c r="D483" s="102"/>
      <c r="E483" s="103"/>
      <c r="F483" s="38"/>
      <c r="H483" s="69" t="s">
        <v>105</v>
      </c>
      <c r="I483" s="96"/>
      <c r="J483" s="96"/>
      <c r="K483" s="102"/>
      <c r="L483" s="103"/>
      <c r="M483" s="38"/>
    </row>
    <row r="484" spans="1:14" x14ac:dyDescent="0.25">
      <c r="A484" s="69" t="s">
        <v>106</v>
      </c>
      <c r="B484" s="96"/>
      <c r="C484" s="96"/>
      <c r="D484" s="102"/>
      <c r="E484" s="103"/>
      <c r="F484" s="38"/>
      <c r="H484" s="69" t="s">
        <v>106</v>
      </c>
      <c r="I484" s="96"/>
      <c r="J484" s="96"/>
      <c r="K484" s="102"/>
      <c r="L484" s="103"/>
      <c r="M484" s="38"/>
    </row>
    <row r="485" spans="1:14" x14ac:dyDescent="0.25">
      <c r="A485" s="69" t="s">
        <v>107</v>
      </c>
      <c r="B485" s="96"/>
      <c r="C485" s="96"/>
      <c r="D485" s="102"/>
      <c r="E485" s="103"/>
      <c r="F485" s="38"/>
      <c r="H485" s="69" t="s">
        <v>107</v>
      </c>
      <c r="I485" s="96"/>
      <c r="J485" s="96"/>
      <c r="K485" s="102"/>
      <c r="L485" s="103"/>
      <c r="M485" s="38"/>
    </row>
    <row r="486" spans="1:14" x14ac:dyDescent="0.25">
      <c r="A486" s="69" t="s">
        <v>108</v>
      </c>
      <c r="B486" s="96"/>
      <c r="C486" s="96"/>
      <c r="D486" s="102"/>
      <c r="E486" s="103"/>
      <c r="F486" s="38"/>
      <c r="H486" s="69" t="s">
        <v>108</v>
      </c>
      <c r="I486" s="96"/>
      <c r="J486" s="96"/>
      <c r="K486" s="102"/>
      <c r="L486" s="103"/>
      <c r="M486" s="38"/>
    </row>
    <row r="487" spans="1:14" ht="15.75" thickBot="1" x14ac:dyDescent="0.3">
      <c r="A487" s="70" t="s">
        <v>109</v>
      </c>
      <c r="B487" s="97"/>
      <c r="C487" s="97"/>
      <c r="D487" s="71"/>
      <c r="E487" s="104"/>
      <c r="F487" s="38"/>
      <c r="H487" s="70" t="s">
        <v>109</v>
      </c>
      <c r="I487" s="97"/>
      <c r="J487" s="97"/>
      <c r="K487" s="71"/>
      <c r="L487" s="104"/>
      <c r="M487" s="39"/>
    </row>
    <row r="488" spans="1:14" ht="15.75" thickBot="1" x14ac:dyDescent="0.3">
      <c r="A488" s="64" t="str">
        <f>A455</f>
        <v>Semaine 29</v>
      </c>
      <c r="B488" s="65" t="e">
        <f>'MASQUE COLLABORATEUR'!B488</f>
        <v>#N/A</v>
      </c>
      <c r="C488" s="65" t="s">
        <v>141</v>
      </c>
      <c r="D488" s="66" t="e">
        <f>'MASQUE COLLABORATEUR'!D488</f>
        <v>#N/A</v>
      </c>
      <c r="E488" s="66" t="e">
        <f>'MASQUE COLLABORATEUR'!E488</f>
        <v>#N/A</v>
      </c>
      <c r="F488" s="67" t="s">
        <v>110</v>
      </c>
      <c r="H488" s="77" t="s">
        <v>136</v>
      </c>
      <c r="I488" s="78" t="e">
        <f>'MASQUE COLLABORATEUR'!I488</f>
        <v>#N/A</v>
      </c>
      <c r="J488" s="78" t="s">
        <v>141</v>
      </c>
      <c r="K488" s="79" t="e">
        <f>'MASQUE COLLABORATEUR'!K488</f>
        <v>#N/A</v>
      </c>
      <c r="L488" s="80" t="e">
        <f>'MASQUE COLLABORATEUR'!L488</f>
        <v>#N/A</v>
      </c>
      <c r="M488" s="49"/>
    </row>
    <row r="489" spans="1:14" x14ac:dyDescent="0.25">
      <c r="A489" s="69" t="s">
        <v>103</v>
      </c>
      <c r="B489" s="95"/>
      <c r="C489" s="95"/>
      <c r="D489" s="106"/>
      <c r="E489" s="105"/>
      <c r="F489" s="101"/>
      <c r="H489" s="81" t="s">
        <v>103</v>
      </c>
      <c r="I489" s="82">
        <v>0</v>
      </c>
      <c r="J489" s="82">
        <v>0</v>
      </c>
      <c r="K489" s="83">
        <v>0</v>
      </c>
      <c r="L489" s="84">
        <v>0</v>
      </c>
      <c r="M489" s="187"/>
      <c r="N489" s="188"/>
    </row>
    <row r="490" spans="1:14" x14ac:dyDescent="0.25">
      <c r="A490" s="69" t="s">
        <v>104</v>
      </c>
      <c r="B490" s="96"/>
      <c r="C490" s="96"/>
      <c r="D490" s="102"/>
      <c r="E490" s="103"/>
      <c r="F490" s="38"/>
      <c r="H490" s="81" t="s">
        <v>104</v>
      </c>
      <c r="I490" s="88">
        <v>0</v>
      </c>
      <c r="J490" s="88">
        <v>0</v>
      </c>
      <c r="K490" s="89">
        <v>0</v>
      </c>
      <c r="L490" s="90">
        <v>0</v>
      </c>
      <c r="M490" s="49"/>
    </row>
    <row r="491" spans="1:14" x14ac:dyDescent="0.25">
      <c r="A491" s="69" t="s">
        <v>105</v>
      </c>
      <c r="B491" s="96"/>
      <c r="C491" s="96"/>
      <c r="D491" s="102"/>
      <c r="E491" s="103"/>
      <c r="F491" s="38"/>
      <c r="H491" s="81" t="s">
        <v>105</v>
      </c>
      <c r="I491" s="88">
        <v>0</v>
      </c>
      <c r="J491" s="88">
        <v>0</v>
      </c>
      <c r="K491" s="89">
        <v>0</v>
      </c>
      <c r="L491" s="90">
        <v>0</v>
      </c>
      <c r="M491" s="49"/>
    </row>
    <row r="492" spans="1:14" x14ac:dyDescent="0.25">
      <c r="A492" s="69" t="s">
        <v>106</v>
      </c>
      <c r="B492" s="96"/>
      <c r="C492" s="96"/>
      <c r="D492" s="102"/>
      <c r="E492" s="103"/>
      <c r="F492" s="38"/>
      <c r="H492" s="81" t="s">
        <v>106</v>
      </c>
      <c r="I492" s="88">
        <v>0</v>
      </c>
      <c r="J492" s="88">
        <v>0</v>
      </c>
      <c r="K492" s="89">
        <v>0</v>
      </c>
      <c r="L492" s="90">
        <v>0</v>
      </c>
      <c r="M492" s="49"/>
    </row>
    <row r="493" spans="1:14" x14ac:dyDescent="0.25">
      <c r="A493" s="69" t="s">
        <v>107</v>
      </c>
      <c r="B493" s="96"/>
      <c r="C493" s="96"/>
      <c r="D493" s="102"/>
      <c r="E493" s="103"/>
      <c r="F493" s="38"/>
      <c r="H493" s="81" t="s">
        <v>107</v>
      </c>
      <c r="I493" s="88">
        <v>0</v>
      </c>
      <c r="J493" s="88">
        <v>0</v>
      </c>
      <c r="K493" s="89">
        <v>0</v>
      </c>
      <c r="L493" s="90">
        <v>0</v>
      </c>
      <c r="M493" s="187"/>
      <c r="N493" s="190" t="s">
        <v>447</v>
      </c>
    </row>
    <row r="494" spans="1:14" x14ac:dyDescent="0.25">
      <c r="A494" s="69" t="s">
        <v>108</v>
      </c>
      <c r="B494" s="96"/>
      <c r="C494" s="96"/>
      <c r="D494" s="102"/>
      <c r="E494" s="103"/>
      <c r="F494" s="38"/>
      <c r="H494" s="81" t="s">
        <v>108</v>
      </c>
      <c r="I494" s="88">
        <v>0</v>
      </c>
      <c r="J494" s="88">
        <v>0</v>
      </c>
      <c r="K494" s="89">
        <v>0</v>
      </c>
      <c r="L494" s="90">
        <v>0</v>
      </c>
      <c r="M494" s="49"/>
      <c r="N494" s="189">
        <f ca="1">TODAY()</f>
        <v>46181</v>
      </c>
    </row>
    <row r="495" spans="1:14" ht="15.75" thickBot="1" x14ac:dyDescent="0.3">
      <c r="A495" s="70" t="s">
        <v>109</v>
      </c>
      <c r="B495" s="97"/>
      <c r="C495" s="97"/>
      <c r="D495" s="71"/>
      <c r="E495" s="104"/>
      <c r="F495" s="39"/>
      <c r="H495" s="92" t="s">
        <v>109</v>
      </c>
      <c r="I495" s="93">
        <v>0</v>
      </c>
      <c r="J495" s="93">
        <v>0</v>
      </c>
      <c r="K495" s="71">
        <v>0</v>
      </c>
      <c r="L495" s="94">
        <v>0</v>
      </c>
      <c r="M495" s="49"/>
    </row>
    <row r="496" spans="1:14" ht="15" customHeight="1" x14ac:dyDescent="0.25">
      <c r="D496" s="308" t="s">
        <v>443</v>
      </c>
      <c r="E496" s="308"/>
      <c r="F496" s="308"/>
      <c r="G496" s="308"/>
      <c r="H496" s="308"/>
      <c r="I496" s="308"/>
      <c r="J496" s="308"/>
      <c r="K496" s="308"/>
      <c r="L496" s="42" t="s">
        <v>292</v>
      </c>
      <c r="N496" s="43" t="s">
        <v>442</v>
      </c>
    </row>
    <row r="497" spans="1:14" x14ac:dyDescent="0.25">
      <c r="D497" s="308"/>
      <c r="E497" s="308"/>
      <c r="F497" s="308"/>
      <c r="G497" s="308"/>
      <c r="H497" s="308"/>
      <c r="I497" s="308"/>
      <c r="J497" s="308"/>
      <c r="K497" s="308"/>
      <c r="N497" s="43" t="s">
        <v>446</v>
      </c>
    </row>
    <row r="498" spans="1:14" x14ac:dyDescent="0.25">
      <c r="D498" s="308"/>
      <c r="E498" s="308"/>
      <c r="F498" s="308"/>
      <c r="G498" s="308"/>
      <c r="H498" s="308"/>
      <c r="I498" s="308"/>
      <c r="J498" s="308"/>
      <c r="K498" s="308"/>
      <c r="N498" s="44"/>
    </row>
    <row r="499" spans="1:14" x14ac:dyDescent="0.25">
      <c r="A499" s="45" t="s">
        <v>3</v>
      </c>
      <c r="B499" s="46">
        <f>'MASQUE COLLABORATEUR'!B499</f>
        <v>2026</v>
      </c>
      <c r="C499" s="47"/>
      <c r="D499" s="48" t="s">
        <v>1</v>
      </c>
      <c r="E499" s="46">
        <f>'MASQUE COLLABORATEUR'!E499</f>
        <v>0</v>
      </c>
      <c r="F499" s="49"/>
      <c r="G499" s="49"/>
      <c r="H499" s="48" t="s">
        <v>2</v>
      </c>
      <c r="I499" s="47">
        <f>'MASQUE COLLABORATEUR'!I499</f>
        <v>0</v>
      </c>
      <c r="J499" s="50"/>
      <c r="K499" s="50"/>
      <c r="N499" s="44"/>
    </row>
    <row r="500" spans="1:14" ht="15.75" thickBot="1" x14ac:dyDescent="0.3">
      <c r="A500" s="45" t="s">
        <v>10</v>
      </c>
      <c r="B500" s="49"/>
      <c r="C500" s="49"/>
      <c r="D500" s="50" t="str">
        <f>'MASQUE COLLABORATEUR'!D500</f>
        <v>01 juin 2026 au 31 mai 2027.</v>
      </c>
      <c r="E500" s="2"/>
      <c r="H500" s="48" t="s">
        <v>205</v>
      </c>
      <c r="I500" s="47" t="str">
        <f>'MASQUE COLLABORATEUR'!I500</f>
        <v>Juin</v>
      </c>
      <c r="N500" s="44"/>
    </row>
    <row r="501" spans="1:14" x14ac:dyDescent="0.25">
      <c r="A501" s="192" t="s">
        <v>448</v>
      </c>
      <c r="B501" s="193"/>
      <c r="C501" s="193"/>
      <c r="D501" s="194"/>
      <c r="E501" s="194"/>
      <c r="F501" s="194"/>
      <c r="G501" s="194"/>
      <c r="H501" s="194"/>
      <c r="I501" s="194"/>
      <c r="J501" s="194"/>
      <c r="K501" s="194"/>
      <c r="L501" s="194"/>
      <c r="M501" s="194"/>
      <c r="N501" s="195"/>
    </row>
    <row r="502" spans="1:14" ht="15.75" thickBot="1" x14ac:dyDescent="0.3">
      <c r="A502" s="196"/>
      <c r="B502" s="197"/>
      <c r="C502" s="197"/>
      <c r="D502" s="197"/>
      <c r="E502" s="197"/>
      <c r="F502" s="197"/>
      <c r="G502" s="197"/>
      <c r="H502" s="197"/>
      <c r="I502" s="198"/>
      <c r="J502" s="198"/>
      <c r="K502" s="198"/>
      <c r="L502" s="198"/>
      <c r="M502" s="198"/>
      <c r="N502" s="199"/>
    </row>
    <row r="503" spans="1:14" x14ac:dyDescent="0.25">
      <c r="A503" s="49" t="s">
        <v>18</v>
      </c>
      <c r="B503" s="113">
        <f>'MASQUE COLLABORATEUR'!B503</f>
        <v>0</v>
      </c>
      <c r="E503" s="49"/>
      <c r="G503" s="57" t="s">
        <v>317</v>
      </c>
      <c r="H503" s="58" t="e">
        <f>'MASQUE COLLABORATEUR'!H503</f>
        <v>#N/A</v>
      </c>
      <c r="J503" s="10" t="s">
        <v>161</v>
      </c>
      <c r="K503" s="58" t="e">
        <f>'MASQUE COLLABORATEUR'!K503</f>
        <v>#N/A</v>
      </c>
      <c r="L503" s="114" t="s">
        <v>340</v>
      </c>
      <c r="M503" s="115" t="e">
        <f>'MASQUE COLLABORATEUR'!M503</f>
        <v>#N/A</v>
      </c>
    </row>
    <row r="504" spans="1:14" ht="15.75" thickBot="1" x14ac:dyDescent="0.3">
      <c r="A504" s="49" t="s">
        <v>59</v>
      </c>
      <c r="B504" s="2" t="e">
        <f>'MASQUE COLLABORATEUR'!B504</f>
        <v>#N/A</v>
      </c>
      <c r="C504" s="2"/>
      <c r="D504" s="2"/>
      <c r="G504" s="57" t="s">
        <v>158</v>
      </c>
      <c r="H504" s="58" t="e">
        <f>'MASQUE COLLABORATEUR'!H504</f>
        <v>#N/A</v>
      </c>
    </row>
    <row r="505" spans="1:14" ht="15.75" thickBot="1" x14ac:dyDescent="0.3">
      <c r="A505" s="64" t="str">
        <f>A472</f>
        <v>Semaine 25</v>
      </c>
      <c r="B505" s="65" t="e">
        <f>'MASQUE COLLABORATEUR'!B505</f>
        <v>#N/A</v>
      </c>
      <c r="C505" s="65" t="s">
        <v>141</v>
      </c>
      <c r="D505" s="66" t="e">
        <f>'MASQUE COLLABORATEUR'!D505</f>
        <v>#N/A</v>
      </c>
      <c r="E505" s="66" t="e">
        <f>'MASQUE COLLABORATEUR'!E505</f>
        <v>#N/A</v>
      </c>
      <c r="F505" s="67" t="s">
        <v>110</v>
      </c>
      <c r="H505" s="64" t="str">
        <f>H472</f>
        <v>Semaine 26</v>
      </c>
      <c r="I505" s="65" t="e">
        <f>'MASQUE COLLABORATEUR'!I505</f>
        <v>#N/A</v>
      </c>
      <c r="J505" s="65" t="s">
        <v>141</v>
      </c>
      <c r="K505" s="66" t="e">
        <f>'MASQUE COLLABORATEUR'!K505</f>
        <v>#N/A</v>
      </c>
      <c r="L505" s="66" t="e">
        <f>'MASQUE COLLABORATEUR'!L505</f>
        <v>#N/A</v>
      </c>
      <c r="M505" s="67" t="s">
        <v>110</v>
      </c>
    </row>
    <row r="506" spans="1:14" x14ac:dyDescent="0.25">
      <c r="A506" s="68" t="s">
        <v>103</v>
      </c>
      <c r="B506" s="98"/>
      <c r="C506" s="98"/>
      <c r="D506" s="99"/>
      <c r="E506" s="100"/>
      <c r="F506" s="101"/>
      <c r="H506" s="69" t="s">
        <v>103</v>
      </c>
      <c r="I506" s="95"/>
      <c r="J506" s="95"/>
      <c r="K506" s="106"/>
      <c r="L506" s="105"/>
      <c r="M506" s="101"/>
    </row>
    <row r="507" spans="1:14" x14ac:dyDescent="0.25">
      <c r="A507" s="69" t="s">
        <v>104</v>
      </c>
      <c r="B507" s="96"/>
      <c r="C507" s="96"/>
      <c r="D507" s="102"/>
      <c r="E507" s="103"/>
      <c r="F507" s="38"/>
      <c r="H507" s="69" t="s">
        <v>104</v>
      </c>
      <c r="I507" s="96"/>
      <c r="J507" s="96"/>
      <c r="K507" s="102"/>
      <c r="L507" s="103"/>
      <c r="M507" s="38"/>
    </row>
    <row r="508" spans="1:14" x14ac:dyDescent="0.25">
      <c r="A508" s="69" t="s">
        <v>105</v>
      </c>
      <c r="B508" s="96"/>
      <c r="C508" s="96"/>
      <c r="D508" s="102"/>
      <c r="E508" s="103"/>
      <c r="F508" s="38"/>
      <c r="H508" s="69" t="s">
        <v>105</v>
      </c>
      <c r="I508" s="96"/>
      <c r="J508" s="96"/>
      <c r="K508" s="102"/>
      <c r="L508" s="103"/>
      <c r="M508" s="38"/>
    </row>
    <row r="509" spans="1:14" x14ac:dyDescent="0.25">
      <c r="A509" s="69" t="s">
        <v>106</v>
      </c>
      <c r="B509" s="96"/>
      <c r="C509" s="96"/>
      <c r="D509" s="102"/>
      <c r="E509" s="103"/>
      <c r="F509" s="38"/>
      <c r="H509" s="69" t="s">
        <v>106</v>
      </c>
      <c r="I509" s="96"/>
      <c r="J509" s="96"/>
      <c r="K509" s="102"/>
      <c r="L509" s="103"/>
      <c r="M509" s="38"/>
    </row>
    <row r="510" spans="1:14" x14ac:dyDescent="0.25">
      <c r="A510" s="69" t="s">
        <v>107</v>
      </c>
      <c r="B510" s="96"/>
      <c r="C510" s="96"/>
      <c r="D510" s="102"/>
      <c r="E510" s="103"/>
      <c r="F510" s="38"/>
      <c r="H510" s="69" t="s">
        <v>107</v>
      </c>
      <c r="I510" s="96"/>
      <c r="J510" s="96"/>
      <c r="K510" s="102"/>
      <c r="L510" s="103"/>
      <c r="M510" s="38"/>
    </row>
    <row r="511" spans="1:14" x14ac:dyDescent="0.25">
      <c r="A511" s="69" t="s">
        <v>108</v>
      </c>
      <c r="B511" s="96"/>
      <c r="C511" s="96"/>
      <c r="D511" s="102"/>
      <c r="E511" s="103"/>
      <c r="F511" s="38"/>
      <c r="H511" s="69" t="s">
        <v>108</v>
      </c>
      <c r="I511" s="96"/>
      <c r="J511" s="96"/>
      <c r="K511" s="102"/>
      <c r="L511" s="103"/>
      <c r="M511" s="38"/>
    </row>
    <row r="512" spans="1:14" ht="15.75" thickBot="1" x14ac:dyDescent="0.3">
      <c r="A512" s="70" t="s">
        <v>109</v>
      </c>
      <c r="B512" s="97"/>
      <c r="C512" s="97"/>
      <c r="D512" s="71"/>
      <c r="E512" s="104"/>
      <c r="F512" s="38"/>
      <c r="H512" s="70" t="s">
        <v>109</v>
      </c>
      <c r="I512" s="97"/>
      <c r="J512" s="97"/>
      <c r="K512" s="71"/>
      <c r="L512" s="104"/>
      <c r="M512" s="38"/>
    </row>
    <row r="513" spans="1:14" ht="15.75" thickBot="1" x14ac:dyDescent="0.3">
      <c r="A513" s="64" t="str">
        <f>A480</f>
        <v>Semaine 27</v>
      </c>
      <c r="B513" s="65" t="e">
        <f>'MASQUE COLLABORATEUR'!B513</f>
        <v>#N/A</v>
      </c>
      <c r="C513" s="65" t="s">
        <v>141</v>
      </c>
      <c r="D513" s="66" t="e">
        <f>'MASQUE COLLABORATEUR'!D513</f>
        <v>#N/A</v>
      </c>
      <c r="E513" s="66" t="e">
        <f>'MASQUE COLLABORATEUR'!E513</f>
        <v>#N/A</v>
      </c>
      <c r="F513" s="67" t="s">
        <v>110</v>
      </c>
      <c r="H513" s="64" t="str">
        <f>H480</f>
        <v>Semaine 28</v>
      </c>
      <c r="I513" s="65" t="e">
        <f>'MASQUE COLLABORATEUR'!I513</f>
        <v>#N/A</v>
      </c>
      <c r="J513" s="65" t="s">
        <v>141</v>
      </c>
      <c r="K513" s="66" t="e">
        <f>'MASQUE COLLABORATEUR'!K513</f>
        <v>#N/A</v>
      </c>
      <c r="L513" s="66" t="e">
        <f>'MASQUE COLLABORATEUR'!L513</f>
        <v>#N/A</v>
      </c>
      <c r="M513" s="67" t="s">
        <v>110</v>
      </c>
    </row>
    <row r="514" spans="1:14" x14ac:dyDescent="0.25">
      <c r="A514" s="69" t="s">
        <v>103</v>
      </c>
      <c r="B514" s="95"/>
      <c r="C514" s="95"/>
      <c r="D514" s="106"/>
      <c r="E514" s="105"/>
      <c r="F514" s="101"/>
      <c r="H514" s="69" t="s">
        <v>103</v>
      </c>
      <c r="I514" s="95"/>
      <c r="J514" s="95"/>
      <c r="K514" s="106"/>
      <c r="L514" s="105"/>
      <c r="M514" s="101"/>
    </row>
    <row r="515" spans="1:14" x14ac:dyDescent="0.25">
      <c r="A515" s="69" t="s">
        <v>104</v>
      </c>
      <c r="B515" s="96"/>
      <c r="C515" s="96"/>
      <c r="D515" s="102"/>
      <c r="E515" s="103"/>
      <c r="F515" s="38"/>
      <c r="H515" s="69" t="s">
        <v>104</v>
      </c>
      <c r="I515" s="96"/>
      <c r="J515" s="96"/>
      <c r="K515" s="102"/>
      <c r="L515" s="103"/>
      <c r="M515" s="38"/>
    </row>
    <row r="516" spans="1:14" x14ac:dyDescent="0.25">
      <c r="A516" s="69" t="s">
        <v>105</v>
      </c>
      <c r="B516" s="96"/>
      <c r="C516" s="96"/>
      <c r="D516" s="102"/>
      <c r="E516" s="103"/>
      <c r="F516" s="38"/>
      <c r="H516" s="69" t="s">
        <v>105</v>
      </c>
      <c r="I516" s="96"/>
      <c r="J516" s="96"/>
      <c r="K516" s="102"/>
      <c r="L516" s="103"/>
      <c r="M516" s="38"/>
    </row>
    <row r="517" spans="1:14" x14ac:dyDescent="0.25">
      <c r="A517" s="69" t="s">
        <v>106</v>
      </c>
      <c r="B517" s="96"/>
      <c r="C517" s="96"/>
      <c r="D517" s="102"/>
      <c r="E517" s="103"/>
      <c r="F517" s="38"/>
      <c r="H517" s="69" t="s">
        <v>106</v>
      </c>
      <c r="I517" s="96"/>
      <c r="J517" s="96"/>
      <c r="K517" s="102"/>
      <c r="L517" s="103"/>
      <c r="M517" s="38"/>
    </row>
    <row r="518" spans="1:14" x14ac:dyDescent="0.25">
      <c r="A518" s="69" t="s">
        <v>107</v>
      </c>
      <c r="B518" s="96"/>
      <c r="C518" s="96"/>
      <c r="D518" s="102"/>
      <c r="E518" s="103"/>
      <c r="F518" s="38"/>
      <c r="H518" s="69" t="s">
        <v>107</v>
      </c>
      <c r="I518" s="96"/>
      <c r="J518" s="96"/>
      <c r="K518" s="102"/>
      <c r="L518" s="103"/>
      <c r="M518" s="38"/>
    </row>
    <row r="519" spans="1:14" x14ac:dyDescent="0.25">
      <c r="A519" s="69" t="s">
        <v>108</v>
      </c>
      <c r="B519" s="96"/>
      <c r="C519" s="96"/>
      <c r="D519" s="102"/>
      <c r="E519" s="103"/>
      <c r="F519" s="38"/>
      <c r="H519" s="69" t="s">
        <v>108</v>
      </c>
      <c r="I519" s="96"/>
      <c r="J519" s="96"/>
      <c r="K519" s="102"/>
      <c r="L519" s="103"/>
      <c r="M519" s="38"/>
    </row>
    <row r="520" spans="1:14" ht="15.75" thickBot="1" x14ac:dyDescent="0.3">
      <c r="A520" s="70" t="s">
        <v>109</v>
      </c>
      <c r="B520" s="97"/>
      <c r="C520" s="97"/>
      <c r="D520" s="71"/>
      <c r="E520" s="104"/>
      <c r="F520" s="38"/>
      <c r="H520" s="70" t="s">
        <v>109</v>
      </c>
      <c r="I520" s="97"/>
      <c r="J520" s="97"/>
      <c r="K520" s="71"/>
      <c r="L520" s="104"/>
      <c r="M520" s="39"/>
    </row>
    <row r="521" spans="1:14" ht="15.75" thickBot="1" x14ac:dyDescent="0.3">
      <c r="A521" s="64" t="str">
        <f>A488</f>
        <v>Semaine 29</v>
      </c>
      <c r="B521" s="65" t="e">
        <f>'MASQUE COLLABORATEUR'!B521</f>
        <v>#N/A</v>
      </c>
      <c r="C521" s="65" t="s">
        <v>141</v>
      </c>
      <c r="D521" s="66" t="e">
        <f>'MASQUE COLLABORATEUR'!D521</f>
        <v>#N/A</v>
      </c>
      <c r="E521" s="66" t="e">
        <f>'MASQUE COLLABORATEUR'!E521</f>
        <v>#N/A</v>
      </c>
      <c r="F521" s="67" t="s">
        <v>110</v>
      </c>
      <c r="H521" s="77" t="s">
        <v>136</v>
      </c>
      <c r="I521" s="78" t="e">
        <f>'MASQUE COLLABORATEUR'!I521</f>
        <v>#N/A</v>
      </c>
      <c r="J521" s="78" t="s">
        <v>141</v>
      </c>
      <c r="K521" s="79" t="e">
        <f>'MASQUE COLLABORATEUR'!K521</f>
        <v>#N/A</v>
      </c>
      <c r="L521" s="80" t="e">
        <f>'MASQUE COLLABORATEUR'!L521</f>
        <v>#N/A</v>
      </c>
      <c r="M521" s="49"/>
    </row>
    <row r="522" spans="1:14" x14ac:dyDescent="0.25">
      <c r="A522" s="69" t="s">
        <v>103</v>
      </c>
      <c r="B522" s="95"/>
      <c r="C522" s="95"/>
      <c r="D522" s="106"/>
      <c r="E522" s="105"/>
      <c r="F522" s="101"/>
      <c r="H522" s="81" t="s">
        <v>103</v>
      </c>
      <c r="I522" s="82">
        <v>0</v>
      </c>
      <c r="J522" s="82">
        <v>0</v>
      </c>
      <c r="K522" s="83">
        <v>0</v>
      </c>
      <c r="L522" s="84">
        <v>0</v>
      </c>
      <c r="M522" s="187"/>
      <c r="N522" s="188"/>
    </row>
    <row r="523" spans="1:14" x14ac:dyDescent="0.25">
      <c r="A523" s="69" t="s">
        <v>104</v>
      </c>
      <c r="B523" s="96"/>
      <c r="C523" s="96"/>
      <c r="D523" s="102"/>
      <c r="E523" s="103"/>
      <c r="F523" s="38"/>
      <c r="H523" s="81" t="s">
        <v>104</v>
      </c>
      <c r="I523" s="88">
        <v>0</v>
      </c>
      <c r="J523" s="88">
        <v>0</v>
      </c>
      <c r="K523" s="89">
        <v>0</v>
      </c>
      <c r="L523" s="90">
        <v>0</v>
      </c>
      <c r="M523" s="49"/>
    </row>
    <row r="524" spans="1:14" x14ac:dyDescent="0.25">
      <c r="A524" s="69" t="s">
        <v>105</v>
      </c>
      <c r="B524" s="96"/>
      <c r="C524" s="96"/>
      <c r="D524" s="102"/>
      <c r="E524" s="103"/>
      <c r="F524" s="38"/>
      <c r="H524" s="81" t="s">
        <v>105</v>
      </c>
      <c r="I524" s="88">
        <v>0</v>
      </c>
      <c r="J524" s="88">
        <v>0</v>
      </c>
      <c r="K524" s="89">
        <v>0</v>
      </c>
      <c r="L524" s="90">
        <v>0</v>
      </c>
      <c r="M524" s="49"/>
    </row>
    <row r="525" spans="1:14" x14ac:dyDescent="0.25">
      <c r="A525" s="69" t="s">
        <v>106</v>
      </c>
      <c r="B525" s="96"/>
      <c r="C525" s="96"/>
      <c r="D525" s="102"/>
      <c r="E525" s="103"/>
      <c r="F525" s="38"/>
      <c r="H525" s="81" t="s">
        <v>106</v>
      </c>
      <c r="I525" s="88">
        <v>0</v>
      </c>
      <c r="J525" s="88">
        <v>0</v>
      </c>
      <c r="K525" s="89">
        <v>0</v>
      </c>
      <c r="L525" s="90">
        <v>0</v>
      </c>
      <c r="M525" s="49"/>
    </row>
    <row r="526" spans="1:14" x14ac:dyDescent="0.25">
      <c r="A526" s="69" t="s">
        <v>107</v>
      </c>
      <c r="B526" s="96"/>
      <c r="C526" s="96"/>
      <c r="D526" s="102"/>
      <c r="E526" s="103"/>
      <c r="F526" s="38"/>
      <c r="H526" s="81" t="s">
        <v>107</v>
      </c>
      <c r="I526" s="88">
        <v>0</v>
      </c>
      <c r="J526" s="88">
        <v>0</v>
      </c>
      <c r="K526" s="89">
        <v>0</v>
      </c>
      <c r="L526" s="90">
        <v>0</v>
      </c>
      <c r="M526" s="187"/>
      <c r="N526" s="190" t="s">
        <v>447</v>
      </c>
    </row>
    <row r="527" spans="1:14" x14ac:dyDescent="0.25">
      <c r="A527" s="69" t="s">
        <v>108</v>
      </c>
      <c r="B527" s="96"/>
      <c r="C527" s="96"/>
      <c r="D527" s="102"/>
      <c r="E527" s="103"/>
      <c r="F527" s="38"/>
      <c r="H527" s="81" t="s">
        <v>108</v>
      </c>
      <c r="I527" s="88">
        <v>0</v>
      </c>
      <c r="J527" s="88">
        <v>0</v>
      </c>
      <c r="K527" s="89">
        <v>0</v>
      </c>
      <c r="L527" s="90">
        <v>0</v>
      </c>
      <c r="M527" s="49"/>
      <c r="N527" s="189">
        <f ca="1">TODAY()</f>
        <v>46181</v>
      </c>
    </row>
    <row r="528" spans="1:14" ht="15.75" thickBot="1" x14ac:dyDescent="0.3">
      <c r="A528" s="70" t="s">
        <v>109</v>
      </c>
      <c r="B528" s="97"/>
      <c r="C528" s="97"/>
      <c r="D528" s="71"/>
      <c r="E528" s="104"/>
      <c r="F528" s="39"/>
      <c r="H528" s="92" t="s">
        <v>109</v>
      </c>
      <c r="I528" s="93">
        <v>0</v>
      </c>
      <c r="J528" s="93">
        <v>0</v>
      </c>
      <c r="K528" s="71">
        <v>0</v>
      </c>
      <c r="L528" s="94">
        <v>0</v>
      </c>
      <c r="M528" s="49"/>
    </row>
    <row r="529" spans="1:14" ht="15" customHeight="1" x14ac:dyDescent="0.25">
      <c r="D529" s="308" t="s">
        <v>443</v>
      </c>
      <c r="E529" s="308"/>
      <c r="F529" s="308"/>
      <c r="G529" s="308"/>
      <c r="H529" s="308"/>
      <c r="I529" s="308"/>
      <c r="J529" s="308"/>
      <c r="K529" s="308"/>
      <c r="L529" s="42" t="s">
        <v>293</v>
      </c>
      <c r="N529" s="43" t="s">
        <v>442</v>
      </c>
    </row>
    <row r="530" spans="1:14" x14ac:dyDescent="0.25">
      <c r="D530" s="308"/>
      <c r="E530" s="308"/>
      <c r="F530" s="308"/>
      <c r="G530" s="308"/>
      <c r="H530" s="308"/>
      <c r="I530" s="308"/>
      <c r="J530" s="308"/>
      <c r="K530" s="308"/>
      <c r="N530" s="43" t="s">
        <v>446</v>
      </c>
    </row>
    <row r="531" spans="1:14" x14ac:dyDescent="0.25">
      <c r="D531" s="308"/>
      <c r="E531" s="308"/>
      <c r="F531" s="308"/>
      <c r="G531" s="308"/>
      <c r="H531" s="308"/>
      <c r="I531" s="308"/>
      <c r="J531" s="308"/>
      <c r="K531" s="308"/>
      <c r="N531" s="44"/>
    </row>
    <row r="532" spans="1:14" x14ac:dyDescent="0.25">
      <c r="A532" s="45" t="s">
        <v>3</v>
      </c>
      <c r="B532" s="46">
        <f>'MASQUE COLLABORATEUR'!B532</f>
        <v>2026</v>
      </c>
      <c r="C532" s="47"/>
      <c r="D532" s="48" t="s">
        <v>1</v>
      </c>
      <c r="E532" s="46">
        <f>'MASQUE COLLABORATEUR'!E532</f>
        <v>0</v>
      </c>
      <c r="F532" s="49"/>
      <c r="G532" s="49"/>
      <c r="H532" s="48" t="s">
        <v>2</v>
      </c>
      <c r="I532" s="47">
        <f>'MASQUE COLLABORATEUR'!I532</f>
        <v>0</v>
      </c>
      <c r="J532" s="50"/>
      <c r="K532" s="50"/>
      <c r="N532" s="44"/>
    </row>
    <row r="533" spans="1:14" ht="15.75" thickBot="1" x14ac:dyDescent="0.3">
      <c r="A533" s="45" t="s">
        <v>10</v>
      </c>
      <c r="B533" s="49"/>
      <c r="C533" s="49"/>
      <c r="D533" s="50" t="str">
        <f>'MASQUE COLLABORATEUR'!D533</f>
        <v>01 juin 2026 au 31 mai 2027.</v>
      </c>
      <c r="E533" s="2"/>
      <c r="H533" s="48" t="s">
        <v>205</v>
      </c>
      <c r="I533" s="47" t="str">
        <f>'MASQUE COLLABORATEUR'!I533</f>
        <v>Juin</v>
      </c>
      <c r="N533" s="44"/>
    </row>
    <row r="534" spans="1:14" x14ac:dyDescent="0.25">
      <c r="A534" s="192" t="s">
        <v>448</v>
      </c>
      <c r="B534" s="193"/>
      <c r="C534" s="193"/>
      <c r="D534" s="194"/>
      <c r="E534" s="194"/>
      <c r="F534" s="194"/>
      <c r="G534" s="194"/>
      <c r="H534" s="194"/>
      <c r="I534" s="194"/>
      <c r="J534" s="194"/>
      <c r="K534" s="194"/>
      <c r="L534" s="194"/>
      <c r="M534" s="194"/>
      <c r="N534" s="195"/>
    </row>
    <row r="535" spans="1:14" ht="15.75" thickBot="1" x14ac:dyDescent="0.3">
      <c r="A535" s="196"/>
      <c r="B535" s="197"/>
      <c r="C535" s="197"/>
      <c r="D535" s="197"/>
      <c r="E535" s="197"/>
      <c r="F535" s="197"/>
      <c r="G535" s="197"/>
      <c r="H535" s="197"/>
      <c r="I535" s="198"/>
      <c r="J535" s="198"/>
      <c r="K535" s="198"/>
      <c r="L535" s="198"/>
      <c r="M535" s="198"/>
      <c r="N535" s="199"/>
    </row>
    <row r="536" spans="1:14" x14ac:dyDescent="0.25">
      <c r="A536" s="49" t="s">
        <v>18</v>
      </c>
      <c r="B536" s="113">
        <f>'MASQUE COLLABORATEUR'!B536</f>
        <v>0</v>
      </c>
      <c r="E536" s="49"/>
      <c r="G536" s="57" t="s">
        <v>317</v>
      </c>
      <c r="H536" s="58" t="e">
        <f>'MASQUE COLLABORATEUR'!H536</f>
        <v>#N/A</v>
      </c>
      <c r="J536" s="10" t="s">
        <v>161</v>
      </c>
      <c r="K536" s="58" t="e">
        <f>'MASQUE COLLABORATEUR'!K536</f>
        <v>#N/A</v>
      </c>
      <c r="L536" s="114" t="s">
        <v>340</v>
      </c>
      <c r="M536" s="115" t="e">
        <f>'MASQUE COLLABORATEUR'!M536</f>
        <v>#N/A</v>
      </c>
    </row>
    <row r="537" spans="1:14" ht="15.75" thickBot="1" x14ac:dyDescent="0.3">
      <c r="A537" s="49" t="s">
        <v>59</v>
      </c>
      <c r="B537" s="2" t="e">
        <f>'MASQUE COLLABORATEUR'!B537</f>
        <v>#N/A</v>
      </c>
      <c r="C537" s="2"/>
      <c r="D537" s="2"/>
      <c r="G537" s="57" t="s">
        <v>158</v>
      </c>
      <c r="H537" s="58" t="e">
        <f>'MASQUE COLLABORATEUR'!H537</f>
        <v>#N/A</v>
      </c>
    </row>
    <row r="538" spans="1:14" ht="15.75" thickBot="1" x14ac:dyDescent="0.3">
      <c r="A538" s="64" t="str">
        <f>A505</f>
        <v>Semaine 25</v>
      </c>
      <c r="B538" s="65" t="e">
        <f>'MASQUE COLLABORATEUR'!B538</f>
        <v>#N/A</v>
      </c>
      <c r="C538" s="65" t="s">
        <v>141</v>
      </c>
      <c r="D538" s="66" t="e">
        <f>'MASQUE COLLABORATEUR'!D538</f>
        <v>#N/A</v>
      </c>
      <c r="E538" s="66" t="e">
        <f>'MASQUE COLLABORATEUR'!E538</f>
        <v>#N/A</v>
      </c>
      <c r="F538" s="67" t="s">
        <v>110</v>
      </c>
      <c r="H538" s="64" t="str">
        <f>H505</f>
        <v>Semaine 26</v>
      </c>
      <c r="I538" s="65" t="e">
        <f>'MASQUE COLLABORATEUR'!I538</f>
        <v>#N/A</v>
      </c>
      <c r="J538" s="65" t="s">
        <v>141</v>
      </c>
      <c r="K538" s="66" t="e">
        <f>'MASQUE COLLABORATEUR'!K538</f>
        <v>#N/A</v>
      </c>
      <c r="L538" s="66" t="e">
        <f>'MASQUE COLLABORATEUR'!L538</f>
        <v>#N/A</v>
      </c>
      <c r="M538" s="67" t="s">
        <v>110</v>
      </c>
    </row>
    <row r="539" spans="1:14" x14ac:dyDescent="0.25">
      <c r="A539" s="68" t="s">
        <v>103</v>
      </c>
      <c r="B539" s="98"/>
      <c r="C539" s="98"/>
      <c r="D539" s="99"/>
      <c r="E539" s="100"/>
      <c r="F539" s="101"/>
      <c r="H539" s="69" t="s">
        <v>103</v>
      </c>
      <c r="I539" s="95"/>
      <c r="J539" s="95"/>
      <c r="K539" s="106"/>
      <c r="L539" s="105"/>
      <c r="M539" s="101"/>
    </row>
    <row r="540" spans="1:14" x14ac:dyDescent="0.25">
      <c r="A540" s="69" t="s">
        <v>104</v>
      </c>
      <c r="B540" s="96"/>
      <c r="C540" s="96"/>
      <c r="D540" s="102"/>
      <c r="E540" s="103"/>
      <c r="F540" s="38"/>
      <c r="H540" s="69" t="s">
        <v>104</v>
      </c>
      <c r="I540" s="96"/>
      <c r="J540" s="96"/>
      <c r="K540" s="102"/>
      <c r="L540" s="103"/>
      <c r="M540" s="38"/>
    </row>
    <row r="541" spans="1:14" x14ac:dyDescent="0.25">
      <c r="A541" s="69" t="s">
        <v>105</v>
      </c>
      <c r="B541" s="96"/>
      <c r="C541" s="96"/>
      <c r="D541" s="102"/>
      <c r="E541" s="103"/>
      <c r="F541" s="38"/>
      <c r="H541" s="69" t="s">
        <v>105</v>
      </c>
      <c r="I541" s="96"/>
      <c r="J541" s="96"/>
      <c r="K541" s="102"/>
      <c r="L541" s="103"/>
      <c r="M541" s="38"/>
    </row>
    <row r="542" spans="1:14" x14ac:dyDescent="0.25">
      <c r="A542" s="69" t="s">
        <v>106</v>
      </c>
      <c r="B542" s="96"/>
      <c r="C542" s="96"/>
      <c r="D542" s="102"/>
      <c r="E542" s="103"/>
      <c r="F542" s="38"/>
      <c r="H542" s="69" t="s">
        <v>106</v>
      </c>
      <c r="I542" s="96"/>
      <c r="J542" s="96"/>
      <c r="K542" s="102"/>
      <c r="L542" s="103"/>
      <c r="M542" s="38"/>
    </row>
    <row r="543" spans="1:14" x14ac:dyDescent="0.25">
      <c r="A543" s="69" t="s">
        <v>107</v>
      </c>
      <c r="B543" s="96"/>
      <c r="C543" s="96"/>
      <c r="D543" s="102"/>
      <c r="E543" s="103"/>
      <c r="F543" s="38"/>
      <c r="H543" s="69" t="s">
        <v>107</v>
      </c>
      <c r="I543" s="96"/>
      <c r="J543" s="96"/>
      <c r="K543" s="102"/>
      <c r="L543" s="103"/>
      <c r="M543" s="38"/>
    </row>
    <row r="544" spans="1:14" x14ac:dyDescent="0.25">
      <c r="A544" s="69" t="s">
        <v>108</v>
      </c>
      <c r="B544" s="96"/>
      <c r="C544" s="96"/>
      <c r="D544" s="102"/>
      <c r="E544" s="103"/>
      <c r="F544" s="38"/>
      <c r="H544" s="69" t="s">
        <v>108</v>
      </c>
      <c r="I544" s="96"/>
      <c r="J544" s="96"/>
      <c r="K544" s="102"/>
      <c r="L544" s="103"/>
      <c r="M544" s="38"/>
    </row>
    <row r="545" spans="1:14" ht="15.75" thickBot="1" x14ac:dyDescent="0.3">
      <c r="A545" s="70" t="s">
        <v>109</v>
      </c>
      <c r="B545" s="97"/>
      <c r="C545" s="97"/>
      <c r="D545" s="71"/>
      <c r="E545" s="104"/>
      <c r="F545" s="38"/>
      <c r="H545" s="70" t="s">
        <v>109</v>
      </c>
      <c r="I545" s="97"/>
      <c r="J545" s="97"/>
      <c r="K545" s="71"/>
      <c r="L545" s="104"/>
      <c r="M545" s="38"/>
    </row>
    <row r="546" spans="1:14" ht="15.75" thickBot="1" x14ac:dyDescent="0.3">
      <c r="A546" s="64" t="str">
        <f>A513</f>
        <v>Semaine 27</v>
      </c>
      <c r="B546" s="65" t="e">
        <f>'MASQUE COLLABORATEUR'!B546</f>
        <v>#N/A</v>
      </c>
      <c r="C546" s="65" t="s">
        <v>141</v>
      </c>
      <c r="D546" s="66" t="e">
        <f>'MASQUE COLLABORATEUR'!D546</f>
        <v>#N/A</v>
      </c>
      <c r="E546" s="66" t="e">
        <f>'MASQUE COLLABORATEUR'!E546</f>
        <v>#N/A</v>
      </c>
      <c r="F546" s="67" t="s">
        <v>110</v>
      </c>
      <c r="H546" s="64" t="str">
        <f>H513</f>
        <v>Semaine 28</v>
      </c>
      <c r="I546" s="65" t="e">
        <f>'MASQUE COLLABORATEUR'!I546</f>
        <v>#N/A</v>
      </c>
      <c r="J546" s="65" t="s">
        <v>141</v>
      </c>
      <c r="K546" s="66" t="e">
        <f>'MASQUE COLLABORATEUR'!K546</f>
        <v>#N/A</v>
      </c>
      <c r="L546" s="66" t="e">
        <f>'MASQUE COLLABORATEUR'!L546</f>
        <v>#N/A</v>
      </c>
      <c r="M546" s="67" t="s">
        <v>110</v>
      </c>
    </row>
    <row r="547" spans="1:14" x14ac:dyDescent="0.25">
      <c r="A547" s="69" t="s">
        <v>103</v>
      </c>
      <c r="B547" s="95"/>
      <c r="C547" s="95"/>
      <c r="D547" s="106"/>
      <c r="E547" s="105"/>
      <c r="F547" s="101"/>
      <c r="H547" s="69" t="s">
        <v>103</v>
      </c>
      <c r="I547" s="95"/>
      <c r="J547" s="95"/>
      <c r="K547" s="106"/>
      <c r="L547" s="105"/>
      <c r="M547" s="101"/>
    </row>
    <row r="548" spans="1:14" x14ac:dyDescent="0.25">
      <c r="A548" s="69" t="s">
        <v>104</v>
      </c>
      <c r="B548" s="96"/>
      <c r="C548" s="96"/>
      <c r="D548" s="102"/>
      <c r="E548" s="103"/>
      <c r="F548" s="38"/>
      <c r="H548" s="69" t="s">
        <v>104</v>
      </c>
      <c r="I548" s="96"/>
      <c r="J548" s="96"/>
      <c r="K548" s="102"/>
      <c r="L548" s="103"/>
      <c r="M548" s="38"/>
    </row>
    <row r="549" spans="1:14" x14ac:dyDescent="0.25">
      <c r="A549" s="69" t="s">
        <v>105</v>
      </c>
      <c r="B549" s="96"/>
      <c r="C549" s="96"/>
      <c r="D549" s="102"/>
      <c r="E549" s="103"/>
      <c r="F549" s="38"/>
      <c r="H549" s="69" t="s">
        <v>105</v>
      </c>
      <c r="I549" s="96"/>
      <c r="J549" s="96"/>
      <c r="K549" s="102"/>
      <c r="L549" s="103"/>
      <c r="M549" s="38"/>
    </row>
    <row r="550" spans="1:14" x14ac:dyDescent="0.25">
      <c r="A550" s="69" t="s">
        <v>106</v>
      </c>
      <c r="B550" s="96"/>
      <c r="C550" s="96"/>
      <c r="D550" s="102"/>
      <c r="E550" s="103"/>
      <c r="F550" s="38"/>
      <c r="H550" s="69" t="s">
        <v>106</v>
      </c>
      <c r="I550" s="96"/>
      <c r="J550" s="96"/>
      <c r="K550" s="102"/>
      <c r="L550" s="103"/>
      <c r="M550" s="38"/>
    </row>
    <row r="551" spans="1:14" x14ac:dyDescent="0.25">
      <c r="A551" s="69" t="s">
        <v>107</v>
      </c>
      <c r="B551" s="96"/>
      <c r="C551" s="96"/>
      <c r="D551" s="102"/>
      <c r="E551" s="103"/>
      <c r="F551" s="38"/>
      <c r="H551" s="69" t="s">
        <v>107</v>
      </c>
      <c r="I551" s="96"/>
      <c r="J551" s="96"/>
      <c r="K551" s="102"/>
      <c r="L551" s="103"/>
      <c r="M551" s="38"/>
    </row>
    <row r="552" spans="1:14" x14ac:dyDescent="0.25">
      <c r="A552" s="69" t="s">
        <v>108</v>
      </c>
      <c r="B552" s="96"/>
      <c r="C552" s="96"/>
      <c r="D552" s="102"/>
      <c r="E552" s="103"/>
      <c r="F552" s="38"/>
      <c r="H552" s="69" t="s">
        <v>108</v>
      </c>
      <c r="I552" s="96"/>
      <c r="J552" s="96"/>
      <c r="K552" s="102"/>
      <c r="L552" s="103"/>
      <c r="M552" s="38"/>
    </row>
    <row r="553" spans="1:14" ht="15.75" thickBot="1" x14ac:dyDescent="0.3">
      <c r="A553" s="70" t="s">
        <v>109</v>
      </c>
      <c r="B553" s="97"/>
      <c r="C553" s="97"/>
      <c r="D553" s="71"/>
      <c r="E553" s="104"/>
      <c r="F553" s="38"/>
      <c r="H553" s="70" t="s">
        <v>109</v>
      </c>
      <c r="I553" s="97"/>
      <c r="J553" s="97"/>
      <c r="K553" s="71"/>
      <c r="L553" s="104"/>
      <c r="M553" s="39"/>
    </row>
    <row r="554" spans="1:14" ht="15.75" thickBot="1" x14ac:dyDescent="0.3">
      <c r="A554" s="64" t="str">
        <f>A521</f>
        <v>Semaine 29</v>
      </c>
      <c r="B554" s="65" t="e">
        <f>'MASQUE COLLABORATEUR'!B554</f>
        <v>#N/A</v>
      </c>
      <c r="C554" s="65" t="s">
        <v>141</v>
      </c>
      <c r="D554" s="66" t="e">
        <f>'MASQUE COLLABORATEUR'!D554</f>
        <v>#N/A</v>
      </c>
      <c r="E554" s="66" t="e">
        <f>'MASQUE COLLABORATEUR'!E554</f>
        <v>#N/A</v>
      </c>
      <c r="F554" s="67" t="s">
        <v>110</v>
      </c>
      <c r="H554" s="77" t="s">
        <v>136</v>
      </c>
      <c r="I554" s="78" t="e">
        <f>'MASQUE COLLABORATEUR'!I554</f>
        <v>#N/A</v>
      </c>
      <c r="J554" s="78" t="s">
        <v>141</v>
      </c>
      <c r="K554" s="79" t="e">
        <f>'MASQUE COLLABORATEUR'!K554</f>
        <v>#N/A</v>
      </c>
      <c r="L554" s="80" t="e">
        <f>'MASQUE COLLABORATEUR'!L554</f>
        <v>#N/A</v>
      </c>
      <c r="M554" s="49"/>
    </row>
    <row r="555" spans="1:14" x14ac:dyDescent="0.25">
      <c r="A555" s="69" t="s">
        <v>103</v>
      </c>
      <c r="B555" s="95"/>
      <c r="C555" s="95"/>
      <c r="D555" s="106"/>
      <c r="E555" s="105"/>
      <c r="F555" s="101"/>
      <c r="H555" s="81" t="s">
        <v>103</v>
      </c>
      <c r="I555" s="82">
        <v>0</v>
      </c>
      <c r="J555" s="82">
        <v>0</v>
      </c>
      <c r="K555" s="83">
        <v>0</v>
      </c>
      <c r="L555" s="84">
        <v>0</v>
      </c>
      <c r="M555" s="187"/>
      <c r="N555" s="188"/>
    </row>
    <row r="556" spans="1:14" x14ac:dyDescent="0.25">
      <c r="A556" s="69" t="s">
        <v>104</v>
      </c>
      <c r="B556" s="96"/>
      <c r="C556" s="96"/>
      <c r="D556" s="102"/>
      <c r="E556" s="103"/>
      <c r="F556" s="38"/>
      <c r="H556" s="81" t="s">
        <v>104</v>
      </c>
      <c r="I556" s="88">
        <v>0</v>
      </c>
      <c r="J556" s="88">
        <v>0</v>
      </c>
      <c r="K556" s="89">
        <v>0</v>
      </c>
      <c r="L556" s="90">
        <v>0</v>
      </c>
      <c r="M556" s="49"/>
    </row>
    <row r="557" spans="1:14" x14ac:dyDescent="0.25">
      <c r="A557" s="69" t="s">
        <v>105</v>
      </c>
      <c r="B557" s="96"/>
      <c r="C557" s="96"/>
      <c r="D557" s="102"/>
      <c r="E557" s="103"/>
      <c r="F557" s="38"/>
      <c r="H557" s="81" t="s">
        <v>105</v>
      </c>
      <c r="I557" s="88">
        <v>0</v>
      </c>
      <c r="J557" s="88">
        <v>0</v>
      </c>
      <c r="K557" s="89">
        <v>0</v>
      </c>
      <c r="L557" s="90">
        <v>0</v>
      </c>
      <c r="M557" s="49"/>
    </row>
    <row r="558" spans="1:14" x14ac:dyDescent="0.25">
      <c r="A558" s="69" t="s">
        <v>106</v>
      </c>
      <c r="B558" s="96"/>
      <c r="C558" s="96"/>
      <c r="D558" s="102"/>
      <c r="E558" s="103"/>
      <c r="F558" s="38"/>
      <c r="H558" s="81" t="s">
        <v>106</v>
      </c>
      <c r="I558" s="88">
        <v>0</v>
      </c>
      <c r="J558" s="88">
        <v>0</v>
      </c>
      <c r="K558" s="89">
        <v>0</v>
      </c>
      <c r="L558" s="90">
        <v>0</v>
      </c>
      <c r="M558" s="49"/>
    </row>
    <row r="559" spans="1:14" x14ac:dyDescent="0.25">
      <c r="A559" s="69" t="s">
        <v>107</v>
      </c>
      <c r="B559" s="96"/>
      <c r="C559" s="96"/>
      <c r="D559" s="102"/>
      <c r="E559" s="103"/>
      <c r="F559" s="38"/>
      <c r="H559" s="81" t="s">
        <v>107</v>
      </c>
      <c r="I559" s="88">
        <v>0</v>
      </c>
      <c r="J559" s="88">
        <v>0</v>
      </c>
      <c r="K559" s="89">
        <v>0</v>
      </c>
      <c r="L559" s="90">
        <v>0</v>
      </c>
      <c r="M559" s="187"/>
      <c r="N559" s="190" t="s">
        <v>447</v>
      </c>
    </row>
    <row r="560" spans="1:14" x14ac:dyDescent="0.25">
      <c r="A560" s="69" t="s">
        <v>108</v>
      </c>
      <c r="B560" s="96"/>
      <c r="C560" s="96"/>
      <c r="D560" s="102"/>
      <c r="E560" s="103"/>
      <c r="F560" s="38"/>
      <c r="H560" s="81" t="s">
        <v>108</v>
      </c>
      <c r="I560" s="88">
        <v>0</v>
      </c>
      <c r="J560" s="88">
        <v>0</v>
      </c>
      <c r="K560" s="89">
        <v>0</v>
      </c>
      <c r="L560" s="90">
        <v>0</v>
      </c>
      <c r="M560" s="49"/>
      <c r="N560" s="189">
        <f ca="1">TODAY()</f>
        <v>46181</v>
      </c>
    </row>
    <row r="561" spans="1:14" ht="15.75" thickBot="1" x14ac:dyDescent="0.3">
      <c r="A561" s="70" t="s">
        <v>109</v>
      </c>
      <c r="B561" s="97"/>
      <c r="C561" s="97"/>
      <c r="D561" s="71"/>
      <c r="E561" s="104"/>
      <c r="F561" s="39"/>
      <c r="H561" s="92" t="s">
        <v>109</v>
      </c>
      <c r="I561" s="93">
        <v>0</v>
      </c>
      <c r="J561" s="93">
        <v>0</v>
      </c>
      <c r="K561" s="71">
        <v>0</v>
      </c>
      <c r="L561" s="94">
        <v>0</v>
      </c>
      <c r="M561" s="49"/>
    </row>
    <row r="562" spans="1:14" ht="15" customHeight="1" x14ac:dyDescent="0.25">
      <c r="D562" s="308" t="s">
        <v>443</v>
      </c>
      <c r="E562" s="308"/>
      <c r="F562" s="308"/>
      <c r="G562" s="308"/>
      <c r="H562" s="308"/>
      <c r="I562" s="308"/>
      <c r="J562" s="308"/>
      <c r="K562" s="308"/>
      <c r="L562" s="42" t="s">
        <v>294</v>
      </c>
      <c r="N562" s="43" t="s">
        <v>442</v>
      </c>
    </row>
    <row r="563" spans="1:14" x14ac:dyDescent="0.25">
      <c r="D563" s="308"/>
      <c r="E563" s="308"/>
      <c r="F563" s="308"/>
      <c r="G563" s="308"/>
      <c r="H563" s="308"/>
      <c r="I563" s="308"/>
      <c r="J563" s="308"/>
      <c r="K563" s="308"/>
      <c r="N563" s="43" t="s">
        <v>446</v>
      </c>
    </row>
    <row r="564" spans="1:14" x14ac:dyDescent="0.25">
      <c r="D564" s="308"/>
      <c r="E564" s="308"/>
      <c r="F564" s="308"/>
      <c r="G564" s="308"/>
      <c r="H564" s="308"/>
      <c r="I564" s="308"/>
      <c r="J564" s="308"/>
      <c r="K564" s="308"/>
      <c r="N564" s="44"/>
    </row>
    <row r="565" spans="1:14" x14ac:dyDescent="0.25">
      <c r="A565" s="45" t="s">
        <v>3</v>
      </c>
      <c r="B565" s="46">
        <f>'MASQUE COLLABORATEUR'!B565</f>
        <v>2026</v>
      </c>
      <c r="C565" s="47"/>
      <c r="D565" s="48" t="s">
        <v>1</v>
      </c>
      <c r="E565" s="46">
        <f>'MASQUE COLLABORATEUR'!E565</f>
        <v>0</v>
      </c>
      <c r="F565" s="49"/>
      <c r="G565" s="49"/>
      <c r="H565" s="48" t="s">
        <v>2</v>
      </c>
      <c r="I565" s="47">
        <f>'MASQUE COLLABORATEUR'!I565</f>
        <v>0</v>
      </c>
      <c r="J565" s="50"/>
      <c r="K565" s="50"/>
      <c r="N565" s="44"/>
    </row>
    <row r="566" spans="1:14" ht="15.75" thickBot="1" x14ac:dyDescent="0.3">
      <c r="A566" s="45" t="s">
        <v>10</v>
      </c>
      <c r="B566" s="49"/>
      <c r="C566" s="49"/>
      <c r="D566" s="50" t="str">
        <f>'MASQUE COLLABORATEUR'!D566</f>
        <v>01 juin 2026 au 31 mai 2027.</v>
      </c>
      <c r="E566" s="2"/>
      <c r="H566" s="48" t="s">
        <v>205</v>
      </c>
      <c r="I566" s="47" t="str">
        <f>'MASQUE COLLABORATEUR'!I566</f>
        <v>Juin</v>
      </c>
      <c r="N566" s="44"/>
    </row>
    <row r="567" spans="1:14" x14ac:dyDescent="0.25">
      <c r="A567" s="192" t="s">
        <v>448</v>
      </c>
      <c r="B567" s="193"/>
      <c r="C567" s="193"/>
      <c r="D567" s="194"/>
      <c r="E567" s="194"/>
      <c r="F567" s="194"/>
      <c r="G567" s="194"/>
      <c r="H567" s="194"/>
      <c r="I567" s="194"/>
      <c r="J567" s="194"/>
      <c r="K567" s="194"/>
      <c r="L567" s="194"/>
      <c r="M567" s="194"/>
      <c r="N567" s="195"/>
    </row>
    <row r="568" spans="1:14" ht="15.75" thickBot="1" x14ac:dyDescent="0.3">
      <c r="A568" s="196"/>
      <c r="B568" s="197"/>
      <c r="C568" s="197"/>
      <c r="D568" s="197"/>
      <c r="E568" s="197"/>
      <c r="F568" s="197"/>
      <c r="G568" s="197"/>
      <c r="H568" s="197"/>
      <c r="I568" s="198"/>
      <c r="J568" s="198"/>
      <c r="K568" s="198"/>
      <c r="L568" s="198"/>
      <c r="M568" s="198"/>
      <c r="N568" s="199"/>
    </row>
    <row r="569" spans="1:14" x14ac:dyDescent="0.25">
      <c r="A569" s="49" t="s">
        <v>18</v>
      </c>
      <c r="B569" s="113">
        <f>'MASQUE COLLABORATEUR'!B569</f>
        <v>0</v>
      </c>
      <c r="E569" s="49"/>
      <c r="G569" s="57" t="s">
        <v>317</v>
      </c>
      <c r="H569" s="58" t="e">
        <f>'MASQUE COLLABORATEUR'!H569</f>
        <v>#N/A</v>
      </c>
      <c r="J569" s="10" t="s">
        <v>161</v>
      </c>
      <c r="K569" s="58" t="e">
        <f>'MASQUE COLLABORATEUR'!K569</f>
        <v>#N/A</v>
      </c>
      <c r="L569" s="114" t="s">
        <v>340</v>
      </c>
      <c r="M569" s="115" t="e">
        <f>'MASQUE COLLABORATEUR'!M569</f>
        <v>#N/A</v>
      </c>
    </row>
    <row r="570" spans="1:14" ht="15.75" thickBot="1" x14ac:dyDescent="0.3">
      <c r="A570" s="49" t="s">
        <v>59</v>
      </c>
      <c r="B570" s="2" t="e">
        <f>'MASQUE COLLABORATEUR'!B570</f>
        <v>#N/A</v>
      </c>
      <c r="C570" s="2"/>
      <c r="D570" s="2"/>
      <c r="G570" s="57" t="s">
        <v>158</v>
      </c>
      <c r="H570" s="58" t="e">
        <f>'MASQUE COLLABORATEUR'!H570</f>
        <v>#N/A</v>
      </c>
    </row>
    <row r="571" spans="1:14" ht="15.75" thickBot="1" x14ac:dyDescent="0.3">
      <c r="A571" s="64" t="str">
        <f>A538</f>
        <v>Semaine 25</v>
      </c>
      <c r="B571" s="65" t="e">
        <f>'MASQUE COLLABORATEUR'!B571</f>
        <v>#N/A</v>
      </c>
      <c r="C571" s="65" t="s">
        <v>141</v>
      </c>
      <c r="D571" s="66" t="e">
        <f>'MASQUE COLLABORATEUR'!D571</f>
        <v>#N/A</v>
      </c>
      <c r="E571" s="66" t="e">
        <f>'MASQUE COLLABORATEUR'!E571</f>
        <v>#N/A</v>
      </c>
      <c r="F571" s="67" t="s">
        <v>110</v>
      </c>
      <c r="H571" s="64" t="str">
        <f>H538</f>
        <v>Semaine 26</v>
      </c>
      <c r="I571" s="65" t="e">
        <f>'MASQUE COLLABORATEUR'!I571</f>
        <v>#N/A</v>
      </c>
      <c r="J571" s="65" t="s">
        <v>141</v>
      </c>
      <c r="K571" s="66" t="e">
        <f>'MASQUE COLLABORATEUR'!K571</f>
        <v>#N/A</v>
      </c>
      <c r="L571" s="66" t="e">
        <f>'MASQUE COLLABORATEUR'!L571</f>
        <v>#N/A</v>
      </c>
      <c r="M571" s="67" t="s">
        <v>110</v>
      </c>
    </row>
    <row r="572" spans="1:14" x14ac:dyDescent="0.25">
      <c r="A572" s="68" t="s">
        <v>103</v>
      </c>
      <c r="B572" s="98"/>
      <c r="C572" s="98"/>
      <c r="D572" s="99"/>
      <c r="E572" s="100"/>
      <c r="F572" s="101"/>
      <c r="H572" s="69" t="s">
        <v>103</v>
      </c>
      <c r="I572" s="95"/>
      <c r="J572" s="95"/>
      <c r="K572" s="106"/>
      <c r="L572" s="105"/>
      <c r="M572" s="101"/>
    </row>
    <row r="573" spans="1:14" x14ac:dyDescent="0.25">
      <c r="A573" s="69" t="s">
        <v>104</v>
      </c>
      <c r="B573" s="96"/>
      <c r="C573" s="96"/>
      <c r="D573" s="102"/>
      <c r="E573" s="103"/>
      <c r="F573" s="38"/>
      <c r="H573" s="69" t="s">
        <v>104</v>
      </c>
      <c r="I573" s="96"/>
      <c r="J573" s="96"/>
      <c r="K573" s="102"/>
      <c r="L573" s="103"/>
      <c r="M573" s="38"/>
    </row>
    <row r="574" spans="1:14" x14ac:dyDescent="0.25">
      <c r="A574" s="69" t="s">
        <v>105</v>
      </c>
      <c r="B574" s="96"/>
      <c r="C574" s="96"/>
      <c r="D574" s="102"/>
      <c r="E574" s="103"/>
      <c r="F574" s="38"/>
      <c r="H574" s="69" t="s">
        <v>105</v>
      </c>
      <c r="I574" s="96"/>
      <c r="J574" s="96"/>
      <c r="K574" s="102"/>
      <c r="L574" s="103"/>
      <c r="M574" s="38"/>
    </row>
    <row r="575" spans="1:14" x14ac:dyDescent="0.25">
      <c r="A575" s="69" t="s">
        <v>106</v>
      </c>
      <c r="B575" s="96"/>
      <c r="C575" s="96"/>
      <c r="D575" s="102"/>
      <c r="E575" s="103"/>
      <c r="F575" s="38"/>
      <c r="H575" s="69" t="s">
        <v>106</v>
      </c>
      <c r="I575" s="96"/>
      <c r="J575" s="96"/>
      <c r="K575" s="102"/>
      <c r="L575" s="103"/>
      <c r="M575" s="38"/>
    </row>
    <row r="576" spans="1:14" x14ac:dyDescent="0.25">
      <c r="A576" s="69" t="s">
        <v>107</v>
      </c>
      <c r="B576" s="96"/>
      <c r="C576" s="96"/>
      <c r="D576" s="102"/>
      <c r="E576" s="103"/>
      <c r="F576" s="38"/>
      <c r="H576" s="69" t="s">
        <v>107</v>
      </c>
      <c r="I576" s="96"/>
      <c r="J576" s="96"/>
      <c r="K576" s="102"/>
      <c r="L576" s="103"/>
      <c r="M576" s="38"/>
    </row>
    <row r="577" spans="1:14" x14ac:dyDescent="0.25">
      <c r="A577" s="69" t="s">
        <v>108</v>
      </c>
      <c r="B577" s="96"/>
      <c r="C577" s="96"/>
      <c r="D577" s="102"/>
      <c r="E577" s="103"/>
      <c r="F577" s="38"/>
      <c r="H577" s="69" t="s">
        <v>108</v>
      </c>
      <c r="I577" s="96"/>
      <c r="J577" s="96"/>
      <c r="K577" s="102"/>
      <c r="L577" s="103"/>
      <c r="M577" s="38"/>
    </row>
    <row r="578" spans="1:14" ht="15.75" thickBot="1" x14ac:dyDescent="0.3">
      <c r="A578" s="70" t="s">
        <v>109</v>
      </c>
      <c r="B578" s="97"/>
      <c r="C578" s="97"/>
      <c r="D578" s="71"/>
      <c r="E578" s="104"/>
      <c r="F578" s="38"/>
      <c r="H578" s="70" t="s">
        <v>109</v>
      </c>
      <c r="I578" s="97"/>
      <c r="J578" s="97"/>
      <c r="K578" s="71"/>
      <c r="L578" s="104"/>
      <c r="M578" s="38"/>
    </row>
    <row r="579" spans="1:14" ht="15.75" thickBot="1" x14ac:dyDescent="0.3">
      <c r="A579" s="64" t="str">
        <f>A546</f>
        <v>Semaine 27</v>
      </c>
      <c r="B579" s="65" t="e">
        <f>'MASQUE COLLABORATEUR'!B579</f>
        <v>#N/A</v>
      </c>
      <c r="C579" s="65" t="s">
        <v>141</v>
      </c>
      <c r="D579" s="66" t="e">
        <f>'MASQUE COLLABORATEUR'!D579</f>
        <v>#N/A</v>
      </c>
      <c r="E579" s="66" t="e">
        <f>'MASQUE COLLABORATEUR'!E579</f>
        <v>#N/A</v>
      </c>
      <c r="F579" s="67" t="s">
        <v>110</v>
      </c>
      <c r="H579" s="64" t="str">
        <f>H546</f>
        <v>Semaine 28</v>
      </c>
      <c r="I579" s="65" t="e">
        <f>'MASQUE COLLABORATEUR'!I579</f>
        <v>#N/A</v>
      </c>
      <c r="J579" s="65" t="s">
        <v>141</v>
      </c>
      <c r="K579" s="66" t="e">
        <f>'MASQUE COLLABORATEUR'!K579</f>
        <v>#N/A</v>
      </c>
      <c r="L579" s="66" t="e">
        <f>'MASQUE COLLABORATEUR'!L579</f>
        <v>#N/A</v>
      </c>
      <c r="M579" s="67" t="s">
        <v>110</v>
      </c>
    </row>
    <row r="580" spans="1:14" x14ac:dyDescent="0.25">
      <c r="A580" s="69" t="s">
        <v>103</v>
      </c>
      <c r="B580" s="95"/>
      <c r="C580" s="95"/>
      <c r="D580" s="106"/>
      <c r="E580" s="105"/>
      <c r="F580" s="101"/>
      <c r="H580" s="69" t="s">
        <v>103</v>
      </c>
      <c r="I580" s="95"/>
      <c r="J580" s="95"/>
      <c r="K580" s="106"/>
      <c r="L580" s="105"/>
      <c r="M580" s="101"/>
    </row>
    <row r="581" spans="1:14" x14ac:dyDescent="0.25">
      <c r="A581" s="69" t="s">
        <v>104</v>
      </c>
      <c r="B581" s="96"/>
      <c r="C581" s="96"/>
      <c r="D581" s="102"/>
      <c r="E581" s="103"/>
      <c r="F581" s="38"/>
      <c r="H581" s="69" t="s">
        <v>104</v>
      </c>
      <c r="I581" s="96"/>
      <c r="J581" s="96"/>
      <c r="K581" s="102"/>
      <c r="L581" s="103"/>
      <c r="M581" s="38"/>
    </row>
    <row r="582" spans="1:14" x14ac:dyDescent="0.25">
      <c r="A582" s="69" t="s">
        <v>105</v>
      </c>
      <c r="B582" s="96"/>
      <c r="C582" s="96"/>
      <c r="D582" s="102"/>
      <c r="E582" s="103"/>
      <c r="F582" s="38"/>
      <c r="H582" s="69" t="s">
        <v>105</v>
      </c>
      <c r="I582" s="96"/>
      <c r="J582" s="96"/>
      <c r="K582" s="102"/>
      <c r="L582" s="103"/>
      <c r="M582" s="38"/>
    </row>
    <row r="583" spans="1:14" x14ac:dyDescent="0.25">
      <c r="A583" s="69" t="s">
        <v>106</v>
      </c>
      <c r="B583" s="96"/>
      <c r="C583" s="96"/>
      <c r="D583" s="102"/>
      <c r="E583" s="103"/>
      <c r="F583" s="38"/>
      <c r="H583" s="69" t="s">
        <v>106</v>
      </c>
      <c r="I583" s="96"/>
      <c r="J583" s="96"/>
      <c r="K583" s="102"/>
      <c r="L583" s="103"/>
      <c r="M583" s="38"/>
    </row>
    <row r="584" spans="1:14" x14ac:dyDescent="0.25">
      <c r="A584" s="69" t="s">
        <v>107</v>
      </c>
      <c r="B584" s="96"/>
      <c r="C584" s="96"/>
      <c r="D584" s="102"/>
      <c r="E584" s="103"/>
      <c r="F584" s="38"/>
      <c r="H584" s="69" t="s">
        <v>107</v>
      </c>
      <c r="I584" s="96"/>
      <c r="J584" s="96"/>
      <c r="K584" s="102"/>
      <c r="L584" s="103"/>
      <c r="M584" s="38"/>
    </row>
    <row r="585" spans="1:14" x14ac:dyDescent="0.25">
      <c r="A585" s="69" t="s">
        <v>108</v>
      </c>
      <c r="B585" s="96"/>
      <c r="C585" s="96"/>
      <c r="D585" s="102"/>
      <c r="E585" s="103"/>
      <c r="F585" s="38"/>
      <c r="H585" s="69" t="s">
        <v>108</v>
      </c>
      <c r="I585" s="96"/>
      <c r="J585" s="96"/>
      <c r="K585" s="102"/>
      <c r="L585" s="103"/>
      <c r="M585" s="38"/>
    </row>
    <row r="586" spans="1:14" ht="15.75" thickBot="1" x14ac:dyDescent="0.3">
      <c r="A586" s="70" t="s">
        <v>109</v>
      </c>
      <c r="B586" s="97"/>
      <c r="C586" s="97"/>
      <c r="D586" s="71"/>
      <c r="E586" s="104"/>
      <c r="F586" s="38"/>
      <c r="H586" s="70" t="s">
        <v>109</v>
      </c>
      <c r="I586" s="97"/>
      <c r="J586" s="97"/>
      <c r="K586" s="71"/>
      <c r="L586" s="104"/>
      <c r="M586" s="39"/>
    </row>
    <row r="587" spans="1:14" ht="15.75" thickBot="1" x14ac:dyDescent="0.3">
      <c r="A587" s="64" t="str">
        <f>A554</f>
        <v>Semaine 29</v>
      </c>
      <c r="B587" s="65" t="e">
        <f>'MASQUE COLLABORATEUR'!B587</f>
        <v>#N/A</v>
      </c>
      <c r="C587" s="65" t="s">
        <v>141</v>
      </c>
      <c r="D587" s="66" t="e">
        <f>'MASQUE COLLABORATEUR'!D587</f>
        <v>#N/A</v>
      </c>
      <c r="E587" s="66" t="e">
        <f>'MASQUE COLLABORATEUR'!E587</f>
        <v>#N/A</v>
      </c>
      <c r="F587" s="67" t="s">
        <v>110</v>
      </c>
      <c r="H587" s="77" t="s">
        <v>136</v>
      </c>
      <c r="I587" s="78" t="e">
        <f>'MASQUE COLLABORATEUR'!I587</f>
        <v>#N/A</v>
      </c>
      <c r="J587" s="78" t="s">
        <v>141</v>
      </c>
      <c r="K587" s="79" t="e">
        <f>'MASQUE COLLABORATEUR'!K587</f>
        <v>#N/A</v>
      </c>
      <c r="L587" s="80" t="e">
        <f>'MASQUE COLLABORATEUR'!L587</f>
        <v>#N/A</v>
      </c>
      <c r="M587" s="49"/>
    </row>
    <row r="588" spans="1:14" x14ac:dyDescent="0.25">
      <c r="A588" s="69" t="s">
        <v>103</v>
      </c>
      <c r="B588" s="95"/>
      <c r="C588" s="95"/>
      <c r="D588" s="106"/>
      <c r="E588" s="105"/>
      <c r="F588" s="101"/>
      <c r="H588" s="81" t="s">
        <v>103</v>
      </c>
      <c r="I588" s="82">
        <v>0</v>
      </c>
      <c r="J588" s="82">
        <v>0</v>
      </c>
      <c r="K588" s="83">
        <v>0</v>
      </c>
      <c r="L588" s="84">
        <v>0</v>
      </c>
      <c r="M588" s="187"/>
      <c r="N588" s="188"/>
    </row>
    <row r="589" spans="1:14" x14ac:dyDescent="0.25">
      <c r="A589" s="69" t="s">
        <v>104</v>
      </c>
      <c r="B589" s="96"/>
      <c r="C589" s="96"/>
      <c r="D589" s="102"/>
      <c r="E589" s="103"/>
      <c r="F589" s="38"/>
      <c r="H589" s="81" t="s">
        <v>104</v>
      </c>
      <c r="I589" s="88">
        <v>0</v>
      </c>
      <c r="J589" s="88">
        <v>0</v>
      </c>
      <c r="K589" s="89">
        <v>0</v>
      </c>
      <c r="L589" s="90">
        <v>0</v>
      </c>
      <c r="M589" s="49"/>
    </row>
    <row r="590" spans="1:14" x14ac:dyDescent="0.25">
      <c r="A590" s="69" t="s">
        <v>105</v>
      </c>
      <c r="B590" s="96"/>
      <c r="C590" s="96"/>
      <c r="D590" s="102"/>
      <c r="E590" s="103"/>
      <c r="F590" s="38"/>
      <c r="H590" s="81" t="s">
        <v>105</v>
      </c>
      <c r="I590" s="88">
        <v>0</v>
      </c>
      <c r="J590" s="88">
        <v>0</v>
      </c>
      <c r="K590" s="89">
        <v>0</v>
      </c>
      <c r="L590" s="90">
        <v>0</v>
      </c>
      <c r="M590" s="49"/>
    </row>
    <row r="591" spans="1:14" x14ac:dyDescent="0.25">
      <c r="A591" s="69" t="s">
        <v>106</v>
      </c>
      <c r="B591" s="96"/>
      <c r="C591" s="96"/>
      <c r="D591" s="102"/>
      <c r="E591" s="103"/>
      <c r="F591" s="38"/>
      <c r="H591" s="81" t="s">
        <v>106</v>
      </c>
      <c r="I591" s="88">
        <v>0</v>
      </c>
      <c r="J591" s="88">
        <v>0</v>
      </c>
      <c r="K591" s="89">
        <v>0</v>
      </c>
      <c r="L591" s="90">
        <v>0</v>
      </c>
      <c r="M591" s="49"/>
    </row>
    <row r="592" spans="1:14" x14ac:dyDescent="0.25">
      <c r="A592" s="69" t="s">
        <v>107</v>
      </c>
      <c r="B592" s="96"/>
      <c r="C592" s="96"/>
      <c r="D592" s="102"/>
      <c r="E592" s="103"/>
      <c r="F592" s="38"/>
      <c r="H592" s="81" t="s">
        <v>107</v>
      </c>
      <c r="I592" s="88">
        <v>0</v>
      </c>
      <c r="J592" s="88">
        <v>0</v>
      </c>
      <c r="K592" s="89">
        <v>0</v>
      </c>
      <c r="L592" s="90">
        <v>0</v>
      </c>
      <c r="M592" s="187"/>
      <c r="N592" s="190" t="s">
        <v>447</v>
      </c>
    </row>
    <row r="593" spans="1:14" x14ac:dyDescent="0.25">
      <c r="A593" s="69" t="s">
        <v>108</v>
      </c>
      <c r="B593" s="96"/>
      <c r="C593" s="96"/>
      <c r="D593" s="102"/>
      <c r="E593" s="103"/>
      <c r="F593" s="38"/>
      <c r="H593" s="81" t="s">
        <v>108</v>
      </c>
      <c r="I593" s="88">
        <v>0</v>
      </c>
      <c r="J593" s="88">
        <v>0</v>
      </c>
      <c r="K593" s="89">
        <v>0</v>
      </c>
      <c r="L593" s="90">
        <v>0</v>
      </c>
      <c r="M593" s="49"/>
      <c r="N593" s="189">
        <f ca="1">TODAY()</f>
        <v>46181</v>
      </c>
    </row>
    <row r="594" spans="1:14" ht="15.75" thickBot="1" x14ac:dyDescent="0.3">
      <c r="A594" s="70" t="s">
        <v>109</v>
      </c>
      <c r="B594" s="97"/>
      <c r="C594" s="97"/>
      <c r="D594" s="71"/>
      <c r="E594" s="104"/>
      <c r="F594" s="39"/>
      <c r="H594" s="92" t="s">
        <v>109</v>
      </c>
      <c r="I594" s="93">
        <v>0</v>
      </c>
      <c r="J594" s="93">
        <v>0</v>
      </c>
      <c r="K594" s="71">
        <v>0</v>
      </c>
      <c r="L594" s="94">
        <v>0</v>
      </c>
      <c r="M594" s="49"/>
    </row>
    <row r="595" spans="1:14" ht="15" customHeight="1" x14ac:dyDescent="0.25">
      <c r="D595" s="308" t="s">
        <v>443</v>
      </c>
      <c r="E595" s="308"/>
      <c r="F595" s="308"/>
      <c r="G595" s="308"/>
      <c r="H595" s="308"/>
      <c r="I595" s="308"/>
      <c r="J595" s="308"/>
      <c r="K595" s="308"/>
      <c r="L595" s="42" t="s">
        <v>295</v>
      </c>
      <c r="N595" s="43" t="s">
        <v>442</v>
      </c>
    </row>
    <row r="596" spans="1:14" x14ac:dyDescent="0.25">
      <c r="D596" s="308"/>
      <c r="E596" s="308"/>
      <c r="F596" s="308"/>
      <c r="G596" s="308"/>
      <c r="H596" s="308"/>
      <c r="I596" s="308"/>
      <c r="J596" s="308"/>
      <c r="K596" s="308"/>
      <c r="N596" s="43" t="s">
        <v>446</v>
      </c>
    </row>
    <row r="597" spans="1:14" x14ac:dyDescent="0.25">
      <c r="D597" s="308"/>
      <c r="E597" s="308"/>
      <c r="F597" s="308"/>
      <c r="G597" s="308"/>
      <c r="H597" s="308"/>
      <c r="I597" s="308"/>
      <c r="J597" s="308"/>
      <c r="K597" s="308"/>
      <c r="N597" s="44"/>
    </row>
    <row r="598" spans="1:14" x14ac:dyDescent="0.25">
      <c r="A598" s="45" t="s">
        <v>3</v>
      </c>
      <c r="B598" s="46">
        <f>'MASQUE COLLABORATEUR'!B598</f>
        <v>2026</v>
      </c>
      <c r="C598" s="47"/>
      <c r="D598" s="48" t="s">
        <v>1</v>
      </c>
      <c r="E598" s="46">
        <f>'MASQUE COLLABORATEUR'!E598</f>
        <v>0</v>
      </c>
      <c r="F598" s="49"/>
      <c r="G598" s="49"/>
      <c r="H598" s="48" t="s">
        <v>2</v>
      </c>
      <c r="I598" s="47">
        <f>'MASQUE COLLABORATEUR'!I598</f>
        <v>0</v>
      </c>
      <c r="J598" s="50"/>
      <c r="K598" s="50"/>
      <c r="N598" s="44"/>
    </row>
    <row r="599" spans="1:14" ht="15.75" thickBot="1" x14ac:dyDescent="0.3">
      <c r="A599" s="45" t="s">
        <v>10</v>
      </c>
      <c r="B599" s="49"/>
      <c r="C599" s="49"/>
      <c r="D599" s="50" t="str">
        <f>'MASQUE COLLABORATEUR'!D599</f>
        <v>01 juin 2026 au 31 mai 2027.</v>
      </c>
      <c r="E599" s="2"/>
      <c r="H599" s="48" t="s">
        <v>205</v>
      </c>
      <c r="I599" s="47" t="str">
        <f>'MASQUE COLLABORATEUR'!I599</f>
        <v>Juin</v>
      </c>
      <c r="N599" s="44"/>
    </row>
    <row r="600" spans="1:14" x14ac:dyDescent="0.25">
      <c r="A600" s="192" t="s">
        <v>448</v>
      </c>
      <c r="B600" s="193"/>
      <c r="C600" s="193"/>
      <c r="D600" s="194"/>
      <c r="E600" s="194"/>
      <c r="F600" s="194"/>
      <c r="G600" s="194"/>
      <c r="H600" s="194"/>
      <c r="I600" s="194"/>
      <c r="J600" s="194"/>
      <c r="K600" s="194"/>
      <c r="L600" s="194"/>
      <c r="M600" s="194"/>
      <c r="N600" s="195"/>
    </row>
    <row r="601" spans="1:14" ht="15.75" thickBot="1" x14ac:dyDescent="0.3">
      <c r="A601" s="196"/>
      <c r="B601" s="197"/>
      <c r="C601" s="197"/>
      <c r="D601" s="197"/>
      <c r="E601" s="197"/>
      <c r="F601" s="197"/>
      <c r="G601" s="197"/>
      <c r="H601" s="197"/>
      <c r="I601" s="198"/>
      <c r="J601" s="198"/>
      <c r="K601" s="198"/>
      <c r="L601" s="198"/>
      <c r="M601" s="198"/>
      <c r="N601" s="199"/>
    </row>
    <row r="602" spans="1:14" x14ac:dyDescent="0.25">
      <c r="A602" s="49" t="s">
        <v>18</v>
      </c>
      <c r="B602" s="113">
        <f>'MASQUE COLLABORATEUR'!B602</f>
        <v>0</v>
      </c>
      <c r="E602" s="49"/>
      <c r="G602" s="57" t="s">
        <v>317</v>
      </c>
      <c r="H602" s="58" t="e">
        <f>'MASQUE COLLABORATEUR'!H602</f>
        <v>#N/A</v>
      </c>
      <c r="J602" s="10" t="s">
        <v>161</v>
      </c>
      <c r="K602" s="58" t="e">
        <f>'MASQUE COLLABORATEUR'!K602</f>
        <v>#N/A</v>
      </c>
      <c r="L602" s="114" t="s">
        <v>340</v>
      </c>
      <c r="M602" s="115" t="e">
        <f>'MASQUE COLLABORATEUR'!M602</f>
        <v>#N/A</v>
      </c>
    </row>
    <row r="603" spans="1:14" ht="15.75" thickBot="1" x14ac:dyDescent="0.3">
      <c r="A603" s="49" t="s">
        <v>59</v>
      </c>
      <c r="B603" s="2" t="e">
        <f>'MASQUE COLLABORATEUR'!B603</f>
        <v>#N/A</v>
      </c>
      <c r="C603" s="2"/>
      <c r="D603" s="2"/>
      <c r="G603" s="57" t="s">
        <v>158</v>
      </c>
      <c r="H603" s="58" t="e">
        <f>'MASQUE COLLABORATEUR'!H603</f>
        <v>#N/A</v>
      </c>
    </row>
    <row r="604" spans="1:14" ht="15.75" thickBot="1" x14ac:dyDescent="0.3">
      <c r="A604" s="64" t="str">
        <f>A571</f>
        <v>Semaine 25</v>
      </c>
      <c r="B604" s="65" t="e">
        <f>'MASQUE COLLABORATEUR'!B604</f>
        <v>#N/A</v>
      </c>
      <c r="C604" s="65" t="s">
        <v>141</v>
      </c>
      <c r="D604" s="66" t="e">
        <f>'MASQUE COLLABORATEUR'!D604</f>
        <v>#N/A</v>
      </c>
      <c r="E604" s="66" t="e">
        <f>'MASQUE COLLABORATEUR'!E604</f>
        <v>#N/A</v>
      </c>
      <c r="F604" s="67" t="s">
        <v>110</v>
      </c>
      <c r="H604" s="64" t="str">
        <f>H571</f>
        <v>Semaine 26</v>
      </c>
      <c r="I604" s="65" t="e">
        <f>'MASQUE COLLABORATEUR'!I604</f>
        <v>#N/A</v>
      </c>
      <c r="J604" s="65" t="s">
        <v>141</v>
      </c>
      <c r="K604" s="66" t="e">
        <f>'MASQUE COLLABORATEUR'!K604</f>
        <v>#N/A</v>
      </c>
      <c r="L604" s="66" t="e">
        <f>'MASQUE COLLABORATEUR'!L604</f>
        <v>#N/A</v>
      </c>
      <c r="M604" s="67" t="s">
        <v>110</v>
      </c>
    </row>
    <row r="605" spans="1:14" x14ac:dyDescent="0.25">
      <c r="A605" s="68" t="s">
        <v>103</v>
      </c>
      <c r="B605" s="98"/>
      <c r="C605" s="98"/>
      <c r="D605" s="99"/>
      <c r="E605" s="100"/>
      <c r="F605" s="101"/>
      <c r="H605" s="69" t="s">
        <v>103</v>
      </c>
      <c r="I605" s="95"/>
      <c r="J605" s="95"/>
      <c r="K605" s="106"/>
      <c r="L605" s="105"/>
      <c r="M605" s="101"/>
    </row>
    <row r="606" spans="1:14" x14ac:dyDescent="0.25">
      <c r="A606" s="69" t="s">
        <v>104</v>
      </c>
      <c r="B606" s="96"/>
      <c r="C606" s="96"/>
      <c r="D606" s="102"/>
      <c r="E606" s="103"/>
      <c r="F606" s="38"/>
      <c r="H606" s="69" t="s">
        <v>104</v>
      </c>
      <c r="I606" s="96"/>
      <c r="J606" s="96"/>
      <c r="K606" s="102"/>
      <c r="L606" s="103"/>
      <c r="M606" s="38"/>
    </row>
    <row r="607" spans="1:14" x14ac:dyDescent="0.25">
      <c r="A607" s="69" t="s">
        <v>105</v>
      </c>
      <c r="B607" s="96"/>
      <c r="C607" s="96"/>
      <c r="D607" s="102"/>
      <c r="E607" s="103"/>
      <c r="F607" s="38"/>
      <c r="H607" s="69" t="s">
        <v>105</v>
      </c>
      <c r="I607" s="96"/>
      <c r="J607" s="96"/>
      <c r="K607" s="102"/>
      <c r="L607" s="103"/>
      <c r="M607" s="38"/>
    </row>
    <row r="608" spans="1:14" x14ac:dyDescent="0.25">
      <c r="A608" s="69" t="s">
        <v>106</v>
      </c>
      <c r="B608" s="96"/>
      <c r="C608" s="96"/>
      <c r="D608" s="102"/>
      <c r="E608" s="103"/>
      <c r="F608" s="38"/>
      <c r="H608" s="69" t="s">
        <v>106</v>
      </c>
      <c r="I608" s="96"/>
      <c r="J608" s="96"/>
      <c r="K608" s="102"/>
      <c r="L608" s="103"/>
      <c r="M608" s="38"/>
    </row>
    <row r="609" spans="1:14" x14ac:dyDescent="0.25">
      <c r="A609" s="69" t="s">
        <v>107</v>
      </c>
      <c r="B609" s="96"/>
      <c r="C609" s="96"/>
      <c r="D609" s="102"/>
      <c r="E609" s="103"/>
      <c r="F609" s="38"/>
      <c r="H609" s="69" t="s">
        <v>107</v>
      </c>
      <c r="I609" s="96"/>
      <c r="J609" s="96"/>
      <c r="K609" s="102"/>
      <c r="L609" s="103"/>
      <c r="M609" s="38"/>
    </row>
    <row r="610" spans="1:14" x14ac:dyDescent="0.25">
      <c r="A610" s="69" t="s">
        <v>108</v>
      </c>
      <c r="B610" s="96"/>
      <c r="C610" s="96"/>
      <c r="D610" s="102"/>
      <c r="E610" s="103"/>
      <c r="F610" s="38"/>
      <c r="H610" s="69" t="s">
        <v>108</v>
      </c>
      <c r="I610" s="96"/>
      <c r="J610" s="96"/>
      <c r="K610" s="102"/>
      <c r="L610" s="103"/>
      <c r="M610" s="38"/>
    </row>
    <row r="611" spans="1:14" ht="15.75" thickBot="1" x14ac:dyDescent="0.3">
      <c r="A611" s="70" t="s">
        <v>109</v>
      </c>
      <c r="B611" s="97"/>
      <c r="C611" s="97"/>
      <c r="D611" s="71"/>
      <c r="E611" s="104"/>
      <c r="F611" s="38"/>
      <c r="H611" s="70" t="s">
        <v>109</v>
      </c>
      <c r="I611" s="97"/>
      <c r="J611" s="97"/>
      <c r="K611" s="71"/>
      <c r="L611" s="104"/>
      <c r="M611" s="38"/>
    </row>
    <row r="612" spans="1:14" ht="15.75" thickBot="1" x14ac:dyDescent="0.3">
      <c r="A612" s="64" t="str">
        <f>A579</f>
        <v>Semaine 27</v>
      </c>
      <c r="B612" s="65" t="e">
        <f>'MASQUE COLLABORATEUR'!B612</f>
        <v>#N/A</v>
      </c>
      <c r="C612" s="65" t="s">
        <v>141</v>
      </c>
      <c r="D612" s="66" t="e">
        <f>'MASQUE COLLABORATEUR'!D612</f>
        <v>#N/A</v>
      </c>
      <c r="E612" s="66" t="e">
        <f>'MASQUE COLLABORATEUR'!E612</f>
        <v>#N/A</v>
      </c>
      <c r="F612" s="67" t="s">
        <v>110</v>
      </c>
      <c r="H612" s="64" t="str">
        <f>H579</f>
        <v>Semaine 28</v>
      </c>
      <c r="I612" s="65" t="e">
        <f>'MASQUE COLLABORATEUR'!I612</f>
        <v>#N/A</v>
      </c>
      <c r="J612" s="65" t="s">
        <v>141</v>
      </c>
      <c r="K612" s="66" t="e">
        <f>'MASQUE COLLABORATEUR'!K612</f>
        <v>#N/A</v>
      </c>
      <c r="L612" s="66" t="e">
        <f>'MASQUE COLLABORATEUR'!L612</f>
        <v>#N/A</v>
      </c>
      <c r="M612" s="67" t="s">
        <v>110</v>
      </c>
    </row>
    <row r="613" spans="1:14" x14ac:dyDescent="0.25">
      <c r="A613" s="69" t="s">
        <v>103</v>
      </c>
      <c r="B613" s="95"/>
      <c r="C613" s="95"/>
      <c r="D613" s="106"/>
      <c r="E613" s="105"/>
      <c r="F613" s="101"/>
      <c r="H613" s="69" t="s">
        <v>103</v>
      </c>
      <c r="I613" s="95"/>
      <c r="J613" s="95"/>
      <c r="K613" s="106"/>
      <c r="L613" s="105"/>
      <c r="M613" s="101"/>
    </row>
    <row r="614" spans="1:14" x14ac:dyDescent="0.25">
      <c r="A614" s="69" t="s">
        <v>104</v>
      </c>
      <c r="B614" s="96"/>
      <c r="C614" s="96"/>
      <c r="D614" s="102"/>
      <c r="E614" s="103"/>
      <c r="F614" s="38"/>
      <c r="H614" s="69" t="s">
        <v>104</v>
      </c>
      <c r="I614" s="96"/>
      <c r="J614" s="96"/>
      <c r="K614" s="102"/>
      <c r="L614" s="103"/>
      <c r="M614" s="38"/>
    </row>
    <row r="615" spans="1:14" x14ac:dyDescent="0.25">
      <c r="A615" s="69" t="s">
        <v>105</v>
      </c>
      <c r="B615" s="96"/>
      <c r="C615" s="96"/>
      <c r="D615" s="102"/>
      <c r="E615" s="103"/>
      <c r="F615" s="38"/>
      <c r="H615" s="69" t="s">
        <v>105</v>
      </c>
      <c r="I615" s="96"/>
      <c r="J615" s="96"/>
      <c r="K615" s="102"/>
      <c r="L615" s="103"/>
      <c r="M615" s="38"/>
    </row>
    <row r="616" spans="1:14" x14ac:dyDescent="0.25">
      <c r="A616" s="69" t="s">
        <v>106</v>
      </c>
      <c r="B616" s="96"/>
      <c r="C616" s="96"/>
      <c r="D616" s="102"/>
      <c r="E616" s="103"/>
      <c r="F616" s="38"/>
      <c r="H616" s="69" t="s">
        <v>106</v>
      </c>
      <c r="I616" s="96"/>
      <c r="J616" s="96"/>
      <c r="K616" s="102"/>
      <c r="L616" s="103"/>
      <c r="M616" s="38"/>
    </row>
    <row r="617" spans="1:14" x14ac:dyDescent="0.25">
      <c r="A617" s="69" t="s">
        <v>107</v>
      </c>
      <c r="B617" s="96"/>
      <c r="C617" s="96"/>
      <c r="D617" s="102"/>
      <c r="E617" s="103"/>
      <c r="F617" s="38"/>
      <c r="H617" s="69" t="s">
        <v>107</v>
      </c>
      <c r="I617" s="96"/>
      <c r="J617" s="96"/>
      <c r="K617" s="102"/>
      <c r="L617" s="103"/>
      <c r="M617" s="38"/>
    </row>
    <row r="618" spans="1:14" x14ac:dyDescent="0.25">
      <c r="A618" s="69" t="s">
        <v>108</v>
      </c>
      <c r="B618" s="96"/>
      <c r="C618" s="96"/>
      <c r="D618" s="102"/>
      <c r="E618" s="103"/>
      <c r="F618" s="38"/>
      <c r="H618" s="69" t="s">
        <v>108</v>
      </c>
      <c r="I618" s="96"/>
      <c r="J618" s="96"/>
      <c r="K618" s="102"/>
      <c r="L618" s="103"/>
      <c r="M618" s="38"/>
    </row>
    <row r="619" spans="1:14" ht="15.75" thickBot="1" x14ac:dyDescent="0.3">
      <c r="A619" s="70" t="s">
        <v>109</v>
      </c>
      <c r="B619" s="97"/>
      <c r="C619" s="97"/>
      <c r="D619" s="71"/>
      <c r="E619" s="104"/>
      <c r="F619" s="38"/>
      <c r="H619" s="70" t="s">
        <v>109</v>
      </c>
      <c r="I619" s="97"/>
      <c r="J619" s="97"/>
      <c r="K619" s="71"/>
      <c r="L619" s="104"/>
      <c r="M619" s="39"/>
    </row>
    <row r="620" spans="1:14" ht="15.75" thickBot="1" x14ac:dyDescent="0.3">
      <c r="A620" s="64" t="str">
        <f>A587</f>
        <v>Semaine 29</v>
      </c>
      <c r="B620" s="65" t="e">
        <f>'MASQUE COLLABORATEUR'!B620</f>
        <v>#N/A</v>
      </c>
      <c r="C620" s="65" t="s">
        <v>141</v>
      </c>
      <c r="D620" s="66" t="e">
        <f>'MASQUE COLLABORATEUR'!D620</f>
        <v>#N/A</v>
      </c>
      <c r="E620" s="66" t="e">
        <f>'MASQUE COLLABORATEUR'!E620</f>
        <v>#N/A</v>
      </c>
      <c r="F620" s="67" t="s">
        <v>110</v>
      </c>
      <c r="H620" s="77" t="s">
        <v>136</v>
      </c>
      <c r="I620" s="78" t="e">
        <f>'MASQUE COLLABORATEUR'!I620</f>
        <v>#N/A</v>
      </c>
      <c r="J620" s="78" t="s">
        <v>141</v>
      </c>
      <c r="K620" s="79" t="e">
        <f>'MASQUE COLLABORATEUR'!K620</f>
        <v>#N/A</v>
      </c>
      <c r="L620" s="80" t="e">
        <f>'MASQUE COLLABORATEUR'!L620</f>
        <v>#N/A</v>
      </c>
      <c r="M620" s="49"/>
    </row>
    <row r="621" spans="1:14" x14ac:dyDescent="0.25">
      <c r="A621" s="69" t="s">
        <v>103</v>
      </c>
      <c r="B621" s="95"/>
      <c r="C621" s="95"/>
      <c r="D621" s="106"/>
      <c r="E621" s="105"/>
      <c r="F621" s="101"/>
      <c r="H621" s="81" t="s">
        <v>103</v>
      </c>
      <c r="I621" s="82">
        <v>0</v>
      </c>
      <c r="J621" s="82">
        <v>0</v>
      </c>
      <c r="K621" s="83">
        <v>0</v>
      </c>
      <c r="L621" s="84">
        <v>0</v>
      </c>
      <c r="M621" s="187"/>
      <c r="N621" s="188"/>
    </row>
    <row r="622" spans="1:14" x14ac:dyDescent="0.25">
      <c r="A622" s="69" t="s">
        <v>104</v>
      </c>
      <c r="B622" s="96"/>
      <c r="C622" s="96"/>
      <c r="D622" s="102"/>
      <c r="E622" s="103"/>
      <c r="F622" s="38"/>
      <c r="H622" s="81" t="s">
        <v>104</v>
      </c>
      <c r="I622" s="88">
        <v>0</v>
      </c>
      <c r="J622" s="88">
        <v>0</v>
      </c>
      <c r="K622" s="89">
        <v>0</v>
      </c>
      <c r="L622" s="90">
        <v>0</v>
      </c>
      <c r="M622" s="49"/>
    </row>
    <row r="623" spans="1:14" x14ac:dyDescent="0.25">
      <c r="A623" s="69" t="s">
        <v>105</v>
      </c>
      <c r="B623" s="96"/>
      <c r="C623" s="96"/>
      <c r="D623" s="102"/>
      <c r="E623" s="103"/>
      <c r="F623" s="38"/>
      <c r="H623" s="81" t="s">
        <v>105</v>
      </c>
      <c r="I623" s="88">
        <v>0</v>
      </c>
      <c r="J623" s="88">
        <v>0</v>
      </c>
      <c r="K623" s="89">
        <v>0</v>
      </c>
      <c r="L623" s="90">
        <v>0</v>
      </c>
      <c r="M623" s="49"/>
    </row>
    <row r="624" spans="1:14" x14ac:dyDescent="0.25">
      <c r="A624" s="69" t="s">
        <v>106</v>
      </c>
      <c r="B624" s="96"/>
      <c r="C624" s="96"/>
      <c r="D624" s="102"/>
      <c r="E624" s="103"/>
      <c r="F624" s="38"/>
      <c r="H624" s="81" t="s">
        <v>106</v>
      </c>
      <c r="I624" s="88">
        <v>0</v>
      </c>
      <c r="J624" s="88">
        <v>0</v>
      </c>
      <c r="K624" s="89">
        <v>0</v>
      </c>
      <c r="L624" s="90">
        <v>0</v>
      </c>
      <c r="M624" s="49"/>
    </row>
    <row r="625" spans="1:14" x14ac:dyDescent="0.25">
      <c r="A625" s="69" t="s">
        <v>107</v>
      </c>
      <c r="B625" s="96"/>
      <c r="C625" s="96"/>
      <c r="D625" s="102"/>
      <c r="E625" s="103"/>
      <c r="F625" s="38"/>
      <c r="H625" s="81" t="s">
        <v>107</v>
      </c>
      <c r="I625" s="88">
        <v>0</v>
      </c>
      <c r="J625" s="88">
        <v>0</v>
      </c>
      <c r="K625" s="89">
        <v>0</v>
      </c>
      <c r="L625" s="90">
        <v>0</v>
      </c>
      <c r="M625" s="187"/>
      <c r="N625" s="190" t="s">
        <v>447</v>
      </c>
    </row>
    <row r="626" spans="1:14" x14ac:dyDescent="0.25">
      <c r="A626" s="69" t="s">
        <v>108</v>
      </c>
      <c r="B626" s="96"/>
      <c r="C626" s="96"/>
      <c r="D626" s="102"/>
      <c r="E626" s="103"/>
      <c r="F626" s="38"/>
      <c r="H626" s="81" t="s">
        <v>108</v>
      </c>
      <c r="I626" s="88">
        <v>0</v>
      </c>
      <c r="J626" s="88">
        <v>0</v>
      </c>
      <c r="K626" s="89">
        <v>0</v>
      </c>
      <c r="L626" s="90">
        <v>0</v>
      </c>
      <c r="M626" s="49"/>
      <c r="N626" s="189">
        <f ca="1">TODAY()</f>
        <v>46181</v>
      </c>
    </row>
    <row r="627" spans="1:14" ht="15.75" thickBot="1" x14ac:dyDescent="0.3">
      <c r="A627" s="70" t="s">
        <v>109</v>
      </c>
      <c r="B627" s="97"/>
      <c r="C627" s="97"/>
      <c r="D627" s="71"/>
      <c r="E627" s="104"/>
      <c r="F627" s="39"/>
      <c r="H627" s="92" t="s">
        <v>109</v>
      </c>
      <c r="I627" s="93">
        <v>0</v>
      </c>
      <c r="J627" s="93">
        <v>0</v>
      </c>
      <c r="K627" s="71">
        <v>0</v>
      </c>
      <c r="L627" s="94">
        <v>0</v>
      </c>
      <c r="M627" s="49"/>
    </row>
    <row r="628" spans="1:14" ht="15" customHeight="1" x14ac:dyDescent="0.25">
      <c r="D628" s="308" t="s">
        <v>443</v>
      </c>
      <c r="E628" s="308"/>
      <c r="F628" s="308"/>
      <c r="G628" s="308"/>
      <c r="H628" s="308"/>
      <c r="I628" s="308"/>
      <c r="J628" s="308"/>
      <c r="K628" s="308"/>
      <c r="L628" s="42" t="s">
        <v>296</v>
      </c>
      <c r="N628" s="43" t="s">
        <v>442</v>
      </c>
    </row>
    <row r="629" spans="1:14" x14ac:dyDescent="0.25">
      <c r="D629" s="308"/>
      <c r="E629" s="308"/>
      <c r="F629" s="308"/>
      <c r="G629" s="308"/>
      <c r="H629" s="308"/>
      <c r="I629" s="308"/>
      <c r="J629" s="308"/>
      <c r="K629" s="308"/>
      <c r="N629" s="43" t="s">
        <v>446</v>
      </c>
    </row>
    <row r="630" spans="1:14" x14ac:dyDescent="0.25">
      <c r="D630" s="308"/>
      <c r="E630" s="308"/>
      <c r="F630" s="308"/>
      <c r="G630" s="308"/>
      <c r="H630" s="308"/>
      <c r="I630" s="308"/>
      <c r="J630" s="308"/>
      <c r="K630" s="308"/>
      <c r="N630" s="44"/>
    </row>
    <row r="631" spans="1:14" x14ac:dyDescent="0.25">
      <c r="A631" s="45" t="s">
        <v>3</v>
      </c>
      <c r="B631" s="46">
        <f>'MASQUE COLLABORATEUR'!B631</f>
        <v>2026</v>
      </c>
      <c r="C631" s="47"/>
      <c r="D631" s="48" t="s">
        <v>1</v>
      </c>
      <c r="E631" s="46">
        <f>'MASQUE COLLABORATEUR'!E631</f>
        <v>0</v>
      </c>
      <c r="F631" s="49"/>
      <c r="G631" s="49"/>
      <c r="H631" s="48" t="s">
        <v>2</v>
      </c>
      <c r="I631" s="47">
        <f>'MASQUE COLLABORATEUR'!I631</f>
        <v>0</v>
      </c>
      <c r="J631" s="50"/>
      <c r="K631" s="50"/>
      <c r="N631" s="44"/>
    </row>
    <row r="632" spans="1:14" ht="15.75" thickBot="1" x14ac:dyDescent="0.3">
      <c r="A632" s="45" t="s">
        <v>10</v>
      </c>
      <c r="B632" s="49"/>
      <c r="C632" s="49"/>
      <c r="D632" s="50" t="str">
        <f>'MASQUE COLLABORATEUR'!D632</f>
        <v>01 juin 2026 au 31 mai 2027.</v>
      </c>
      <c r="E632" s="2"/>
      <c r="H632" s="48" t="s">
        <v>205</v>
      </c>
      <c r="I632" s="47" t="str">
        <f>'MASQUE COLLABORATEUR'!I632</f>
        <v>Juin</v>
      </c>
      <c r="N632" s="44"/>
    </row>
    <row r="633" spans="1:14" x14ac:dyDescent="0.25">
      <c r="A633" s="192" t="s">
        <v>448</v>
      </c>
      <c r="B633" s="193"/>
      <c r="C633" s="193"/>
      <c r="D633" s="194"/>
      <c r="E633" s="194"/>
      <c r="F633" s="194"/>
      <c r="G633" s="194"/>
      <c r="H633" s="194"/>
      <c r="I633" s="194"/>
      <c r="J633" s="194"/>
      <c r="K633" s="194"/>
      <c r="L633" s="194"/>
      <c r="M633" s="194"/>
      <c r="N633" s="195"/>
    </row>
    <row r="634" spans="1:14" ht="15.75" thickBot="1" x14ac:dyDescent="0.3">
      <c r="A634" s="196"/>
      <c r="B634" s="197"/>
      <c r="C634" s="197"/>
      <c r="D634" s="197"/>
      <c r="E634" s="197"/>
      <c r="F634" s="197"/>
      <c r="G634" s="197"/>
      <c r="H634" s="197"/>
      <c r="I634" s="198"/>
      <c r="J634" s="198"/>
      <c r="K634" s="198"/>
      <c r="L634" s="198"/>
      <c r="M634" s="198"/>
      <c r="N634" s="199"/>
    </row>
    <row r="635" spans="1:14" x14ac:dyDescent="0.25">
      <c r="A635" s="49" t="s">
        <v>18</v>
      </c>
      <c r="B635" s="113">
        <f>'MASQUE COLLABORATEUR'!B635</f>
        <v>0</v>
      </c>
      <c r="E635" s="49"/>
      <c r="G635" s="57" t="s">
        <v>317</v>
      </c>
      <c r="H635" s="58" t="e">
        <f>'MASQUE COLLABORATEUR'!H635</f>
        <v>#N/A</v>
      </c>
      <c r="J635" s="10" t="s">
        <v>161</v>
      </c>
      <c r="K635" s="58" t="e">
        <f>'MASQUE COLLABORATEUR'!K635</f>
        <v>#N/A</v>
      </c>
      <c r="L635" s="114" t="s">
        <v>340</v>
      </c>
      <c r="M635" s="115" t="e">
        <f>'MASQUE COLLABORATEUR'!M635</f>
        <v>#N/A</v>
      </c>
    </row>
    <row r="636" spans="1:14" ht="15.75" thickBot="1" x14ac:dyDescent="0.3">
      <c r="A636" s="49" t="s">
        <v>59</v>
      </c>
      <c r="B636" s="2" t="e">
        <f>'MASQUE COLLABORATEUR'!B636</f>
        <v>#N/A</v>
      </c>
      <c r="C636" s="2"/>
      <c r="D636" s="2"/>
      <c r="G636" s="57" t="s">
        <v>158</v>
      </c>
      <c r="H636" s="58" t="e">
        <f>'MASQUE COLLABORATEUR'!H636</f>
        <v>#N/A</v>
      </c>
    </row>
    <row r="637" spans="1:14" ht="15.75" thickBot="1" x14ac:dyDescent="0.3">
      <c r="A637" s="64" t="str">
        <f>A604</f>
        <v>Semaine 25</v>
      </c>
      <c r="B637" s="65" t="e">
        <f>'MASQUE COLLABORATEUR'!B637</f>
        <v>#N/A</v>
      </c>
      <c r="C637" s="65" t="s">
        <v>141</v>
      </c>
      <c r="D637" s="66" t="e">
        <f>'MASQUE COLLABORATEUR'!D637</f>
        <v>#N/A</v>
      </c>
      <c r="E637" s="66" t="e">
        <f>'MASQUE COLLABORATEUR'!E637</f>
        <v>#N/A</v>
      </c>
      <c r="F637" s="67" t="s">
        <v>110</v>
      </c>
      <c r="H637" s="64" t="str">
        <f>H604</f>
        <v>Semaine 26</v>
      </c>
      <c r="I637" s="65" t="e">
        <f>'MASQUE COLLABORATEUR'!I637</f>
        <v>#N/A</v>
      </c>
      <c r="J637" s="65" t="s">
        <v>141</v>
      </c>
      <c r="K637" s="66" t="e">
        <f>'MASQUE COLLABORATEUR'!K637</f>
        <v>#N/A</v>
      </c>
      <c r="L637" s="66" t="e">
        <f>'MASQUE COLLABORATEUR'!L637</f>
        <v>#N/A</v>
      </c>
      <c r="M637" s="67" t="s">
        <v>110</v>
      </c>
    </row>
    <row r="638" spans="1:14" x14ac:dyDescent="0.25">
      <c r="A638" s="68" t="s">
        <v>103</v>
      </c>
      <c r="B638" s="98"/>
      <c r="C638" s="98"/>
      <c r="D638" s="99"/>
      <c r="E638" s="100"/>
      <c r="F638" s="101"/>
      <c r="H638" s="69" t="s">
        <v>103</v>
      </c>
      <c r="I638" s="95"/>
      <c r="J638" s="95"/>
      <c r="K638" s="106"/>
      <c r="L638" s="105"/>
      <c r="M638" s="101"/>
    </row>
    <row r="639" spans="1:14" x14ac:dyDescent="0.25">
      <c r="A639" s="69" t="s">
        <v>104</v>
      </c>
      <c r="B639" s="96"/>
      <c r="C639" s="96"/>
      <c r="D639" s="102"/>
      <c r="E639" s="103"/>
      <c r="F639" s="38"/>
      <c r="H639" s="69" t="s">
        <v>104</v>
      </c>
      <c r="I639" s="96"/>
      <c r="J639" s="96"/>
      <c r="K639" s="102"/>
      <c r="L639" s="103"/>
      <c r="M639" s="38"/>
    </row>
    <row r="640" spans="1:14" x14ac:dyDescent="0.25">
      <c r="A640" s="69" t="s">
        <v>105</v>
      </c>
      <c r="B640" s="96"/>
      <c r="C640" s="96"/>
      <c r="D640" s="102"/>
      <c r="E640" s="103"/>
      <c r="F640" s="38"/>
      <c r="H640" s="69" t="s">
        <v>105</v>
      </c>
      <c r="I640" s="96"/>
      <c r="J640" s="96"/>
      <c r="K640" s="102"/>
      <c r="L640" s="103"/>
      <c r="M640" s="38"/>
    </row>
    <row r="641" spans="1:14" x14ac:dyDescent="0.25">
      <c r="A641" s="69" t="s">
        <v>106</v>
      </c>
      <c r="B641" s="96"/>
      <c r="C641" s="96"/>
      <c r="D641" s="102"/>
      <c r="E641" s="103"/>
      <c r="F641" s="38"/>
      <c r="H641" s="69" t="s">
        <v>106</v>
      </c>
      <c r="I641" s="96"/>
      <c r="J641" s="96"/>
      <c r="K641" s="102"/>
      <c r="L641" s="103"/>
      <c r="M641" s="38"/>
    </row>
    <row r="642" spans="1:14" x14ac:dyDescent="0.25">
      <c r="A642" s="69" t="s">
        <v>107</v>
      </c>
      <c r="B642" s="96"/>
      <c r="C642" s="96"/>
      <c r="D642" s="102"/>
      <c r="E642" s="103"/>
      <c r="F642" s="38"/>
      <c r="H642" s="69" t="s">
        <v>107</v>
      </c>
      <c r="I642" s="96"/>
      <c r="J642" s="96"/>
      <c r="K642" s="102"/>
      <c r="L642" s="103"/>
      <c r="M642" s="38"/>
    </row>
    <row r="643" spans="1:14" x14ac:dyDescent="0.25">
      <c r="A643" s="69" t="s">
        <v>108</v>
      </c>
      <c r="B643" s="96"/>
      <c r="C643" s="96"/>
      <c r="D643" s="102"/>
      <c r="E643" s="103"/>
      <c r="F643" s="38"/>
      <c r="H643" s="69" t="s">
        <v>108</v>
      </c>
      <c r="I643" s="96"/>
      <c r="J643" s="96"/>
      <c r="K643" s="102"/>
      <c r="L643" s="103"/>
      <c r="M643" s="38"/>
    </row>
    <row r="644" spans="1:14" ht="15.75" thickBot="1" x14ac:dyDescent="0.3">
      <c r="A644" s="70" t="s">
        <v>109</v>
      </c>
      <c r="B644" s="97"/>
      <c r="C644" s="97"/>
      <c r="D644" s="71"/>
      <c r="E644" s="104"/>
      <c r="F644" s="38"/>
      <c r="H644" s="70" t="s">
        <v>109</v>
      </c>
      <c r="I644" s="97"/>
      <c r="J644" s="97"/>
      <c r="K644" s="71"/>
      <c r="L644" s="104"/>
      <c r="M644" s="38"/>
    </row>
    <row r="645" spans="1:14" ht="15.75" thickBot="1" x14ac:dyDescent="0.3">
      <c r="A645" s="64" t="str">
        <f>A612</f>
        <v>Semaine 27</v>
      </c>
      <c r="B645" s="65" t="e">
        <f>'MASQUE COLLABORATEUR'!B645</f>
        <v>#N/A</v>
      </c>
      <c r="C645" s="65" t="s">
        <v>141</v>
      </c>
      <c r="D645" s="66" t="e">
        <f>'MASQUE COLLABORATEUR'!D645</f>
        <v>#N/A</v>
      </c>
      <c r="E645" s="66" t="e">
        <f>'MASQUE COLLABORATEUR'!E645</f>
        <v>#N/A</v>
      </c>
      <c r="F645" s="67" t="s">
        <v>110</v>
      </c>
      <c r="H645" s="64" t="str">
        <f>H612</f>
        <v>Semaine 28</v>
      </c>
      <c r="I645" s="65" t="e">
        <f>'MASQUE COLLABORATEUR'!I645</f>
        <v>#N/A</v>
      </c>
      <c r="J645" s="65" t="s">
        <v>141</v>
      </c>
      <c r="K645" s="66" t="e">
        <f>'MASQUE COLLABORATEUR'!K645</f>
        <v>#N/A</v>
      </c>
      <c r="L645" s="66" t="e">
        <f>'MASQUE COLLABORATEUR'!L645</f>
        <v>#N/A</v>
      </c>
      <c r="M645" s="67" t="s">
        <v>110</v>
      </c>
    </row>
    <row r="646" spans="1:14" x14ac:dyDescent="0.25">
      <c r="A646" s="69" t="s">
        <v>103</v>
      </c>
      <c r="B646" s="95"/>
      <c r="C646" s="95"/>
      <c r="D646" s="106"/>
      <c r="E646" s="105"/>
      <c r="F646" s="101"/>
      <c r="H646" s="69" t="s">
        <v>103</v>
      </c>
      <c r="I646" s="95"/>
      <c r="J646" s="95"/>
      <c r="K646" s="106"/>
      <c r="L646" s="105"/>
      <c r="M646" s="101"/>
    </row>
    <row r="647" spans="1:14" x14ac:dyDescent="0.25">
      <c r="A647" s="69" t="s">
        <v>104</v>
      </c>
      <c r="B647" s="96"/>
      <c r="C647" s="96"/>
      <c r="D647" s="102"/>
      <c r="E647" s="103"/>
      <c r="F647" s="38"/>
      <c r="H647" s="69" t="s">
        <v>104</v>
      </c>
      <c r="I647" s="96"/>
      <c r="J647" s="96"/>
      <c r="K647" s="102"/>
      <c r="L647" s="103"/>
      <c r="M647" s="38"/>
    </row>
    <row r="648" spans="1:14" x14ac:dyDescent="0.25">
      <c r="A648" s="69" t="s">
        <v>105</v>
      </c>
      <c r="B648" s="96"/>
      <c r="C648" s="96"/>
      <c r="D648" s="102"/>
      <c r="E648" s="103"/>
      <c r="F648" s="38"/>
      <c r="H648" s="69" t="s">
        <v>105</v>
      </c>
      <c r="I648" s="96"/>
      <c r="J648" s="96"/>
      <c r="K648" s="102"/>
      <c r="L648" s="103"/>
      <c r="M648" s="38"/>
    </row>
    <row r="649" spans="1:14" x14ac:dyDescent="0.25">
      <c r="A649" s="69" t="s">
        <v>106</v>
      </c>
      <c r="B649" s="96"/>
      <c r="C649" s="96"/>
      <c r="D649" s="102"/>
      <c r="E649" s="103"/>
      <c r="F649" s="38"/>
      <c r="H649" s="69" t="s">
        <v>106</v>
      </c>
      <c r="I649" s="96"/>
      <c r="J649" s="96"/>
      <c r="K649" s="102"/>
      <c r="L649" s="103"/>
      <c r="M649" s="38"/>
    </row>
    <row r="650" spans="1:14" x14ac:dyDescent="0.25">
      <c r="A650" s="69" t="s">
        <v>107</v>
      </c>
      <c r="B650" s="96"/>
      <c r="C650" s="96"/>
      <c r="D650" s="102"/>
      <c r="E650" s="103"/>
      <c r="F650" s="38"/>
      <c r="H650" s="69" t="s">
        <v>107</v>
      </c>
      <c r="I650" s="96"/>
      <c r="J650" s="96"/>
      <c r="K650" s="102"/>
      <c r="L650" s="103"/>
      <c r="M650" s="38"/>
    </row>
    <row r="651" spans="1:14" x14ac:dyDescent="0.25">
      <c r="A651" s="69" t="s">
        <v>108</v>
      </c>
      <c r="B651" s="96"/>
      <c r="C651" s="96"/>
      <c r="D651" s="102"/>
      <c r="E651" s="103"/>
      <c r="F651" s="38"/>
      <c r="H651" s="69" t="s">
        <v>108</v>
      </c>
      <c r="I651" s="96"/>
      <c r="J651" s="96"/>
      <c r="K651" s="102"/>
      <c r="L651" s="103"/>
      <c r="M651" s="38"/>
    </row>
    <row r="652" spans="1:14" ht="15.75" thickBot="1" x14ac:dyDescent="0.3">
      <c r="A652" s="70" t="s">
        <v>109</v>
      </c>
      <c r="B652" s="97"/>
      <c r="C652" s="97"/>
      <c r="D652" s="71"/>
      <c r="E652" s="104"/>
      <c r="F652" s="38"/>
      <c r="H652" s="70" t="s">
        <v>109</v>
      </c>
      <c r="I652" s="97"/>
      <c r="J652" s="97"/>
      <c r="K652" s="71"/>
      <c r="L652" s="104"/>
      <c r="M652" s="39"/>
    </row>
    <row r="653" spans="1:14" ht="15.75" thickBot="1" x14ac:dyDescent="0.3">
      <c r="A653" s="64" t="str">
        <f>A620</f>
        <v>Semaine 29</v>
      </c>
      <c r="B653" s="65" t="e">
        <f>'MASQUE COLLABORATEUR'!B653</f>
        <v>#N/A</v>
      </c>
      <c r="C653" s="65" t="s">
        <v>141</v>
      </c>
      <c r="D653" s="66" t="e">
        <f>'MASQUE COLLABORATEUR'!D653</f>
        <v>#N/A</v>
      </c>
      <c r="E653" s="66" t="e">
        <f>'MASQUE COLLABORATEUR'!E653</f>
        <v>#N/A</v>
      </c>
      <c r="F653" s="67" t="s">
        <v>110</v>
      </c>
      <c r="H653" s="77" t="s">
        <v>136</v>
      </c>
      <c r="I653" s="78" t="e">
        <f>'MASQUE COLLABORATEUR'!I653</f>
        <v>#N/A</v>
      </c>
      <c r="J653" s="78" t="s">
        <v>141</v>
      </c>
      <c r="K653" s="79" t="e">
        <f>'MASQUE COLLABORATEUR'!K653</f>
        <v>#N/A</v>
      </c>
      <c r="L653" s="80" t="e">
        <f>'MASQUE COLLABORATEUR'!L653</f>
        <v>#N/A</v>
      </c>
      <c r="M653" s="49"/>
    </row>
    <row r="654" spans="1:14" x14ac:dyDescent="0.25">
      <c r="A654" s="69" t="s">
        <v>103</v>
      </c>
      <c r="B654" s="95"/>
      <c r="C654" s="95"/>
      <c r="D654" s="106"/>
      <c r="E654" s="105"/>
      <c r="F654" s="101"/>
      <c r="H654" s="81" t="s">
        <v>103</v>
      </c>
      <c r="I654" s="82">
        <v>0</v>
      </c>
      <c r="J654" s="82">
        <v>0</v>
      </c>
      <c r="K654" s="83">
        <v>0</v>
      </c>
      <c r="L654" s="84">
        <v>0</v>
      </c>
      <c r="M654" s="187"/>
      <c r="N654" s="188"/>
    </row>
    <row r="655" spans="1:14" x14ac:dyDescent="0.25">
      <c r="A655" s="69" t="s">
        <v>104</v>
      </c>
      <c r="B655" s="96"/>
      <c r="C655" s="96"/>
      <c r="D655" s="102"/>
      <c r="E655" s="103"/>
      <c r="F655" s="38"/>
      <c r="H655" s="81" t="s">
        <v>104</v>
      </c>
      <c r="I655" s="88">
        <v>0</v>
      </c>
      <c r="J655" s="88">
        <v>0</v>
      </c>
      <c r="K655" s="89">
        <v>0</v>
      </c>
      <c r="L655" s="90">
        <v>0</v>
      </c>
      <c r="M655" s="49"/>
    </row>
    <row r="656" spans="1:14" x14ac:dyDescent="0.25">
      <c r="A656" s="69" t="s">
        <v>105</v>
      </c>
      <c r="B656" s="96"/>
      <c r="C656" s="96"/>
      <c r="D656" s="102"/>
      <c r="E656" s="103"/>
      <c r="F656" s="38"/>
      <c r="H656" s="81" t="s">
        <v>105</v>
      </c>
      <c r="I656" s="88">
        <v>0</v>
      </c>
      <c r="J656" s="88">
        <v>0</v>
      </c>
      <c r="K656" s="89">
        <v>0</v>
      </c>
      <c r="L656" s="90">
        <v>0</v>
      </c>
      <c r="M656" s="49"/>
    </row>
    <row r="657" spans="1:14" x14ac:dyDescent="0.25">
      <c r="A657" s="69" t="s">
        <v>106</v>
      </c>
      <c r="B657" s="96"/>
      <c r="C657" s="96"/>
      <c r="D657" s="102"/>
      <c r="E657" s="103"/>
      <c r="F657" s="38"/>
      <c r="H657" s="81" t="s">
        <v>106</v>
      </c>
      <c r="I657" s="88">
        <v>0</v>
      </c>
      <c r="J657" s="88">
        <v>0</v>
      </c>
      <c r="K657" s="89">
        <v>0</v>
      </c>
      <c r="L657" s="90">
        <v>0</v>
      </c>
      <c r="M657" s="49"/>
    </row>
    <row r="658" spans="1:14" x14ac:dyDescent="0.25">
      <c r="A658" s="69" t="s">
        <v>107</v>
      </c>
      <c r="B658" s="96"/>
      <c r="C658" s="96"/>
      <c r="D658" s="102"/>
      <c r="E658" s="103"/>
      <c r="F658" s="38"/>
      <c r="H658" s="81" t="s">
        <v>107</v>
      </c>
      <c r="I658" s="88">
        <v>0</v>
      </c>
      <c r="J658" s="88">
        <v>0</v>
      </c>
      <c r="K658" s="89">
        <v>0</v>
      </c>
      <c r="L658" s="90">
        <v>0</v>
      </c>
      <c r="M658" s="187"/>
      <c r="N658" s="190" t="s">
        <v>447</v>
      </c>
    </row>
    <row r="659" spans="1:14" x14ac:dyDescent="0.25">
      <c r="A659" s="69" t="s">
        <v>108</v>
      </c>
      <c r="B659" s="96"/>
      <c r="C659" s="96"/>
      <c r="D659" s="102"/>
      <c r="E659" s="103"/>
      <c r="F659" s="38"/>
      <c r="H659" s="81" t="s">
        <v>108</v>
      </c>
      <c r="I659" s="88">
        <v>0</v>
      </c>
      <c r="J659" s="88">
        <v>0</v>
      </c>
      <c r="K659" s="89">
        <v>0</v>
      </c>
      <c r="L659" s="90">
        <v>0</v>
      </c>
      <c r="M659" s="49"/>
      <c r="N659" s="189">
        <f ca="1">TODAY()</f>
        <v>46181</v>
      </c>
    </row>
    <row r="660" spans="1:14" ht="15.75" thickBot="1" x14ac:dyDescent="0.3">
      <c r="A660" s="70" t="s">
        <v>109</v>
      </c>
      <c r="B660" s="97"/>
      <c r="C660" s="97"/>
      <c r="D660" s="71"/>
      <c r="E660" s="104"/>
      <c r="F660" s="39"/>
      <c r="H660" s="92" t="s">
        <v>109</v>
      </c>
      <c r="I660" s="93">
        <v>0</v>
      </c>
      <c r="J660" s="93">
        <v>0</v>
      </c>
      <c r="K660" s="71">
        <v>0</v>
      </c>
      <c r="L660" s="94">
        <v>0</v>
      </c>
      <c r="M660" s="49"/>
    </row>
  </sheetData>
  <sheetProtection algorithmName="SHA-512" hashValue="BOrImFjhW1x14CPD6a4s659XdHDLlFC6UqcIvVZsp3Fu4QWWOJ4iJGAqxjcpPdlk0DyK15PjjmEDswFM05XWZQ==" saltValue="rwiLus3gItonnJ/K4Xcd1w==" spinCount="100000" sheet="1" objects="1" scenarios="1" selectLockedCells="1"/>
  <mergeCells count="21">
    <mergeCell ref="D628:K630"/>
    <mergeCell ref="D463:K465"/>
    <mergeCell ref="D496:K498"/>
    <mergeCell ref="D529:K531"/>
    <mergeCell ref="D562:K564"/>
    <mergeCell ref="D595:K597"/>
    <mergeCell ref="D298:K300"/>
    <mergeCell ref="D331:K333"/>
    <mergeCell ref="D364:K366"/>
    <mergeCell ref="D397:K399"/>
    <mergeCell ref="D430:K432"/>
    <mergeCell ref="D133:K135"/>
    <mergeCell ref="D166:K168"/>
    <mergeCell ref="D199:K201"/>
    <mergeCell ref="D232:K234"/>
    <mergeCell ref="D265:K267"/>
    <mergeCell ref="P4:T4"/>
    <mergeCell ref="D1:K3"/>
    <mergeCell ref="D34:K36"/>
    <mergeCell ref="D67:K69"/>
    <mergeCell ref="D100:K102"/>
  </mergeCells>
  <conditionalFormatting sqref="A59">
    <cfRule type="cellIs" dxfId="20" priority="21" operator="equal">
      <formula>"Ne pas saisir"</formula>
    </cfRule>
  </conditionalFormatting>
  <conditionalFormatting sqref="A92">
    <cfRule type="cellIs" dxfId="19" priority="20" operator="equal">
      <formula>"Ne pas saisir"</formula>
    </cfRule>
  </conditionalFormatting>
  <conditionalFormatting sqref="A125">
    <cfRule type="cellIs" dxfId="18" priority="19" operator="equal">
      <formula>"Ne pas saisir"</formula>
    </cfRule>
  </conditionalFormatting>
  <conditionalFormatting sqref="A158">
    <cfRule type="cellIs" dxfId="17" priority="18" operator="equal">
      <formula>"Ne pas saisir"</formula>
    </cfRule>
  </conditionalFormatting>
  <conditionalFormatting sqref="A191">
    <cfRule type="cellIs" dxfId="16" priority="17" operator="equal">
      <formula>"Ne pas saisir"</formula>
    </cfRule>
  </conditionalFormatting>
  <conditionalFormatting sqref="A224">
    <cfRule type="cellIs" dxfId="15" priority="16" operator="equal">
      <formula>"Ne pas saisir"</formula>
    </cfRule>
  </conditionalFormatting>
  <conditionalFormatting sqref="A257">
    <cfRule type="cellIs" dxfId="14" priority="15" operator="equal">
      <formula>"Ne pas saisir"</formula>
    </cfRule>
  </conditionalFormatting>
  <conditionalFormatting sqref="A290">
    <cfRule type="cellIs" dxfId="13" priority="14" operator="equal">
      <formula>"Ne pas saisir"</formula>
    </cfRule>
  </conditionalFormatting>
  <conditionalFormatting sqref="A323">
    <cfRule type="cellIs" dxfId="12" priority="13" operator="equal">
      <formula>"Ne pas saisir"</formula>
    </cfRule>
  </conditionalFormatting>
  <conditionalFormatting sqref="A356">
    <cfRule type="cellIs" dxfId="11" priority="12" operator="equal">
      <formula>"Ne pas saisir"</formula>
    </cfRule>
  </conditionalFormatting>
  <conditionalFormatting sqref="A389">
    <cfRule type="cellIs" dxfId="10" priority="11" operator="equal">
      <formula>"Ne pas saisir"</formula>
    </cfRule>
  </conditionalFormatting>
  <conditionalFormatting sqref="A422">
    <cfRule type="cellIs" dxfId="9" priority="10" operator="equal">
      <formula>"Ne pas saisir"</formula>
    </cfRule>
  </conditionalFormatting>
  <conditionalFormatting sqref="A455">
    <cfRule type="cellIs" dxfId="8" priority="9" operator="equal">
      <formula>"Ne pas saisir"</formula>
    </cfRule>
  </conditionalFormatting>
  <conditionalFormatting sqref="A488">
    <cfRule type="cellIs" dxfId="7" priority="8" operator="equal">
      <formula>"Ne pas saisir"</formula>
    </cfRule>
  </conditionalFormatting>
  <conditionalFormatting sqref="A521">
    <cfRule type="cellIs" dxfId="6" priority="7" operator="equal">
      <formula>"Ne pas saisir"</formula>
    </cfRule>
  </conditionalFormatting>
  <conditionalFormatting sqref="A554">
    <cfRule type="cellIs" dxfId="5" priority="6" operator="equal">
      <formula>"Ne pas saisir"</formula>
    </cfRule>
  </conditionalFormatting>
  <conditionalFormatting sqref="A587">
    <cfRule type="cellIs" dxfId="4" priority="5" operator="equal">
      <formula>"Ne pas saisir"</formula>
    </cfRule>
  </conditionalFormatting>
  <conditionalFormatting sqref="A620">
    <cfRule type="cellIs" dxfId="3" priority="4" operator="equal">
      <formula>"Ne pas saisir"</formula>
    </cfRule>
  </conditionalFormatting>
  <conditionalFormatting sqref="A653">
    <cfRule type="cellIs" dxfId="2" priority="3" operator="equal">
      <formula>"Ne pas saisir"</formula>
    </cfRule>
  </conditionalFormatting>
  <conditionalFormatting sqref="A26">
    <cfRule type="cellIs" dxfId="1" priority="2" operator="equal">
      <formula>"Ne pas saisir"</formula>
    </cfRule>
  </conditionalFormatting>
  <conditionalFormatting sqref="S8:T27">
    <cfRule type="cellIs" dxfId="0" priority="1" operator="equal">
      <formula>"Vérifier la fiche"</formula>
    </cfRule>
  </conditionalFormatting>
  <dataValidations count="1">
    <dataValidation type="list" allowBlank="1" showInputMessage="1" showErrorMessage="1" errorTitle="Choisir le motif dans la liste." error="Choisir le motif dans la liste." sqref="F11:F17 M11:M17 F19:F25 M19:M25 F27:F33 M646:M652 F44:F50 M44:M50 F52:F58 M52:M58 F60:F66 F77:F83 M85:M91 M77:M83 F85:F91 F93:F99 M118:M124 F126:F132 F110:F116 F118:F124 M110:M116 F143:F149 F151:F157 F159:F165 M151:M157 M143:M149 F176:F182 F184:F190 F192:F198 M184:M190 M176:M182 F209:F215 F217:F223 F225:F231 M217:M223 M209:M215 F242:F248 F250:F256 F258:F264 M250:M256 M242:M248 F275:F281 F283:F289 F291:F297 M283:M289 M275:M281 F308:F314 F316:F322 F324:F330 M316:M322 M308:M314 F341:F347 F349:F355 F357:F363 M349:M355 M341:M347 F374:F380 F382:F388 F390:F396 M382:M388 M374:M380 F407:F413 F415:F421 M407:M413 F423:F429 M415:M421 M448:M454 F448:F454 M440:M446 F440:F446 F456:F462 M481:M487 F481:F487 M473:M479 F473:F479 F489:F495 F506:F512 F514:F520 F522:F528 M514:M520 M506:M512 F539:F545 F547:F553 F555:F561 M547:M553 M539:M545 F572:F578 F580:F586 F588:F594 M580:M586 M572:M578 F605:F611 F613:F619 F621:F627 M613:M619 M605:M611 F638:F644 F646:F652 F654:F660 M638:M644" xr:uid="{036B78CB-1461-4236-BB10-3A13E85FABE0}">
      <formula1>"Maladie,Accident T,Injustifiée,Sans Soldes,Ancienneté,Mariage PACS, Naissance/Adoption, Mariage enfant, Décès famille,Rentrée Scolaire,Garde enfant malade,Délégation,Chômage Partiel,Mat/Paternité"</formula1>
    </dataValidation>
  </dataValidations>
  <pageMargins left="0.7" right="0.7" top="0.75" bottom="0.75" header="0.3" footer="0.3"/>
  <pageSetup paperSize="9" scale="92"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219" r:id="rId4" name="Button 143">
              <controlPr defaultSize="0" print="0" autoFill="0" autoPict="0" macro="[0]!print1">
                <anchor moveWithCells="1" sizeWithCells="1">
                  <from>
                    <xdr:col>15</xdr:col>
                    <xdr:colOff>28575</xdr:colOff>
                    <xdr:row>7</xdr:row>
                    <xdr:rowOff>19050</xdr:rowOff>
                  </from>
                  <to>
                    <xdr:col>16</xdr:col>
                    <xdr:colOff>809625</xdr:colOff>
                    <xdr:row>7</xdr:row>
                    <xdr:rowOff>180975</xdr:rowOff>
                  </to>
                </anchor>
              </controlPr>
            </control>
          </mc:Choice>
        </mc:AlternateContent>
        <mc:AlternateContent xmlns:mc="http://schemas.openxmlformats.org/markup-compatibility/2006">
          <mc:Choice Requires="x14">
            <control shapeId="9220" r:id="rId5" name="Button 144">
              <controlPr defaultSize="0" print="0" autoFill="0" autoPict="0" macro="[0]!Print2">
                <anchor moveWithCells="1" sizeWithCells="1">
                  <from>
                    <xdr:col>15</xdr:col>
                    <xdr:colOff>28575</xdr:colOff>
                    <xdr:row>8</xdr:row>
                    <xdr:rowOff>28575</xdr:rowOff>
                  </from>
                  <to>
                    <xdr:col>16</xdr:col>
                    <xdr:colOff>809625</xdr:colOff>
                    <xdr:row>8</xdr:row>
                    <xdr:rowOff>190500</xdr:rowOff>
                  </to>
                </anchor>
              </controlPr>
            </control>
          </mc:Choice>
        </mc:AlternateContent>
        <mc:AlternateContent xmlns:mc="http://schemas.openxmlformats.org/markup-compatibility/2006">
          <mc:Choice Requires="x14">
            <control shapeId="9221" r:id="rId6" name="Button 145">
              <controlPr defaultSize="0" print="0" autoFill="0" autoPict="0" macro="[0]!Print3">
                <anchor moveWithCells="1" sizeWithCells="1">
                  <from>
                    <xdr:col>15</xdr:col>
                    <xdr:colOff>28575</xdr:colOff>
                    <xdr:row>9</xdr:row>
                    <xdr:rowOff>28575</xdr:rowOff>
                  </from>
                  <to>
                    <xdr:col>16</xdr:col>
                    <xdr:colOff>809625</xdr:colOff>
                    <xdr:row>9</xdr:row>
                    <xdr:rowOff>190500</xdr:rowOff>
                  </to>
                </anchor>
              </controlPr>
            </control>
          </mc:Choice>
        </mc:AlternateContent>
        <mc:AlternateContent xmlns:mc="http://schemas.openxmlformats.org/markup-compatibility/2006">
          <mc:Choice Requires="x14">
            <control shapeId="9222" r:id="rId7" name="Button 146">
              <controlPr defaultSize="0" print="0" autoFill="0" autoPict="0" macro="[0]!Print4">
                <anchor moveWithCells="1" sizeWithCells="1">
                  <from>
                    <xdr:col>15</xdr:col>
                    <xdr:colOff>28575</xdr:colOff>
                    <xdr:row>10</xdr:row>
                    <xdr:rowOff>19050</xdr:rowOff>
                  </from>
                  <to>
                    <xdr:col>16</xdr:col>
                    <xdr:colOff>809625</xdr:colOff>
                    <xdr:row>10</xdr:row>
                    <xdr:rowOff>180975</xdr:rowOff>
                  </to>
                </anchor>
              </controlPr>
            </control>
          </mc:Choice>
        </mc:AlternateContent>
        <mc:AlternateContent xmlns:mc="http://schemas.openxmlformats.org/markup-compatibility/2006">
          <mc:Choice Requires="x14">
            <control shapeId="9223" r:id="rId8" name="Button 147">
              <controlPr defaultSize="0" print="0" autoFill="0" autoPict="0" macro="[0]!Print5">
                <anchor moveWithCells="1" sizeWithCells="1">
                  <from>
                    <xdr:col>15</xdr:col>
                    <xdr:colOff>28575</xdr:colOff>
                    <xdr:row>11</xdr:row>
                    <xdr:rowOff>19050</xdr:rowOff>
                  </from>
                  <to>
                    <xdr:col>16</xdr:col>
                    <xdr:colOff>809625</xdr:colOff>
                    <xdr:row>11</xdr:row>
                    <xdr:rowOff>180975</xdr:rowOff>
                  </to>
                </anchor>
              </controlPr>
            </control>
          </mc:Choice>
        </mc:AlternateContent>
        <mc:AlternateContent xmlns:mc="http://schemas.openxmlformats.org/markup-compatibility/2006">
          <mc:Choice Requires="x14">
            <control shapeId="9224" r:id="rId9" name="Button 148">
              <controlPr defaultSize="0" print="0" autoFill="0" autoPict="0" macro="[0]!Print6">
                <anchor moveWithCells="1" sizeWithCells="1">
                  <from>
                    <xdr:col>15</xdr:col>
                    <xdr:colOff>28575</xdr:colOff>
                    <xdr:row>12</xdr:row>
                    <xdr:rowOff>19050</xdr:rowOff>
                  </from>
                  <to>
                    <xdr:col>16</xdr:col>
                    <xdr:colOff>809625</xdr:colOff>
                    <xdr:row>12</xdr:row>
                    <xdr:rowOff>180975</xdr:rowOff>
                  </to>
                </anchor>
              </controlPr>
            </control>
          </mc:Choice>
        </mc:AlternateContent>
        <mc:AlternateContent xmlns:mc="http://schemas.openxmlformats.org/markup-compatibility/2006">
          <mc:Choice Requires="x14">
            <control shapeId="9225" r:id="rId10" name="Button 149">
              <controlPr defaultSize="0" print="0" autoFill="0" autoPict="0" macro="[0]!Print7">
                <anchor moveWithCells="1" sizeWithCells="1">
                  <from>
                    <xdr:col>15</xdr:col>
                    <xdr:colOff>28575</xdr:colOff>
                    <xdr:row>13</xdr:row>
                    <xdr:rowOff>19050</xdr:rowOff>
                  </from>
                  <to>
                    <xdr:col>16</xdr:col>
                    <xdr:colOff>809625</xdr:colOff>
                    <xdr:row>13</xdr:row>
                    <xdr:rowOff>180975</xdr:rowOff>
                  </to>
                </anchor>
              </controlPr>
            </control>
          </mc:Choice>
        </mc:AlternateContent>
        <mc:AlternateContent xmlns:mc="http://schemas.openxmlformats.org/markup-compatibility/2006">
          <mc:Choice Requires="x14">
            <control shapeId="9226" r:id="rId11" name="Button 150">
              <controlPr defaultSize="0" print="0" autoFill="0" autoPict="0" macro="[0]!Print8">
                <anchor moveWithCells="1" sizeWithCells="1">
                  <from>
                    <xdr:col>15</xdr:col>
                    <xdr:colOff>28575</xdr:colOff>
                    <xdr:row>14</xdr:row>
                    <xdr:rowOff>19050</xdr:rowOff>
                  </from>
                  <to>
                    <xdr:col>16</xdr:col>
                    <xdr:colOff>809625</xdr:colOff>
                    <xdr:row>14</xdr:row>
                    <xdr:rowOff>180975</xdr:rowOff>
                  </to>
                </anchor>
              </controlPr>
            </control>
          </mc:Choice>
        </mc:AlternateContent>
        <mc:AlternateContent xmlns:mc="http://schemas.openxmlformats.org/markup-compatibility/2006">
          <mc:Choice Requires="x14">
            <control shapeId="9227" r:id="rId12" name="Button 151">
              <controlPr defaultSize="0" print="0" autoFill="0" autoPict="0" macro="[0]!Print9">
                <anchor moveWithCells="1" sizeWithCells="1">
                  <from>
                    <xdr:col>15</xdr:col>
                    <xdr:colOff>28575</xdr:colOff>
                    <xdr:row>15</xdr:row>
                    <xdr:rowOff>19050</xdr:rowOff>
                  </from>
                  <to>
                    <xdr:col>16</xdr:col>
                    <xdr:colOff>809625</xdr:colOff>
                    <xdr:row>15</xdr:row>
                    <xdr:rowOff>180975</xdr:rowOff>
                  </to>
                </anchor>
              </controlPr>
            </control>
          </mc:Choice>
        </mc:AlternateContent>
        <mc:AlternateContent xmlns:mc="http://schemas.openxmlformats.org/markup-compatibility/2006">
          <mc:Choice Requires="x14">
            <control shapeId="9228" r:id="rId13" name="Button 152">
              <controlPr defaultSize="0" print="0" autoFill="0" autoPict="0" macro="[0]!Print10">
                <anchor moveWithCells="1" sizeWithCells="1">
                  <from>
                    <xdr:col>15</xdr:col>
                    <xdr:colOff>28575</xdr:colOff>
                    <xdr:row>16</xdr:row>
                    <xdr:rowOff>19050</xdr:rowOff>
                  </from>
                  <to>
                    <xdr:col>16</xdr:col>
                    <xdr:colOff>809625</xdr:colOff>
                    <xdr:row>16</xdr:row>
                    <xdr:rowOff>180975</xdr:rowOff>
                  </to>
                </anchor>
              </controlPr>
            </control>
          </mc:Choice>
        </mc:AlternateContent>
        <mc:AlternateContent xmlns:mc="http://schemas.openxmlformats.org/markup-compatibility/2006">
          <mc:Choice Requires="x14">
            <control shapeId="9229" r:id="rId14" name="Button 153">
              <controlPr defaultSize="0" print="0" autoFill="0" autoPict="0" macro="[0]!Print11">
                <anchor moveWithCells="1" sizeWithCells="1">
                  <from>
                    <xdr:col>15</xdr:col>
                    <xdr:colOff>28575</xdr:colOff>
                    <xdr:row>17</xdr:row>
                    <xdr:rowOff>9525</xdr:rowOff>
                  </from>
                  <to>
                    <xdr:col>16</xdr:col>
                    <xdr:colOff>809625</xdr:colOff>
                    <xdr:row>17</xdr:row>
                    <xdr:rowOff>171450</xdr:rowOff>
                  </to>
                </anchor>
              </controlPr>
            </control>
          </mc:Choice>
        </mc:AlternateContent>
        <mc:AlternateContent xmlns:mc="http://schemas.openxmlformats.org/markup-compatibility/2006">
          <mc:Choice Requires="x14">
            <control shapeId="9230" r:id="rId15" name="Button 154">
              <controlPr defaultSize="0" print="0" autoFill="0" autoPict="0" macro="[0]!Print12">
                <anchor moveWithCells="1" sizeWithCells="1">
                  <from>
                    <xdr:col>15</xdr:col>
                    <xdr:colOff>28575</xdr:colOff>
                    <xdr:row>18</xdr:row>
                    <xdr:rowOff>9525</xdr:rowOff>
                  </from>
                  <to>
                    <xdr:col>16</xdr:col>
                    <xdr:colOff>809625</xdr:colOff>
                    <xdr:row>18</xdr:row>
                    <xdr:rowOff>171450</xdr:rowOff>
                  </to>
                </anchor>
              </controlPr>
            </control>
          </mc:Choice>
        </mc:AlternateContent>
        <mc:AlternateContent xmlns:mc="http://schemas.openxmlformats.org/markup-compatibility/2006">
          <mc:Choice Requires="x14">
            <control shapeId="9231" r:id="rId16" name="Button 155">
              <controlPr defaultSize="0" print="0" autoFill="0" autoPict="0" macro="[0]!Print13">
                <anchor moveWithCells="1" sizeWithCells="1">
                  <from>
                    <xdr:col>15</xdr:col>
                    <xdr:colOff>28575</xdr:colOff>
                    <xdr:row>19</xdr:row>
                    <xdr:rowOff>19050</xdr:rowOff>
                  </from>
                  <to>
                    <xdr:col>16</xdr:col>
                    <xdr:colOff>809625</xdr:colOff>
                    <xdr:row>19</xdr:row>
                    <xdr:rowOff>180975</xdr:rowOff>
                  </to>
                </anchor>
              </controlPr>
            </control>
          </mc:Choice>
        </mc:AlternateContent>
        <mc:AlternateContent xmlns:mc="http://schemas.openxmlformats.org/markup-compatibility/2006">
          <mc:Choice Requires="x14">
            <control shapeId="9232" r:id="rId17" name="Button 156">
              <controlPr defaultSize="0" print="0" autoFill="0" autoPict="0" macro="[0]!Print14">
                <anchor moveWithCells="1" sizeWithCells="1">
                  <from>
                    <xdr:col>15</xdr:col>
                    <xdr:colOff>28575</xdr:colOff>
                    <xdr:row>20</xdr:row>
                    <xdr:rowOff>9525</xdr:rowOff>
                  </from>
                  <to>
                    <xdr:col>16</xdr:col>
                    <xdr:colOff>809625</xdr:colOff>
                    <xdr:row>20</xdr:row>
                    <xdr:rowOff>171450</xdr:rowOff>
                  </to>
                </anchor>
              </controlPr>
            </control>
          </mc:Choice>
        </mc:AlternateContent>
        <mc:AlternateContent xmlns:mc="http://schemas.openxmlformats.org/markup-compatibility/2006">
          <mc:Choice Requires="x14">
            <control shapeId="9233" r:id="rId18" name="Button 157">
              <controlPr defaultSize="0" print="0" autoFill="0" autoPict="0" macro="[0]!Print15">
                <anchor moveWithCells="1" sizeWithCells="1">
                  <from>
                    <xdr:col>15</xdr:col>
                    <xdr:colOff>28575</xdr:colOff>
                    <xdr:row>21</xdr:row>
                    <xdr:rowOff>9525</xdr:rowOff>
                  </from>
                  <to>
                    <xdr:col>16</xdr:col>
                    <xdr:colOff>809625</xdr:colOff>
                    <xdr:row>21</xdr:row>
                    <xdr:rowOff>171450</xdr:rowOff>
                  </to>
                </anchor>
              </controlPr>
            </control>
          </mc:Choice>
        </mc:AlternateContent>
        <mc:AlternateContent xmlns:mc="http://schemas.openxmlformats.org/markup-compatibility/2006">
          <mc:Choice Requires="x14">
            <control shapeId="9234" r:id="rId19" name="Button 158">
              <controlPr defaultSize="0" print="0" autoFill="0" autoPict="0" macro="[0]!Print16">
                <anchor moveWithCells="1" sizeWithCells="1">
                  <from>
                    <xdr:col>15</xdr:col>
                    <xdr:colOff>28575</xdr:colOff>
                    <xdr:row>22</xdr:row>
                    <xdr:rowOff>0</xdr:rowOff>
                  </from>
                  <to>
                    <xdr:col>16</xdr:col>
                    <xdr:colOff>809625</xdr:colOff>
                    <xdr:row>22</xdr:row>
                    <xdr:rowOff>161925</xdr:rowOff>
                  </to>
                </anchor>
              </controlPr>
            </control>
          </mc:Choice>
        </mc:AlternateContent>
        <mc:AlternateContent xmlns:mc="http://schemas.openxmlformats.org/markup-compatibility/2006">
          <mc:Choice Requires="x14">
            <control shapeId="9235" r:id="rId20" name="Button 159">
              <controlPr defaultSize="0" print="0" autoFill="0" autoPict="0" macro="[0]!Print17">
                <anchor moveWithCells="1" sizeWithCells="1">
                  <from>
                    <xdr:col>15</xdr:col>
                    <xdr:colOff>28575</xdr:colOff>
                    <xdr:row>23</xdr:row>
                    <xdr:rowOff>9525</xdr:rowOff>
                  </from>
                  <to>
                    <xdr:col>16</xdr:col>
                    <xdr:colOff>809625</xdr:colOff>
                    <xdr:row>23</xdr:row>
                    <xdr:rowOff>171450</xdr:rowOff>
                  </to>
                </anchor>
              </controlPr>
            </control>
          </mc:Choice>
        </mc:AlternateContent>
        <mc:AlternateContent xmlns:mc="http://schemas.openxmlformats.org/markup-compatibility/2006">
          <mc:Choice Requires="x14">
            <control shapeId="9236" r:id="rId21" name="Button 160">
              <controlPr defaultSize="0" print="0" autoFill="0" autoPict="0" macro="[0]!Print18">
                <anchor moveWithCells="1" sizeWithCells="1">
                  <from>
                    <xdr:col>15</xdr:col>
                    <xdr:colOff>28575</xdr:colOff>
                    <xdr:row>24</xdr:row>
                    <xdr:rowOff>0</xdr:rowOff>
                  </from>
                  <to>
                    <xdr:col>16</xdr:col>
                    <xdr:colOff>809625</xdr:colOff>
                    <xdr:row>24</xdr:row>
                    <xdr:rowOff>161925</xdr:rowOff>
                  </to>
                </anchor>
              </controlPr>
            </control>
          </mc:Choice>
        </mc:AlternateContent>
        <mc:AlternateContent xmlns:mc="http://schemas.openxmlformats.org/markup-compatibility/2006">
          <mc:Choice Requires="x14">
            <control shapeId="9237" r:id="rId22" name="Button 161">
              <controlPr defaultSize="0" print="0" autoFill="0" autoPict="0" macro="[0]!Print19">
                <anchor moveWithCells="1" sizeWithCells="1">
                  <from>
                    <xdr:col>15</xdr:col>
                    <xdr:colOff>28575</xdr:colOff>
                    <xdr:row>24</xdr:row>
                    <xdr:rowOff>190500</xdr:rowOff>
                  </from>
                  <to>
                    <xdr:col>16</xdr:col>
                    <xdr:colOff>809625</xdr:colOff>
                    <xdr:row>25</xdr:row>
                    <xdr:rowOff>152400</xdr:rowOff>
                  </to>
                </anchor>
              </controlPr>
            </control>
          </mc:Choice>
        </mc:AlternateContent>
        <mc:AlternateContent xmlns:mc="http://schemas.openxmlformats.org/markup-compatibility/2006">
          <mc:Choice Requires="x14">
            <control shapeId="9238" r:id="rId23" name="Button 162">
              <controlPr defaultSize="0" print="0" autoFill="0" autoPict="0" macro="[0]!Print20">
                <anchor moveWithCells="1" sizeWithCells="1">
                  <from>
                    <xdr:col>15</xdr:col>
                    <xdr:colOff>28575</xdr:colOff>
                    <xdr:row>25</xdr:row>
                    <xdr:rowOff>190500</xdr:rowOff>
                  </from>
                  <to>
                    <xdr:col>16</xdr:col>
                    <xdr:colOff>809625</xdr:colOff>
                    <xdr:row>26</xdr:row>
                    <xdr:rowOff>152400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tabColor rgb="FF0070C0"/>
    <pageSetUpPr fitToPage="1"/>
  </sheetPr>
  <dimension ref="A1:P68"/>
  <sheetViews>
    <sheetView zoomScale="80" zoomScaleNormal="80" workbookViewId="0">
      <selection activeCell="E53" sqref="E53"/>
    </sheetView>
  </sheetViews>
  <sheetFormatPr baseColWidth="10" defaultRowHeight="15" x14ac:dyDescent="0.25"/>
  <sheetData>
    <row r="1" spans="1:3" x14ac:dyDescent="0.25">
      <c r="A1" s="309" t="s">
        <v>111</v>
      </c>
      <c r="B1" s="310"/>
      <c r="C1" s="15" t="s">
        <v>133</v>
      </c>
    </row>
    <row r="2" spans="1:3" ht="15.75" thickBot="1" x14ac:dyDescent="0.3">
      <c r="A2" s="311"/>
      <c r="B2" s="312"/>
      <c r="C2" s="15" t="s">
        <v>134</v>
      </c>
    </row>
    <row r="3" spans="1:3" x14ac:dyDescent="0.25">
      <c r="A3" s="16" t="s">
        <v>112</v>
      </c>
    </row>
    <row r="4" spans="1:3" x14ac:dyDescent="0.25">
      <c r="A4" t="s">
        <v>113</v>
      </c>
    </row>
    <row r="5" spans="1:3" x14ac:dyDescent="0.25">
      <c r="A5" t="s">
        <v>114</v>
      </c>
    </row>
    <row r="6" spans="1:3" x14ac:dyDescent="0.25">
      <c r="A6" t="s">
        <v>115</v>
      </c>
    </row>
    <row r="7" spans="1:3" x14ac:dyDescent="0.25">
      <c r="A7" t="s">
        <v>116</v>
      </c>
    </row>
    <row r="8" spans="1:3" x14ac:dyDescent="0.25">
      <c r="B8" t="s">
        <v>117</v>
      </c>
    </row>
    <row r="9" spans="1:3" x14ac:dyDescent="0.25">
      <c r="B9" t="s">
        <v>118</v>
      </c>
    </row>
    <row r="10" spans="1:3" x14ac:dyDescent="0.25">
      <c r="B10" t="s">
        <v>119</v>
      </c>
    </row>
    <row r="11" spans="1:3" x14ac:dyDescent="0.25">
      <c r="B11" t="s">
        <v>120</v>
      </c>
    </row>
    <row r="12" spans="1:3" x14ac:dyDescent="0.25">
      <c r="B12" s="34" t="s">
        <v>543</v>
      </c>
    </row>
    <row r="13" spans="1:3" x14ac:dyDescent="0.25">
      <c r="B13" t="s">
        <v>121</v>
      </c>
    </row>
    <row r="14" spans="1:3" x14ac:dyDescent="0.25">
      <c r="B14" t="s">
        <v>122</v>
      </c>
    </row>
    <row r="15" spans="1:3" x14ac:dyDescent="0.25">
      <c r="B15" t="s">
        <v>123</v>
      </c>
    </row>
    <row r="16" spans="1:3" x14ac:dyDescent="0.25">
      <c r="B16" t="s">
        <v>124</v>
      </c>
    </row>
    <row r="17" spans="1:3" x14ac:dyDescent="0.25">
      <c r="B17" s="34" t="s">
        <v>544</v>
      </c>
    </row>
    <row r="18" spans="1:3" x14ac:dyDescent="0.25">
      <c r="A18" t="s">
        <v>125</v>
      </c>
    </row>
    <row r="19" spans="1:3" x14ac:dyDescent="0.25">
      <c r="B19" s="34" t="s">
        <v>545</v>
      </c>
    </row>
    <row r="20" spans="1:3" x14ac:dyDescent="0.25">
      <c r="B20" t="s">
        <v>126</v>
      </c>
    </row>
    <row r="21" spans="1:3" x14ac:dyDescent="0.25">
      <c r="A21" t="s">
        <v>127</v>
      </c>
    </row>
    <row r="22" spans="1:3" x14ac:dyDescent="0.25">
      <c r="A22" t="s">
        <v>128</v>
      </c>
    </row>
    <row r="23" spans="1:3" x14ac:dyDescent="0.25">
      <c r="A23" t="s">
        <v>129</v>
      </c>
    </row>
    <row r="24" spans="1:3" x14ac:dyDescent="0.25">
      <c r="A24" t="s">
        <v>130</v>
      </c>
    </row>
    <row r="25" spans="1:3" x14ac:dyDescent="0.25">
      <c r="A25" t="s">
        <v>131</v>
      </c>
    </row>
    <row r="26" spans="1:3" x14ac:dyDescent="0.25">
      <c r="A26" t="s">
        <v>132</v>
      </c>
    </row>
    <row r="29" spans="1:3" ht="15.75" thickBot="1" x14ac:dyDescent="0.3"/>
    <row r="30" spans="1:3" x14ac:dyDescent="0.25">
      <c r="A30" s="313" t="s">
        <v>251</v>
      </c>
      <c r="B30" s="314"/>
      <c r="C30" s="9" t="s">
        <v>261</v>
      </c>
    </row>
    <row r="31" spans="1:3" ht="15.75" thickBot="1" x14ac:dyDescent="0.3">
      <c r="A31" s="315"/>
      <c r="B31" s="316"/>
      <c r="C31" s="9" t="s">
        <v>260</v>
      </c>
    </row>
    <row r="32" spans="1:3" x14ac:dyDescent="0.25">
      <c r="A32" t="s">
        <v>252</v>
      </c>
    </row>
    <row r="33" spans="1:8" x14ac:dyDescent="0.25">
      <c r="B33" t="s">
        <v>253</v>
      </c>
    </row>
    <row r="34" spans="1:8" x14ac:dyDescent="0.25">
      <c r="B34" t="s">
        <v>272</v>
      </c>
    </row>
    <row r="35" spans="1:8" x14ac:dyDescent="0.25">
      <c r="B35" t="s">
        <v>254</v>
      </c>
    </row>
    <row r="36" spans="1:8" x14ac:dyDescent="0.25">
      <c r="B36" t="s">
        <v>255</v>
      </c>
    </row>
    <row r="37" spans="1:8" x14ac:dyDescent="0.25">
      <c r="C37" t="s">
        <v>256</v>
      </c>
    </row>
    <row r="38" spans="1:8" x14ac:dyDescent="0.25">
      <c r="B38" t="s">
        <v>257</v>
      </c>
    </row>
    <row r="39" spans="1:8" x14ac:dyDescent="0.25">
      <c r="C39" t="s">
        <v>258</v>
      </c>
    </row>
    <row r="40" spans="1:8" x14ac:dyDescent="0.25">
      <c r="C40" t="s">
        <v>259</v>
      </c>
    </row>
    <row r="43" spans="1:8" ht="15.75" thickBot="1" x14ac:dyDescent="0.3"/>
    <row r="44" spans="1:8" x14ac:dyDescent="0.25">
      <c r="A44" s="317" t="s">
        <v>347</v>
      </c>
      <c r="B44" s="318"/>
      <c r="C44" s="9" t="s">
        <v>348</v>
      </c>
    </row>
    <row r="45" spans="1:8" ht="15.75" thickBot="1" x14ac:dyDescent="0.3">
      <c r="A45" s="319"/>
      <c r="B45" s="320"/>
      <c r="C45" s="9" t="s">
        <v>332</v>
      </c>
    </row>
    <row r="46" spans="1:8" x14ac:dyDescent="0.25">
      <c r="A46" t="s">
        <v>349</v>
      </c>
    </row>
    <row r="49" spans="1:16" x14ac:dyDescent="0.25">
      <c r="A49" s="4" t="s">
        <v>350</v>
      </c>
    </row>
    <row r="50" spans="1:16" x14ac:dyDescent="0.25">
      <c r="A50" s="4"/>
    </row>
    <row r="52" spans="1:16" x14ac:dyDescent="0.25">
      <c r="D52" s="10" t="s">
        <v>351</v>
      </c>
      <c r="E52" s="2">
        <v>229</v>
      </c>
      <c r="H52" s="10" t="s">
        <v>352</v>
      </c>
      <c r="I52" s="2">
        <f>E54*E52</f>
        <v>1603</v>
      </c>
    </row>
    <row r="53" spans="1:16" x14ac:dyDescent="0.25">
      <c r="D53" s="10" t="s">
        <v>353</v>
      </c>
      <c r="E53" s="118">
        <v>35</v>
      </c>
    </row>
    <row r="54" spans="1:16" x14ac:dyDescent="0.25">
      <c r="D54" s="10" t="s">
        <v>354</v>
      </c>
      <c r="E54" s="2">
        <f>E53/5</f>
        <v>7</v>
      </c>
    </row>
    <row r="55" spans="1:16" ht="15.75" thickBot="1" x14ac:dyDescent="0.3">
      <c r="I55" s="4" t="s">
        <v>370</v>
      </c>
    </row>
    <row r="56" spans="1:16" ht="60" x14ac:dyDescent="0.25">
      <c r="C56" s="120" t="s">
        <v>315</v>
      </c>
      <c r="D56" s="121" t="s">
        <v>355</v>
      </c>
      <c r="E56" s="121" t="s">
        <v>356</v>
      </c>
      <c r="F56" s="122" t="s">
        <v>357</v>
      </c>
      <c r="I56" s="120" t="s">
        <v>315</v>
      </c>
      <c r="J56" s="121" t="s">
        <v>355</v>
      </c>
      <c r="K56" s="121" t="s">
        <v>371</v>
      </c>
      <c r="L56" s="121" t="s">
        <v>372</v>
      </c>
      <c r="M56" s="121" t="s">
        <v>373</v>
      </c>
      <c r="N56" s="121" t="s">
        <v>374</v>
      </c>
      <c r="O56" s="121" t="s">
        <v>375</v>
      </c>
      <c r="P56" s="122" t="s">
        <v>376</v>
      </c>
    </row>
    <row r="57" spans="1:16" x14ac:dyDescent="0.25">
      <c r="C57" s="123" t="s">
        <v>358</v>
      </c>
      <c r="D57" s="119">
        <v>23</v>
      </c>
      <c r="E57" s="132">
        <f t="shared" ref="E57:E68" si="0">$E$52*(D57/SUM($D$57:$D$68))</f>
        <v>19.652985074626866</v>
      </c>
      <c r="F57" s="129">
        <f>($I$52-(E57*$E$54))</f>
        <v>1465.4291044776119</v>
      </c>
      <c r="I57" s="123" t="s">
        <v>358</v>
      </c>
      <c r="J57" s="116">
        <v>19.652985074626866</v>
      </c>
      <c r="K57" s="117">
        <v>879.25746268656724</v>
      </c>
      <c r="L57" s="117">
        <v>1130.4738805970151</v>
      </c>
      <c r="M57" s="117">
        <v>1256.0820895522388</v>
      </c>
      <c r="N57" s="117">
        <v>1465.4291044776119</v>
      </c>
      <c r="O57" s="117">
        <v>1591.0373134328356</v>
      </c>
      <c r="P57" s="124">
        <v>1632.9067164179105</v>
      </c>
    </row>
    <row r="58" spans="1:16" x14ac:dyDescent="0.25">
      <c r="C58" s="123" t="s">
        <v>359</v>
      </c>
      <c r="D58" s="119">
        <v>22</v>
      </c>
      <c r="E58" s="132">
        <f t="shared" si="0"/>
        <v>18.798507462686569</v>
      </c>
      <c r="F58" s="129">
        <f t="shared" ref="F58:F68" si="1">(F57-(E58*$E$54))</f>
        <v>1333.8395522388059</v>
      </c>
      <c r="I58" s="123" t="s">
        <v>359</v>
      </c>
      <c r="J58" s="116">
        <v>18.798507462686569</v>
      </c>
      <c r="K58" s="117">
        <v>800.30373134328363</v>
      </c>
      <c r="L58" s="117">
        <v>1028.9619402985077</v>
      </c>
      <c r="M58" s="117">
        <v>1143.2910447761194</v>
      </c>
      <c r="N58" s="117">
        <v>1333.8395522388059</v>
      </c>
      <c r="O58" s="117">
        <v>1448.1686567164177</v>
      </c>
      <c r="P58" s="124">
        <v>1486.2783582089553</v>
      </c>
    </row>
    <row r="59" spans="1:16" x14ac:dyDescent="0.25">
      <c r="C59" s="123" t="s">
        <v>360</v>
      </c>
      <c r="D59" s="119">
        <v>22</v>
      </c>
      <c r="E59" s="132">
        <f t="shared" si="0"/>
        <v>18.798507462686569</v>
      </c>
      <c r="F59" s="129">
        <f t="shared" si="1"/>
        <v>1202.25</v>
      </c>
      <c r="I59" s="123" t="s">
        <v>360</v>
      </c>
      <c r="J59" s="116">
        <v>18.798507462686569</v>
      </c>
      <c r="K59" s="117">
        <v>721.35</v>
      </c>
      <c r="L59" s="117">
        <v>927.45000000000016</v>
      </c>
      <c r="M59" s="117">
        <v>1030.5</v>
      </c>
      <c r="N59" s="117">
        <v>1202.25</v>
      </c>
      <c r="O59" s="117">
        <v>1305.2999999999997</v>
      </c>
      <c r="P59" s="124">
        <v>1339.65</v>
      </c>
    </row>
    <row r="60" spans="1:16" x14ac:dyDescent="0.25">
      <c r="C60" s="123" t="s">
        <v>361</v>
      </c>
      <c r="D60" s="119">
        <v>23</v>
      </c>
      <c r="E60" s="132">
        <f t="shared" si="0"/>
        <v>19.652985074626866</v>
      </c>
      <c r="F60" s="129">
        <f t="shared" si="1"/>
        <v>1064.6791044776119</v>
      </c>
      <c r="I60" s="123" t="s">
        <v>361</v>
      </c>
      <c r="J60" s="116">
        <v>19.652985074626866</v>
      </c>
      <c r="K60" s="117">
        <v>638.80746268656719</v>
      </c>
      <c r="L60" s="117">
        <v>821.32388059701509</v>
      </c>
      <c r="M60" s="117">
        <v>912.58208955223881</v>
      </c>
      <c r="N60" s="117">
        <v>1064.6791044776119</v>
      </c>
      <c r="O60" s="117">
        <v>1155.9373134328355</v>
      </c>
      <c r="P60" s="124">
        <v>1186.3567164179105</v>
      </c>
    </row>
    <row r="61" spans="1:16" x14ac:dyDescent="0.25">
      <c r="C61" s="123" t="s">
        <v>362</v>
      </c>
      <c r="D61" s="119">
        <v>22</v>
      </c>
      <c r="E61" s="132">
        <f t="shared" si="0"/>
        <v>18.798507462686569</v>
      </c>
      <c r="F61" s="129">
        <f t="shared" si="1"/>
        <v>933.08955223880594</v>
      </c>
      <c r="I61" s="123" t="s">
        <v>362</v>
      </c>
      <c r="J61" s="116">
        <v>18.798507462686569</v>
      </c>
      <c r="K61" s="117">
        <v>559.85373134328358</v>
      </c>
      <c r="L61" s="117">
        <v>719.81194029850758</v>
      </c>
      <c r="M61" s="117">
        <v>799.79104477611941</v>
      </c>
      <c r="N61" s="117">
        <v>933.08955223880594</v>
      </c>
      <c r="O61" s="117">
        <v>1013.0686567164175</v>
      </c>
      <c r="P61" s="124">
        <v>1039.7283582089553</v>
      </c>
    </row>
    <row r="62" spans="1:16" x14ac:dyDescent="0.25">
      <c r="C62" s="123" t="s">
        <v>363</v>
      </c>
      <c r="D62" s="119">
        <v>22</v>
      </c>
      <c r="E62" s="132">
        <f t="shared" si="0"/>
        <v>18.798507462686569</v>
      </c>
      <c r="F62" s="129">
        <f t="shared" si="1"/>
        <v>801.5</v>
      </c>
      <c r="I62" s="123" t="s">
        <v>363</v>
      </c>
      <c r="J62" s="116">
        <v>18.798507462686569</v>
      </c>
      <c r="K62" s="117">
        <v>480.9</v>
      </c>
      <c r="L62" s="117">
        <v>618.30000000000007</v>
      </c>
      <c r="M62" s="117">
        <v>687</v>
      </c>
      <c r="N62" s="117">
        <v>801.5</v>
      </c>
      <c r="O62" s="117">
        <v>870.19999999999959</v>
      </c>
      <c r="P62" s="124">
        <v>893.10000000000014</v>
      </c>
    </row>
    <row r="63" spans="1:16" x14ac:dyDescent="0.25">
      <c r="C63" s="123" t="s">
        <v>364</v>
      </c>
      <c r="D63" s="119">
        <v>25</v>
      </c>
      <c r="E63" s="132">
        <f t="shared" si="0"/>
        <v>21.361940298507463</v>
      </c>
      <c r="F63" s="129">
        <f t="shared" si="1"/>
        <v>651.96641791044772</v>
      </c>
      <c r="I63" s="123" t="s">
        <v>364</v>
      </c>
      <c r="J63" s="116">
        <v>21.361940298507463</v>
      </c>
      <c r="K63" s="117">
        <v>391.17985074626864</v>
      </c>
      <c r="L63" s="117">
        <v>502.94552238805977</v>
      </c>
      <c r="M63" s="117">
        <v>558.82835820895525</v>
      </c>
      <c r="N63" s="117">
        <v>651.96641791044772</v>
      </c>
      <c r="O63" s="117">
        <v>707.84925373134286</v>
      </c>
      <c r="P63" s="124">
        <v>726.47686567164192</v>
      </c>
    </row>
    <row r="64" spans="1:16" x14ac:dyDescent="0.25">
      <c r="C64" s="123" t="s">
        <v>365</v>
      </c>
      <c r="D64" s="119">
        <v>22</v>
      </c>
      <c r="E64" s="132">
        <f t="shared" si="0"/>
        <v>18.798507462686569</v>
      </c>
      <c r="F64" s="129">
        <f t="shared" si="1"/>
        <v>520.37686567164178</v>
      </c>
      <c r="I64" s="123" t="s">
        <v>365</v>
      </c>
      <c r="J64" s="116">
        <v>18.798507462686569</v>
      </c>
      <c r="K64" s="117">
        <v>312.22611940298503</v>
      </c>
      <c r="L64" s="117">
        <v>401.43358208955226</v>
      </c>
      <c r="M64" s="117">
        <v>446.03731343283584</v>
      </c>
      <c r="N64" s="117">
        <v>520.37686567164178</v>
      </c>
      <c r="O64" s="117">
        <v>564.98059701492491</v>
      </c>
      <c r="P64" s="124">
        <v>579.84850746268671</v>
      </c>
    </row>
    <row r="65" spans="3:16" x14ac:dyDescent="0.25">
      <c r="C65" s="123" t="s">
        <v>366</v>
      </c>
      <c r="D65" s="119">
        <v>21</v>
      </c>
      <c r="E65" s="132">
        <f t="shared" si="0"/>
        <v>17.944029850746269</v>
      </c>
      <c r="F65" s="129">
        <f t="shared" si="1"/>
        <v>394.76865671641792</v>
      </c>
      <c r="I65" s="123" t="s">
        <v>366</v>
      </c>
      <c r="J65" s="116">
        <v>17.944029850746269</v>
      </c>
      <c r="K65" s="117">
        <v>236.86119402985071</v>
      </c>
      <c r="L65" s="117">
        <v>304.53582089552242</v>
      </c>
      <c r="M65" s="117">
        <v>338.37313432835822</v>
      </c>
      <c r="N65" s="117">
        <v>394.76865671641792</v>
      </c>
      <c r="O65" s="117">
        <v>428.60597014925327</v>
      </c>
      <c r="P65" s="124">
        <v>439.88507462686584</v>
      </c>
    </row>
    <row r="66" spans="3:16" x14ac:dyDescent="0.25">
      <c r="C66" s="123" t="s">
        <v>367</v>
      </c>
      <c r="D66" s="119">
        <v>24</v>
      </c>
      <c r="E66" s="132">
        <f t="shared" si="0"/>
        <v>20.507462686567163</v>
      </c>
      <c r="F66" s="129">
        <f t="shared" si="1"/>
        <v>251.21641791044777</v>
      </c>
      <c r="I66" s="123" t="s">
        <v>367</v>
      </c>
      <c r="J66" s="116">
        <v>20.507462686567163</v>
      </c>
      <c r="K66" s="117">
        <v>150.72985074626862</v>
      </c>
      <c r="L66" s="117">
        <v>193.79552238805974</v>
      </c>
      <c r="M66" s="117">
        <v>215.32835820895525</v>
      </c>
      <c r="N66" s="117">
        <v>251.21641791044777</v>
      </c>
      <c r="O66" s="117">
        <v>272.74925373134283</v>
      </c>
      <c r="P66" s="124">
        <v>279.92686567164196</v>
      </c>
    </row>
    <row r="67" spans="3:16" x14ac:dyDescent="0.25">
      <c r="C67" s="123" t="s">
        <v>368</v>
      </c>
      <c r="D67" s="119">
        <v>21</v>
      </c>
      <c r="E67" s="132">
        <f t="shared" si="0"/>
        <v>17.944029850746269</v>
      </c>
      <c r="F67" s="129">
        <f t="shared" si="1"/>
        <v>125.60820895522389</v>
      </c>
      <c r="I67" s="123" t="s">
        <v>368</v>
      </c>
      <c r="J67" s="116">
        <v>17.944029850746269</v>
      </c>
      <c r="K67" s="117">
        <v>75.364925373134298</v>
      </c>
      <c r="L67" s="117">
        <v>96.897761194029883</v>
      </c>
      <c r="M67" s="117">
        <v>107.66417910447764</v>
      </c>
      <c r="N67" s="117">
        <v>125.60820895522389</v>
      </c>
      <c r="O67" s="117">
        <v>136.37462686567119</v>
      </c>
      <c r="P67" s="124">
        <v>139.96343283582107</v>
      </c>
    </row>
    <row r="68" spans="3:16" ht="15.75" thickBot="1" x14ac:dyDescent="0.3">
      <c r="C68" s="125" t="s">
        <v>369</v>
      </c>
      <c r="D68" s="130">
        <v>21</v>
      </c>
      <c r="E68" s="133">
        <f t="shared" si="0"/>
        <v>17.944029850746269</v>
      </c>
      <c r="F68" s="131">
        <f t="shared" si="1"/>
        <v>0</v>
      </c>
      <c r="I68" s="125" t="s">
        <v>369</v>
      </c>
      <c r="J68" s="126">
        <v>17.944029850746269</v>
      </c>
      <c r="K68" s="127">
        <v>-2.8421709430404007E-14</v>
      </c>
      <c r="L68" s="127">
        <v>2.8421709430404007E-14</v>
      </c>
      <c r="M68" s="127">
        <v>2.8421709430404007E-14</v>
      </c>
      <c r="N68" s="127">
        <v>0</v>
      </c>
      <c r="O68" s="127">
        <v>-4.5474735088646412E-13</v>
      </c>
      <c r="P68" s="128">
        <v>1.7053025658242404E-13</v>
      </c>
    </row>
  </sheetData>
  <sheetProtection algorithmName="SHA-512" hashValue="YnF+dOxxff0Cjc2jXRLVj4LDfC+id4SH2akJJVOoxHVrXF3IWlqUZxp+Dyfuf7EQSQ/fGlhhQrPOKLlNo2bL5A==" saltValue="I3yfZD29bjC0H0c+WofFFA==" spinCount="100000" sheet="1" selectLockedCells="1"/>
  <mergeCells count="3">
    <mergeCell ref="A1:B2"/>
    <mergeCell ref="A30:B31"/>
    <mergeCell ref="A44:B45"/>
  </mergeCells>
  <pageMargins left="0.7" right="0.7" top="0.75" bottom="0.75" header="0.3" footer="0.3"/>
  <pageSetup paperSize="9" scale="67" orientation="landscape"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4">
    <tabColor rgb="FFFFC000"/>
    <pageSetUpPr fitToPage="1"/>
  </sheetPr>
  <dimension ref="A1:X186"/>
  <sheetViews>
    <sheetView workbookViewId="0">
      <selection activeCell="J48" sqref="J48"/>
    </sheetView>
  </sheetViews>
  <sheetFormatPr baseColWidth="10" defaultRowHeight="15" x14ac:dyDescent="0.25"/>
  <cols>
    <col min="1" max="1" width="20.28515625" customWidth="1"/>
    <col min="4" max="4" width="9.85546875" customWidth="1"/>
    <col min="7" max="7" width="9.85546875" customWidth="1"/>
    <col min="10" max="10" width="9.85546875" customWidth="1"/>
    <col min="13" max="13" width="9.85546875" customWidth="1"/>
    <col min="16" max="16" width="9.85546875" customWidth="1"/>
    <col min="19" max="19" width="9.85546875" customWidth="1"/>
  </cols>
  <sheetData>
    <row r="1" spans="1:24" x14ac:dyDescent="0.25">
      <c r="A1" s="15" t="s">
        <v>204</v>
      </c>
    </row>
    <row r="4" spans="1:24" ht="15.75" thickBot="1" x14ac:dyDescent="0.3"/>
    <row r="5" spans="1:24" ht="15.75" thickBot="1" x14ac:dyDescent="0.3">
      <c r="A5" s="322" t="s">
        <v>228</v>
      </c>
      <c r="B5" s="323"/>
      <c r="C5" s="324"/>
      <c r="D5" s="322" t="s">
        <v>229</v>
      </c>
      <c r="E5" s="323"/>
      <c r="F5" s="324"/>
      <c r="G5" s="19"/>
      <c r="H5" s="19"/>
      <c r="I5" s="19"/>
      <c r="J5" s="19"/>
      <c r="K5" s="19"/>
      <c r="L5" s="19"/>
      <c r="M5" s="19"/>
      <c r="N5" s="19"/>
      <c r="O5" s="19"/>
      <c r="P5" s="19"/>
      <c r="Q5" s="19"/>
      <c r="R5" s="19"/>
      <c r="S5" s="19"/>
      <c r="T5" s="19"/>
      <c r="U5" s="19"/>
      <c r="V5" s="19"/>
      <c r="W5" s="19"/>
      <c r="X5" s="20"/>
    </row>
    <row r="6" spans="1:24" x14ac:dyDescent="0.25">
      <c r="A6" s="24"/>
      <c r="C6" s="25" t="s">
        <v>225</v>
      </c>
      <c r="X6" s="21"/>
    </row>
    <row r="7" spans="1:24" ht="15.75" thickBot="1" x14ac:dyDescent="0.3">
      <c r="A7" s="36"/>
      <c r="B7" s="37" t="s">
        <v>6</v>
      </c>
      <c r="C7" s="22" t="str">
        <f>'MASQUE COLLABORATEUR'!AC3</f>
        <v>Juin</v>
      </c>
      <c r="D7" s="22"/>
      <c r="E7" s="22"/>
      <c r="F7" s="22"/>
      <c r="G7" s="22"/>
      <c r="H7" s="22"/>
      <c r="I7" s="22"/>
      <c r="J7" s="22"/>
      <c r="K7" s="22"/>
      <c r="L7" s="22"/>
      <c r="M7" s="22"/>
      <c r="N7" s="22"/>
      <c r="O7" s="22"/>
      <c r="P7" s="22"/>
      <c r="Q7" s="22"/>
      <c r="R7" s="22"/>
      <c r="S7" s="22"/>
      <c r="T7" s="22"/>
      <c r="U7" s="22"/>
      <c r="V7" s="22"/>
      <c r="W7" s="22"/>
      <c r="X7" s="23"/>
    </row>
    <row r="8" spans="1:24" x14ac:dyDescent="0.25">
      <c r="A8" s="325" t="s">
        <v>214</v>
      </c>
      <c r="B8" s="19">
        <f>'MASQUE COLLABORATEUR'!AC4</f>
        <v>0</v>
      </c>
      <c r="C8" s="19">
        <f>IF(ISERROR('MASQUE COLLABORATEUR'!AC13),0,'MASQUE COLLABORATEUR'!AC13)</f>
        <v>0</v>
      </c>
      <c r="D8" s="325" t="s">
        <v>215</v>
      </c>
      <c r="E8" s="19">
        <f>B8</f>
        <v>0</v>
      </c>
      <c r="F8" s="19">
        <f>IF(ISERROR('MASQUE COLLABORATEUR'!AC7),0,'MASQUE COLLABORATEUR'!AC7)</f>
        <v>0</v>
      </c>
      <c r="G8" s="325" t="s">
        <v>216</v>
      </c>
      <c r="H8" s="19">
        <f>E8</f>
        <v>0</v>
      </c>
      <c r="I8" s="19">
        <f>IF(ISERROR('MASQUE COLLABORATEUR'!AC14),0,'MASQUE COLLABORATEUR'!AC14)</f>
        <v>0</v>
      </c>
      <c r="J8" s="325" t="s">
        <v>218</v>
      </c>
      <c r="K8" s="19">
        <f>H8</f>
        <v>0</v>
      </c>
      <c r="L8" s="19">
        <f>IF(ISERROR('MASQUE COLLABORATEUR'!AC15),0,'MASQUE COLLABORATEUR'!AC15)</f>
        <v>0</v>
      </c>
      <c r="M8" s="325" t="s">
        <v>313</v>
      </c>
      <c r="N8" s="19">
        <f>K8</f>
        <v>0</v>
      </c>
      <c r="O8" s="19">
        <f>IF(ISERROR('MASQUE COLLABORATEUR'!AC24),0,'MASQUE COLLABORATEUR'!AC24)</f>
        <v>0</v>
      </c>
      <c r="P8" s="325" t="s">
        <v>166</v>
      </c>
      <c r="Q8" s="19">
        <f t="shared" ref="Q8:Q27" si="0">K8</f>
        <v>0</v>
      </c>
      <c r="R8" s="19">
        <f>IF(ISERROR('MASQUE COLLABORATEUR'!AC16),0,'MASQUE COLLABORATEUR'!AC16)</f>
        <v>0</v>
      </c>
      <c r="S8" s="325" t="s">
        <v>226</v>
      </c>
      <c r="T8" s="19">
        <f t="shared" ref="T8:T27" si="1">Q8</f>
        <v>0</v>
      </c>
      <c r="U8" s="19">
        <f>IF(ISERROR('MASQUE COLLABORATEUR'!AC17),0,'MASQUE COLLABORATEUR'!AC17)</f>
        <v>0</v>
      </c>
      <c r="V8" s="325" t="s">
        <v>227</v>
      </c>
      <c r="W8" s="19">
        <f t="shared" ref="W8:W27" si="2">T8</f>
        <v>0</v>
      </c>
      <c r="X8" s="20">
        <f>IF(ISERROR('MASQUE COLLABORATEUR'!AC18),0,'MASQUE COLLABORATEUR'!AC18)</f>
        <v>0</v>
      </c>
    </row>
    <row r="9" spans="1:24" x14ac:dyDescent="0.25">
      <c r="A9" s="326"/>
      <c r="B9">
        <f>'MASQUE COLLABORATEUR'!AC37</f>
        <v>0</v>
      </c>
      <c r="C9">
        <f>IF(ISERROR('MASQUE COLLABORATEUR'!AC46),0,'MASQUE COLLABORATEUR'!AC46)</f>
        <v>0</v>
      </c>
      <c r="D9" s="326"/>
      <c r="E9">
        <f>B9</f>
        <v>0</v>
      </c>
      <c r="F9">
        <f>IF(ISERROR('MASQUE COLLABORATEUR'!AC40),0,'MASQUE COLLABORATEUR'!AC40)</f>
        <v>0</v>
      </c>
      <c r="G9" s="326"/>
      <c r="H9">
        <f>E9</f>
        <v>0</v>
      </c>
      <c r="I9">
        <f>IF(ISERROR('MASQUE COLLABORATEUR'!AC47),0,'MASQUE COLLABORATEUR'!AC47)</f>
        <v>0</v>
      </c>
      <c r="J9" s="326"/>
      <c r="K9">
        <f>H9</f>
        <v>0</v>
      </c>
      <c r="L9">
        <f>IF(ISERROR('MASQUE COLLABORATEUR'!AC48),0,'MASQUE COLLABORATEUR'!AC48)</f>
        <v>0</v>
      </c>
      <c r="M9" s="326"/>
      <c r="N9">
        <f>K9</f>
        <v>0</v>
      </c>
      <c r="O9">
        <f>IF(ISERROR('MASQUE COLLABORATEUR'!AC57),0,'MASQUE COLLABORATEUR'!AC57)</f>
        <v>0</v>
      </c>
      <c r="P9" s="326"/>
      <c r="Q9">
        <f t="shared" si="0"/>
        <v>0</v>
      </c>
      <c r="R9">
        <f>IF(ISERROR('MASQUE COLLABORATEUR'!AC49),0,'MASQUE COLLABORATEUR'!AC49)</f>
        <v>0</v>
      </c>
      <c r="S9" s="326"/>
      <c r="T9">
        <f t="shared" si="1"/>
        <v>0</v>
      </c>
      <c r="U9">
        <f>IF(ISERROR('MASQUE COLLABORATEUR'!AC50),0,'MASQUE COLLABORATEUR'!AC50)</f>
        <v>0</v>
      </c>
      <c r="V9" s="326"/>
      <c r="W9">
        <f t="shared" si="2"/>
        <v>0</v>
      </c>
      <c r="X9" s="21">
        <f>IF(ISERROR('MASQUE COLLABORATEUR'!AC51),0,'MASQUE COLLABORATEUR'!AC51)</f>
        <v>0</v>
      </c>
    </row>
    <row r="10" spans="1:24" x14ac:dyDescent="0.25">
      <c r="A10" s="326"/>
      <c r="B10">
        <f>'MASQUE COLLABORATEUR'!AC70</f>
        <v>0</v>
      </c>
      <c r="C10">
        <f>IF(ISERROR('MASQUE COLLABORATEUR'!AC79),0,'MASQUE COLLABORATEUR'!AC79)</f>
        <v>0</v>
      </c>
      <c r="D10" s="326"/>
      <c r="E10">
        <f t="shared" ref="E10:E26" si="3">B10</f>
        <v>0</v>
      </c>
      <c r="F10">
        <f>IF(ISERROR('MASQUE COLLABORATEUR'!AC73),0,'MASQUE COLLABORATEUR'!AC73)</f>
        <v>0</v>
      </c>
      <c r="G10" s="326"/>
      <c r="H10">
        <f t="shared" ref="H10:H26" si="4">E10</f>
        <v>0</v>
      </c>
      <c r="I10">
        <f>IF(ISERROR('MASQUE COLLABORATEUR'!AC80),0,'MASQUE COLLABORATEUR'!AC80)</f>
        <v>0</v>
      </c>
      <c r="J10" s="326"/>
      <c r="K10">
        <f t="shared" ref="K10:K26" si="5">H10</f>
        <v>0</v>
      </c>
      <c r="L10">
        <f>IF(ISERROR('MASQUE COLLABORATEUR'!AC81),0,'MASQUE COLLABORATEUR'!AC81)</f>
        <v>0</v>
      </c>
      <c r="M10" s="326"/>
      <c r="N10">
        <f t="shared" ref="N10:N15" si="6">K10</f>
        <v>0</v>
      </c>
      <c r="O10">
        <f>IF(ISERROR('MASQUE COLLABORATEUR'!AC90),0,'MASQUE COLLABORATEUR'!AC90)</f>
        <v>0</v>
      </c>
      <c r="P10" s="326"/>
      <c r="Q10">
        <f t="shared" si="0"/>
        <v>0</v>
      </c>
      <c r="R10">
        <f>IF(ISERROR('MASQUE COLLABORATEUR'!AC82),0,'MASQUE COLLABORATEUR'!AC82)</f>
        <v>0</v>
      </c>
      <c r="S10" s="326"/>
      <c r="T10">
        <f t="shared" si="1"/>
        <v>0</v>
      </c>
      <c r="U10">
        <f>IF(ISERROR('MASQUE COLLABORATEUR'!AC83),0,'MASQUE COLLABORATEUR'!AC83)</f>
        <v>0</v>
      </c>
      <c r="V10" s="326"/>
      <c r="W10">
        <f t="shared" si="2"/>
        <v>0</v>
      </c>
      <c r="X10" s="21">
        <f>IF(ISERROR('MASQUE COLLABORATEUR'!AC84),0,'MASQUE COLLABORATEUR'!AC84)</f>
        <v>0</v>
      </c>
    </row>
    <row r="11" spans="1:24" x14ac:dyDescent="0.25">
      <c r="A11" s="326"/>
      <c r="B11">
        <f>'MASQUE COLLABORATEUR'!AC103</f>
        <v>0</v>
      </c>
      <c r="C11">
        <f>IF(ISERROR('MASQUE COLLABORATEUR'!AC112),0,'MASQUE COLLABORATEUR'!AC112)</f>
        <v>0</v>
      </c>
      <c r="D11" s="326"/>
      <c r="E11">
        <f t="shared" si="3"/>
        <v>0</v>
      </c>
      <c r="F11">
        <f>IF(ISERROR('MASQUE COLLABORATEUR'!AC106),0,'MASQUE COLLABORATEUR'!AC106)</f>
        <v>0</v>
      </c>
      <c r="G11" s="326"/>
      <c r="H11">
        <f t="shared" si="4"/>
        <v>0</v>
      </c>
      <c r="I11">
        <f>IF(ISERROR('MASQUE COLLABORATEUR'!AC113),0,'MASQUE COLLABORATEUR'!AC113)</f>
        <v>0</v>
      </c>
      <c r="J11" s="326"/>
      <c r="K11">
        <f t="shared" si="5"/>
        <v>0</v>
      </c>
      <c r="L11">
        <f>IF(ISERROR('MASQUE COLLABORATEUR'!AC114),0,'MASQUE COLLABORATEUR'!AC114)</f>
        <v>0</v>
      </c>
      <c r="M11" s="326"/>
      <c r="N11">
        <f t="shared" si="6"/>
        <v>0</v>
      </c>
      <c r="O11">
        <f>IF(ISERROR('MASQUE COLLABORATEUR'!AC123),0,'MASQUE COLLABORATEUR'!AC123)</f>
        <v>0</v>
      </c>
      <c r="P11" s="326"/>
      <c r="Q11">
        <f t="shared" si="0"/>
        <v>0</v>
      </c>
      <c r="R11">
        <f>IF(ISERROR('MASQUE COLLABORATEUR'!AC115),0,'MASQUE COLLABORATEUR'!AC115)</f>
        <v>0</v>
      </c>
      <c r="S11" s="326"/>
      <c r="T11">
        <f t="shared" si="1"/>
        <v>0</v>
      </c>
      <c r="U11">
        <f>IF(ISERROR('MASQUE COLLABORATEUR'!AC116),0,'MASQUE COLLABORATEUR'!AC116)</f>
        <v>0</v>
      </c>
      <c r="V11" s="326"/>
      <c r="W11">
        <f t="shared" si="2"/>
        <v>0</v>
      </c>
      <c r="X11" s="21">
        <f>IF(ISERROR('MASQUE COLLABORATEUR'!AC117),0,'MASQUE COLLABORATEUR'!AC117)</f>
        <v>0</v>
      </c>
    </row>
    <row r="12" spans="1:24" x14ac:dyDescent="0.25">
      <c r="A12" s="326"/>
      <c r="B12">
        <f>'MASQUE COLLABORATEUR'!AC136</f>
        <v>0</v>
      </c>
      <c r="C12">
        <f>IF(ISERROR('MASQUE COLLABORATEUR'!AC145),0,'MASQUE COLLABORATEUR'!AC145)</f>
        <v>0</v>
      </c>
      <c r="D12" s="326"/>
      <c r="E12">
        <f t="shared" si="3"/>
        <v>0</v>
      </c>
      <c r="F12">
        <f>IF(ISERROR('MASQUE COLLABORATEUR'!AC139),0,'MASQUE COLLABORATEUR'!AC139)</f>
        <v>0</v>
      </c>
      <c r="G12" s="326"/>
      <c r="H12">
        <f t="shared" si="4"/>
        <v>0</v>
      </c>
      <c r="I12">
        <f>IF(ISERROR('MASQUE COLLABORATEUR'!AC146),0,'MASQUE COLLABORATEUR'!AC146)</f>
        <v>0</v>
      </c>
      <c r="J12" s="326"/>
      <c r="K12">
        <f t="shared" si="5"/>
        <v>0</v>
      </c>
      <c r="L12">
        <f>IF(ISERROR('MASQUE COLLABORATEUR'!AC147),0,'MASQUE COLLABORATEUR'!AC147)</f>
        <v>0</v>
      </c>
      <c r="M12" s="326"/>
      <c r="N12">
        <f t="shared" si="6"/>
        <v>0</v>
      </c>
      <c r="O12">
        <f>IF(ISERROR('MASQUE COLLABORATEUR'!AC156),0,'MASQUE COLLABORATEUR'!AC156)</f>
        <v>0</v>
      </c>
      <c r="P12" s="326"/>
      <c r="Q12">
        <f t="shared" si="0"/>
        <v>0</v>
      </c>
      <c r="R12">
        <f>IF(ISERROR('MASQUE COLLABORATEUR'!AC148),0,'MASQUE COLLABORATEUR'!AC148)</f>
        <v>0</v>
      </c>
      <c r="S12" s="326"/>
      <c r="T12">
        <f t="shared" si="1"/>
        <v>0</v>
      </c>
      <c r="U12">
        <f>IF(ISERROR('MASQUE COLLABORATEUR'!AC149),0,'MASQUE COLLABORATEUR'!AC149)</f>
        <v>0</v>
      </c>
      <c r="V12" s="326"/>
      <c r="W12">
        <f t="shared" si="2"/>
        <v>0</v>
      </c>
      <c r="X12" s="21">
        <f>IF(ISERROR('MASQUE COLLABORATEUR'!AC150),0,'MASQUE COLLABORATEUR'!AC150)</f>
        <v>0</v>
      </c>
    </row>
    <row r="13" spans="1:24" x14ac:dyDescent="0.25">
      <c r="A13" s="326"/>
      <c r="B13">
        <f>'MASQUE COLLABORATEUR'!AC169</f>
        <v>0</v>
      </c>
      <c r="C13">
        <f>IF(ISERROR('MASQUE COLLABORATEUR'!AC178),0,'MASQUE COLLABORATEUR'!AC178)</f>
        <v>0</v>
      </c>
      <c r="D13" s="326"/>
      <c r="E13">
        <f t="shared" si="3"/>
        <v>0</v>
      </c>
      <c r="F13">
        <f>IF(ISERROR('MASQUE COLLABORATEUR'!AC172),0,'MASQUE COLLABORATEUR'!AC172)</f>
        <v>0</v>
      </c>
      <c r="G13" s="326"/>
      <c r="H13">
        <f t="shared" si="4"/>
        <v>0</v>
      </c>
      <c r="I13">
        <f>IF(ISERROR('MASQUE COLLABORATEUR'!AC179),0,'MASQUE COLLABORATEUR'!AC179)</f>
        <v>0</v>
      </c>
      <c r="J13" s="326"/>
      <c r="K13">
        <f t="shared" si="5"/>
        <v>0</v>
      </c>
      <c r="L13">
        <f>IF(ISERROR('MASQUE COLLABORATEUR'!AC180),0,'MASQUE COLLABORATEUR'!AC180)</f>
        <v>0</v>
      </c>
      <c r="M13" s="326"/>
      <c r="N13">
        <f t="shared" si="6"/>
        <v>0</v>
      </c>
      <c r="O13">
        <f>IF(ISERROR('MASQUE COLLABORATEUR'!AC189),0,'MASQUE COLLABORATEUR'!AC189)</f>
        <v>0</v>
      </c>
      <c r="P13" s="326"/>
      <c r="Q13">
        <f t="shared" si="0"/>
        <v>0</v>
      </c>
      <c r="R13">
        <f>IF(ISERROR('MASQUE COLLABORATEUR'!AC181),0,'MASQUE COLLABORATEUR'!AC181)</f>
        <v>0</v>
      </c>
      <c r="S13" s="326"/>
      <c r="T13">
        <f t="shared" si="1"/>
        <v>0</v>
      </c>
      <c r="U13">
        <f>IF(ISERROR('MASQUE COLLABORATEUR'!AC182),0,'MASQUE COLLABORATEUR'!AC182)</f>
        <v>0</v>
      </c>
      <c r="V13" s="326"/>
      <c r="W13">
        <f t="shared" si="2"/>
        <v>0</v>
      </c>
      <c r="X13" s="21">
        <f>IF(ISERROR('MASQUE COLLABORATEUR'!AC183),0,'MASQUE COLLABORATEUR'!AC183)</f>
        <v>0</v>
      </c>
    </row>
    <row r="14" spans="1:24" x14ac:dyDescent="0.25">
      <c r="A14" s="326"/>
      <c r="B14">
        <f>'MASQUE COLLABORATEUR'!AC202</f>
        <v>0</v>
      </c>
      <c r="C14">
        <f>IF(ISERROR('MASQUE COLLABORATEUR'!AC211),0,'MASQUE COLLABORATEUR'!AC211)</f>
        <v>0</v>
      </c>
      <c r="D14" s="326"/>
      <c r="E14">
        <f t="shared" si="3"/>
        <v>0</v>
      </c>
      <c r="F14">
        <f>IF(ISERROR('MASQUE COLLABORATEUR'!AC205),0,'MASQUE COLLABORATEUR'!AC205)</f>
        <v>0</v>
      </c>
      <c r="G14" s="326"/>
      <c r="H14">
        <f t="shared" si="4"/>
        <v>0</v>
      </c>
      <c r="I14">
        <f>IF(ISERROR('MASQUE COLLABORATEUR'!AC212),0,'MASQUE COLLABORATEUR'!AC212)</f>
        <v>0</v>
      </c>
      <c r="J14" s="326"/>
      <c r="K14">
        <f t="shared" si="5"/>
        <v>0</v>
      </c>
      <c r="L14">
        <f>IF(ISERROR('MASQUE COLLABORATEUR'!AC213),0,'MASQUE COLLABORATEUR'!AC213)</f>
        <v>0</v>
      </c>
      <c r="M14" s="326"/>
      <c r="N14">
        <f t="shared" si="6"/>
        <v>0</v>
      </c>
      <c r="O14">
        <f>IF(ISERROR('MASQUE COLLABORATEUR'!AC222),0,'MASQUE COLLABORATEUR'!AC222)</f>
        <v>0</v>
      </c>
      <c r="P14" s="326"/>
      <c r="Q14">
        <f t="shared" si="0"/>
        <v>0</v>
      </c>
      <c r="R14">
        <f>IF(ISERROR('MASQUE COLLABORATEUR'!AC214),0,'MASQUE COLLABORATEUR'!AC214)</f>
        <v>0</v>
      </c>
      <c r="S14" s="326"/>
      <c r="T14">
        <f t="shared" si="1"/>
        <v>0</v>
      </c>
      <c r="U14">
        <f>IF(ISERROR('MASQUE COLLABORATEUR'!AC215),0,'MASQUE COLLABORATEUR'!AC215)</f>
        <v>0</v>
      </c>
      <c r="V14" s="326"/>
      <c r="W14">
        <f t="shared" si="2"/>
        <v>0</v>
      </c>
      <c r="X14" s="21">
        <f>IF(ISERROR('MASQUE COLLABORATEUR'!AC216),0,'MASQUE COLLABORATEUR'!AC216)</f>
        <v>0</v>
      </c>
    </row>
    <row r="15" spans="1:24" x14ac:dyDescent="0.25">
      <c r="A15" s="326"/>
      <c r="B15">
        <f>'MASQUE COLLABORATEUR'!AC235</f>
        <v>0</v>
      </c>
      <c r="C15">
        <f>IF(ISERROR('MASQUE COLLABORATEUR'!AC244),0,'MASQUE COLLABORATEUR'!AC244)</f>
        <v>0</v>
      </c>
      <c r="D15" s="326"/>
      <c r="E15">
        <f t="shared" si="3"/>
        <v>0</v>
      </c>
      <c r="F15">
        <f>IF(ISERROR('MASQUE COLLABORATEUR'!AC238),0,'MASQUE COLLABORATEUR'!AC238)</f>
        <v>0</v>
      </c>
      <c r="G15" s="326"/>
      <c r="H15">
        <f t="shared" si="4"/>
        <v>0</v>
      </c>
      <c r="I15">
        <f>IF(ISERROR('MASQUE COLLABORATEUR'!AC245),0,'MASQUE COLLABORATEUR'!AC245)</f>
        <v>0</v>
      </c>
      <c r="J15" s="326"/>
      <c r="K15">
        <f t="shared" si="5"/>
        <v>0</v>
      </c>
      <c r="L15">
        <f>IF(ISERROR('MASQUE COLLABORATEUR'!AC246),0,'MASQUE COLLABORATEUR'!AC246)</f>
        <v>0</v>
      </c>
      <c r="M15" s="326"/>
      <c r="N15">
        <f t="shared" si="6"/>
        <v>0</v>
      </c>
      <c r="O15">
        <f>IF(ISERROR('MASQUE COLLABORATEUR'!AC255),0,'MASQUE COLLABORATEUR'!AC255)</f>
        <v>0</v>
      </c>
      <c r="P15" s="326"/>
      <c r="Q15">
        <f t="shared" si="0"/>
        <v>0</v>
      </c>
      <c r="R15">
        <f>IF(ISERROR('MASQUE COLLABORATEUR'!AC247),0,'MASQUE COLLABORATEUR'!AC247)</f>
        <v>0</v>
      </c>
      <c r="S15" s="326"/>
      <c r="T15">
        <f t="shared" si="1"/>
        <v>0</v>
      </c>
      <c r="U15">
        <f>IF(ISERROR('MASQUE COLLABORATEUR'!AC248),0,'MASQUE COLLABORATEUR'!AC248)</f>
        <v>0</v>
      </c>
      <c r="V15" s="326"/>
      <c r="W15">
        <f t="shared" si="2"/>
        <v>0</v>
      </c>
      <c r="X15" s="21">
        <f>IF(ISERROR('MASQUE COLLABORATEUR'!AC249),0,'MASQUE COLLABORATEUR'!AC249)</f>
        <v>0</v>
      </c>
    </row>
    <row r="16" spans="1:24" x14ac:dyDescent="0.25">
      <c r="A16" s="326"/>
      <c r="B16">
        <f>'MASQUE COLLABORATEUR'!AC268</f>
        <v>0</v>
      </c>
      <c r="C16">
        <f>IF(ISERROR('MASQUE COLLABORATEUR'!AC277),0,'MASQUE COLLABORATEUR'!AC277)</f>
        <v>0</v>
      </c>
      <c r="D16" s="326"/>
      <c r="E16">
        <f>B16</f>
        <v>0</v>
      </c>
      <c r="F16">
        <f>IF(ISERROR('MASQUE COLLABORATEUR'!AC271),0,'MASQUE COLLABORATEUR'!AC271)</f>
        <v>0</v>
      </c>
      <c r="G16" s="326"/>
      <c r="H16">
        <f>E16</f>
        <v>0</v>
      </c>
      <c r="I16">
        <f>IF(ISERROR('MASQUE COLLABORATEUR'!AC278),0,'MASQUE COLLABORATEUR'!AC278)</f>
        <v>0</v>
      </c>
      <c r="J16" s="326"/>
      <c r="K16">
        <f>H16</f>
        <v>0</v>
      </c>
      <c r="L16">
        <f>IF(ISERROR('MASQUE COLLABORATEUR'!AC279),0,'MASQUE COLLABORATEUR'!AC279)</f>
        <v>0</v>
      </c>
      <c r="M16" s="326"/>
      <c r="N16">
        <f>K16</f>
        <v>0</v>
      </c>
      <c r="O16">
        <f>IF(ISERROR('MASQUE COLLABORATEUR'!AC288),0,'MASQUE COLLABORATEUR'!AC288)</f>
        <v>0</v>
      </c>
      <c r="P16" s="326"/>
      <c r="Q16">
        <f t="shared" si="0"/>
        <v>0</v>
      </c>
      <c r="R16">
        <f>IF(ISERROR('MASQUE COLLABORATEUR'!AC280),0,'MASQUE COLLABORATEUR'!AC280)</f>
        <v>0</v>
      </c>
      <c r="S16" s="326"/>
      <c r="T16">
        <f t="shared" si="1"/>
        <v>0</v>
      </c>
      <c r="U16">
        <f>IF(ISERROR('MASQUE COLLABORATEUR'!AC281),0,'MASQUE COLLABORATEUR'!AC281)</f>
        <v>0</v>
      </c>
      <c r="V16" s="326"/>
      <c r="W16">
        <f t="shared" si="2"/>
        <v>0</v>
      </c>
      <c r="X16" s="21">
        <f>IF(ISERROR('MASQUE COLLABORATEUR'!AC282),0,'MASQUE COLLABORATEUR'!AC282)</f>
        <v>0</v>
      </c>
    </row>
    <row r="17" spans="1:24" x14ac:dyDescent="0.25">
      <c r="A17" s="326"/>
      <c r="B17">
        <f>'MASQUE COLLABORATEUR'!AC301</f>
        <v>0</v>
      </c>
      <c r="C17">
        <f>IF(ISERROR('MASQUE COLLABORATEUR'!AC310),0,'MASQUE COLLABORATEUR'!AC310)</f>
        <v>0</v>
      </c>
      <c r="D17" s="326"/>
      <c r="E17">
        <f t="shared" si="3"/>
        <v>0</v>
      </c>
      <c r="F17">
        <f>IF(ISERROR('MASQUE COLLABORATEUR'!AC304),0,'MASQUE COLLABORATEUR'!AC304)</f>
        <v>0</v>
      </c>
      <c r="G17" s="326"/>
      <c r="H17">
        <f t="shared" si="4"/>
        <v>0</v>
      </c>
      <c r="I17">
        <f>IF(ISERROR('MASQUE COLLABORATEUR'!AC311),0,'MASQUE COLLABORATEUR'!AC311)</f>
        <v>0</v>
      </c>
      <c r="J17" s="326"/>
      <c r="K17">
        <f t="shared" si="5"/>
        <v>0</v>
      </c>
      <c r="L17">
        <f>IF(ISERROR('MASQUE COLLABORATEUR'!AC312),0,'MASQUE COLLABORATEUR'!AC312)</f>
        <v>0</v>
      </c>
      <c r="M17" s="326"/>
      <c r="N17">
        <f t="shared" ref="N17:N26" si="7">K17</f>
        <v>0</v>
      </c>
      <c r="O17">
        <f>IF(ISERROR('MASQUE COLLABORATEUR'!AC321),0,'MASQUE COLLABORATEUR'!AC321)</f>
        <v>0</v>
      </c>
      <c r="P17" s="326"/>
      <c r="Q17">
        <f t="shared" si="0"/>
        <v>0</v>
      </c>
      <c r="R17">
        <f>IF(ISERROR('MASQUE COLLABORATEUR'!AC313),0,'MASQUE COLLABORATEUR'!AC313)</f>
        <v>0</v>
      </c>
      <c r="S17" s="326"/>
      <c r="T17">
        <f t="shared" si="1"/>
        <v>0</v>
      </c>
      <c r="U17">
        <f>IF(ISERROR('MASQUE COLLABORATEUR'!AC314),0,'MASQUE COLLABORATEUR'!AC314)</f>
        <v>0</v>
      </c>
      <c r="V17" s="326"/>
      <c r="W17">
        <f t="shared" si="2"/>
        <v>0</v>
      </c>
      <c r="X17" s="21">
        <f>IF(ISERROR('MASQUE COLLABORATEUR'!AC315),0,'MASQUE COLLABORATEUR'!AC315)</f>
        <v>0</v>
      </c>
    </row>
    <row r="18" spans="1:24" x14ac:dyDescent="0.25">
      <c r="A18" s="326"/>
      <c r="B18">
        <f>'MASQUE COLLABORATEUR'!AC334</f>
        <v>0</v>
      </c>
      <c r="C18">
        <f>IF(ISERROR('MASQUE COLLABORATEUR'!AC343),0,'MASQUE COLLABORATEUR'!AC343)</f>
        <v>0</v>
      </c>
      <c r="D18" s="326"/>
      <c r="E18">
        <f t="shared" si="3"/>
        <v>0</v>
      </c>
      <c r="F18">
        <f>IF(ISERROR('MASQUE COLLABORATEUR'!AC337),0,'MASQUE COLLABORATEUR'!AC337)</f>
        <v>0</v>
      </c>
      <c r="G18" s="326"/>
      <c r="H18">
        <f t="shared" si="4"/>
        <v>0</v>
      </c>
      <c r="I18">
        <f>IF(ISERROR('MASQUE COLLABORATEUR'!AC344),0,'MASQUE COLLABORATEUR'!AC344)</f>
        <v>0</v>
      </c>
      <c r="J18" s="326"/>
      <c r="K18">
        <f t="shared" si="5"/>
        <v>0</v>
      </c>
      <c r="L18">
        <f>IF(ISERROR('MASQUE COLLABORATEUR'!AC345),0,'MASQUE COLLABORATEUR'!AC345)</f>
        <v>0</v>
      </c>
      <c r="M18" s="326"/>
      <c r="N18">
        <f t="shared" si="7"/>
        <v>0</v>
      </c>
      <c r="O18">
        <f>IF(ISERROR('MASQUE COLLABORATEUR'!AC354),0,'MASQUE COLLABORATEUR'!AC354)</f>
        <v>0</v>
      </c>
      <c r="P18" s="326"/>
      <c r="Q18">
        <f t="shared" si="0"/>
        <v>0</v>
      </c>
      <c r="R18">
        <f>IF(ISERROR('MASQUE COLLABORATEUR'!AC346),0,'MASQUE COLLABORATEUR'!AC346)</f>
        <v>0</v>
      </c>
      <c r="S18" s="326"/>
      <c r="T18">
        <f t="shared" si="1"/>
        <v>0</v>
      </c>
      <c r="U18">
        <f>IF(ISERROR('MASQUE COLLABORATEUR'!AC347),0,'MASQUE COLLABORATEUR'!AC347)</f>
        <v>0</v>
      </c>
      <c r="V18" s="326"/>
      <c r="W18">
        <f t="shared" si="2"/>
        <v>0</v>
      </c>
      <c r="X18" s="21">
        <f>IF(ISERROR('MASQUE COLLABORATEUR'!AC348),0,'MASQUE COLLABORATEUR'!AC348)</f>
        <v>0</v>
      </c>
    </row>
    <row r="19" spans="1:24" x14ac:dyDescent="0.25">
      <c r="A19" s="326"/>
      <c r="B19">
        <f>'MASQUE COLLABORATEUR'!AC367</f>
        <v>0</v>
      </c>
      <c r="C19">
        <f>IF(ISERROR('MASQUE COLLABORATEUR'!AC376),0,'MASQUE COLLABORATEUR'!AC376)</f>
        <v>0</v>
      </c>
      <c r="D19" s="326"/>
      <c r="E19">
        <f t="shared" si="3"/>
        <v>0</v>
      </c>
      <c r="F19">
        <f>IF(ISERROR('MASQUE COLLABORATEUR'!AC370),0,'MASQUE COLLABORATEUR'!AC370)</f>
        <v>0</v>
      </c>
      <c r="G19" s="326"/>
      <c r="H19">
        <f t="shared" si="4"/>
        <v>0</v>
      </c>
      <c r="I19">
        <f>IF(ISERROR('MASQUE COLLABORATEUR'!AC377),0,'MASQUE COLLABORATEUR'!AC377)</f>
        <v>0</v>
      </c>
      <c r="J19" s="326"/>
      <c r="K19">
        <f t="shared" si="5"/>
        <v>0</v>
      </c>
      <c r="L19">
        <f>IF(ISERROR('MASQUE COLLABORATEUR'!AC378),0,'MASQUE COLLABORATEUR'!AC378)</f>
        <v>0</v>
      </c>
      <c r="M19" s="326"/>
      <c r="N19">
        <f t="shared" si="7"/>
        <v>0</v>
      </c>
      <c r="O19">
        <f>IF(ISERROR('MASQUE COLLABORATEUR'!AC387),0,'MASQUE COLLABORATEUR'!AC387)</f>
        <v>0</v>
      </c>
      <c r="P19" s="326"/>
      <c r="Q19">
        <f t="shared" si="0"/>
        <v>0</v>
      </c>
      <c r="R19">
        <f>IF(ISERROR('MASQUE COLLABORATEUR'!AC379),0,'MASQUE COLLABORATEUR'!AC379)</f>
        <v>0</v>
      </c>
      <c r="S19" s="326"/>
      <c r="T19">
        <f t="shared" si="1"/>
        <v>0</v>
      </c>
      <c r="U19">
        <f>IF(ISERROR('MASQUE COLLABORATEUR'!AC380),0,'MASQUE COLLABORATEUR'!AC380)</f>
        <v>0</v>
      </c>
      <c r="V19" s="326"/>
      <c r="W19">
        <f t="shared" si="2"/>
        <v>0</v>
      </c>
      <c r="X19" s="21">
        <f>IF(ISERROR('MASQUE COLLABORATEUR'!AC381),0,'MASQUE COLLABORATEUR'!AC381)</f>
        <v>0</v>
      </c>
    </row>
    <row r="20" spans="1:24" x14ac:dyDescent="0.25">
      <c r="A20" s="326"/>
      <c r="B20">
        <f>'MASQUE COLLABORATEUR'!AC400</f>
        <v>0</v>
      </c>
      <c r="C20">
        <f>IF(ISERROR('MASQUE COLLABORATEUR'!AC409),0,'MASQUE COLLABORATEUR'!AC409)</f>
        <v>0</v>
      </c>
      <c r="D20" s="326"/>
      <c r="E20">
        <f t="shared" si="3"/>
        <v>0</v>
      </c>
      <c r="F20">
        <f>IF(ISERROR('MASQUE COLLABORATEUR'!AC403),0,'MASQUE COLLABORATEUR'!AC403)</f>
        <v>0</v>
      </c>
      <c r="G20" s="326"/>
      <c r="H20">
        <f t="shared" si="4"/>
        <v>0</v>
      </c>
      <c r="I20">
        <f>IF(ISERROR('MASQUE COLLABORATEUR'!AC410),0,'MASQUE COLLABORATEUR'!AC410)</f>
        <v>0</v>
      </c>
      <c r="J20" s="326"/>
      <c r="K20">
        <f t="shared" si="5"/>
        <v>0</v>
      </c>
      <c r="L20">
        <f>IF(ISERROR('MASQUE COLLABORATEUR'!AC411),0,'MASQUE COLLABORATEUR'!AC411)</f>
        <v>0</v>
      </c>
      <c r="M20" s="326"/>
      <c r="N20">
        <f t="shared" si="7"/>
        <v>0</v>
      </c>
      <c r="O20">
        <f>IF(ISERROR('MASQUE COLLABORATEUR'!AC420),0,'MASQUE COLLABORATEUR'!AC420)</f>
        <v>0</v>
      </c>
      <c r="P20" s="326"/>
      <c r="Q20">
        <f t="shared" si="0"/>
        <v>0</v>
      </c>
      <c r="R20">
        <f>IF(ISERROR('MASQUE COLLABORATEUR'!AC412),0,'MASQUE COLLABORATEUR'!AC412)</f>
        <v>0</v>
      </c>
      <c r="S20" s="326"/>
      <c r="T20">
        <f t="shared" si="1"/>
        <v>0</v>
      </c>
      <c r="U20">
        <f>IF(ISERROR('MASQUE COLLABORATEUR'!AC413),0,'MASQUE COLLABORATEUR'!AC413)</f>
        <v>0</v>
      </c>
      <c r="V20" s="326"/>
      <c r="W20">
        <f t="shared" si="2"/>
        <v>0</v>
      </c>
      <c r="X20" s="21">
        <f>IF(ISERROR('MASQUE COLLABORATEUR'!AC414),0,'MASQUE COLLABORATEUR'!AC414)</f>
        <v>0</v>
      </c>
    </row>
    <row r="21" spans="1:24" x14ac:dyDescent="0.25">
      <c r="A21" s="326"/>
      <c r="B21">
        <f>'MASQUE COLLABORATEUR'!AC433</f>
        <v>0</v>
      </c>
      <c r="C21">
        <f>IF(ISERROR('MASQUE COLLABORATEUR'!AC442),0,'MASQUE COLLABORATEUR'!AC442)</f>
        <v>0</v>
      </c>
      <c r="D21" s="326"/>
      <c r="E21">
        <f t="shared" si="3"/>
        <v>0</v>
      </c>
      <c r="F21">
        <f>IF(ISERROR('MASQUE COLLABORATEUR'!AC436),0,'MASQUE COLLABORATEUR'!AC436)</f>
        <v>0</v>
      </c>
      <c r="G21" s="326"/>
      <c r="H21">
        <f t="shared" si="4"/>
        <v>0</v>
      </c>
      <c r="I21">
        <f>IF(ISERROR('MASQUE COLLABORATEUR'!AC443),0,'MASQUE COLLABORATEUR'!AC443)</f>
        <v>0</v>
      </c>
      <c r="J21" s="326"/>
      <c r="K21">
        <f t="shared" si="5"/>
        <v>0</v>
      </c>
      <c r="L21">
        <f>IF(ISERROR('MASQUE COLLABORATEUR'!AC444),0,'MASQUE COLLABORATEUR'!AC444)</f>
        <v>0</v>
      </c>
      <c r="M21" s="326"/>
      <c r="N21">
        <f t="shared" si="7"/>
        <v>0</v>
      </c>
      <c r="O21">
        <f>IF(ISERROR('MASQUE COLLABORATEUR'!AC453),0,'MASQUE COLLABORATEUR'!AC453)</f>
        <v>0</v>
      </c>
      <c r="P21" s="326"/>
      <c r="Q21">
        <f t="shared" si="0"/>
        <v>0</v>
      </c>
      <c r="R21">
        <f>IF(ISERROR('MASQUE COLLABORATEUR'!AC445),0,'MASQUE COLLABORATEUR'!AC445)</f>
        <v>0</v>
      </c>
      <c r="S21" s="326"/>
      <c r="T21">
        <f t="shared" si="1"/>
        <v>0</v>
      </c>
      <c r="U21">
        <f>IF(ISERROR('MASQUE COLLABORATEUR'!AC446),0,'MASQUE COLLABORATEUR'!AC446)</f>
        <v>0</v>
      </c>
      <c r="V21" s="326"/>
      <c r="W21">
        <f t="shared" si="2"/>
        <v>0</v>
      </c>
      <c r="X21" s="21">
        <f>IF(ISERROR('MASQUE COLLABORATEUR'!AC447),0,'MASQUE COLLABORATEUR'!AC447)</f>
        <v>0</v>
      </c>
    </row>
    <row r="22" spans="1:24" x14ac:dyDescent="0.25">
      <c r="A22" s="326"/>
      <c r="B22">
        <f>'MASQUE COLLABORATEUR'!AC466</f>
        <v>0</v>
      </c>
      <c r="C22">
        <f>IF(ISERROR('MASQUE COLLABORATEUR'!AC475),0,'MASQUE COLLABORATEUR'!AC475)</f>
        <v>0</v>
      </c>
      <c r="D22" s="326"/>
      <c r="E22">
        <f t="shared" si="3"/>
        <v>0</v>
      </c>
      <c r="F22">
        <f>IF(ISERROR('MASQUE COLLABORATEUR'!AC469),0,'MASQUE COLLABORATEUR'!AC469)</f>
        <v>0</v>
      </c>
      <c r="G22" s="326"/>
      <c r="H22">
        <f t="shared" si="4"/>
        <v>0</v>
      </c>
      <c r="I22">
        <f>IF(ISERROR('MASQUE COLLABORATEUR'!AC476),0,'MASQUE COLLABORATEUR'!AC476)</f>
        <v>0</v>
      </c>
      <c r="J22" s="326"/>
      <c r="K22">
        <f t="shared" si="5"/>
        <v>0</v>
      </c>
      <c r="L22">
        <f>IF(ISERROR('MASQUE COLLABORATEUR'!AC477),0,'MASQUE COLLABORATEUR'!AC477)</f>
        <v>0</v>
      </c>
      <c r="M22" s="326"/>
      <c r="N22">
        <f t="shared" si="7"/>
        <v>0</v>
      </c>
      <c r="O22">
        <f>IF(ISERROR('MASQUE COLLABORATEUR'!AC486),0,'MASQUE COLLABORATEUR'!AC486)</f>
        <v>0</v>
      </c>
      <c r="P22" s="326"/>
      <c r="Q22">
        <f t="shared" si="0"/>
        <v>0</v>
      </c>
      <c r="R22">
        <f>IF(ISERROR('MASQUE COLLABORATEUR'!AC478),0,'MASQUE COLLABORATEUR'!AC478)</f>
        <v>0</v>
      </c>
      <c r="S22" s="326"/>
      <c r="T22">
        <f t="shared" si="1"/>
        <v>0</v>
      </c>
      <c r="U22">
        <f>IF(ISERROR('MASQUE COLLABORATEUR'!AC479),0,'MASQUE COLLABORATEUR'!AC479)</f>
        <v>0</v>
      </c>
      <c r="V22" s="326"/>
      <c r="W22">
        <f t="shared" si="2"/>
        <v>0</v>
      </c>
      <c r="X22" s="21">
        <f>IF(ISERROR('MASQUE COLLABORATEUR'!AC480),0,'MASQUE COLLABORATEUR'!AC480)</f>
        <v>0</v>
      </c>
    </row>
    <row r="23" spans="1:24" x14ac:dyDescent="0.25">
      <c r="A23" s="326"/>
      <c r="B23">
        <f>'MASQUE COLLABORATEUR'!AC499</f>
        <v>0</v>
      </c>
      <c r="C23">
        <f>IF(ISERROR('MASQUE COLLABORATEUR'!AC508),0,'MASQUE COLLABORATEUR'!AC508)</f>
        <v>0</v>
      </c>
      <c r="D23" s="326"/>
      <c r="E23">
        <f t="shared" si="3"/>
        <v>0</v>
      </c>
      <c r="F23">
        <f>IF(ISERROR('MASQUE COLLABORATEUR'!AC502),0,'MASQUE COLLABORATEUR'!AC502)</f>
        <v>0</v>
      </c>
      <c r="G23" s="326"/>
      <c r="H23">
        <f t="shared" si="4"/>
        <v>0</v>
      </c>
      <c r="I23">
        <f>IF(ISERROR('MASQUE COLLABORATEUR'!AC509),0,'MASQUE COLLABORATEUR'!AC509)</f>
        <v>0</v>
      </c>
      <c r="J23" s="326"/>
      <c r="K23">
        <f t="shared" si="5"/>
        <v>0</v>
      </c>
      <c r="L23">
        <f>IF(ISERROR('MASQUE COLLABORATEUR'!AC510),0,'MASQUE COLLABORATEUR'!AC510)</f>
        <v>0</v>
      </c>
      <c r="M23" s="326"/>
      <c r="N23">
        <f t="shared" si="7"/>
        <v>0</v>
      </c>
      <c r="O23">
        <f>IF(ISERROR('MASQUE COLLABORATEUR'!AC519),0,'MASQUE COLLABORATEUR'!AC519)</f>
        <v>0</v>
      </c>
      <c r="P23" s="326"/>
      <c r="Q23">
        <f t="shared" si="0"/>
        <v>0</v>
      </c>
      <c r="R23">
        <f>IF(ISERROR('MASQUE COLLABORATEUR'!AC511),0,'MASQUE COLLABORATEUR'!AC511)</f>
        <v>0</v>
      </c>
      <c r="S23" s="326"/>
      <c r="T23">
        <f t="shared" si="1"/>
        <v>0</v>
      </c>
      <c r="U23">
        <f>IF(ISERROR('MASQUE COLLABORATEUR'!AC512),0,'MASQUE COLLABORATEUR'!AC512)</f>
        <v>0</v>
      </c>
      <c r="V23" s="326"/>
      <c r="W23">
        <f t="shared" si="2"/>
        <v>0</v>
      </c>
      <c r="X23" s="21">
        <f>IF(ISERROR('MASQUE COLLABORATEUR'!AC513),0,'MASQUE COLLABORATEUR'!AC513)</f>
        <v>0</v>
      </c>
    </row>
    <row r="24" spans="1:24" x14ac:dyDescent="0.25">
      <c r="A24" s="326"/>
      <c r="B24">
        <f>'MASQUE COLLABORATEUR'!AC532</f>
        <v>0</v>
      </c>
      <c r="C24">
        <f>IF(ISERROR('MASQUE COLLABORATEUR'!AC541),0,'MASQUE COLLABORATEUR'!AC541)</f>
        <v>0</v>
      </c>
      <c r="D24" s="326"/>
      <c r="E24">
        <f t="shared" si="3"/>
        <v>0</v>
      </c>
      <c r="F24">
        <f>IF(ISERROR('MASQUE COLLABORATEUR'!AC535),0,'MASQUE COLLABORATEUR'!AC535)</f>
        <v>0</v>
      </c>
      <c r="G24" s="326"/>
      <c r="H24">
        <f t="shared" si="4"/>
        <v>0</v>
      </c>
      <c r="I24">
        <f>IF(ISERROR('MASQUE COLLABORATEUR'!AC542),0,'MASQUE COLLABORATEUR'!AC542)</f>
        <v>0</v>
      </c>
      <c r="J24" s="326"/>
      <c r="K24">
        <f t="shared" si="5"/>
        <v>0</v>
      </c>
      <c r="L24">
        <f>IF(ISERROR('MASQUE COLLABORATEUR'!AC543),0,'MASQUE COLLABORATEUR'!AC543)</f>
        <v>0</v>
      </c>
      <c r="M24" s="326"/>
      <c r="N24">
        <f t="shared" si="7"/>
        <v>0</v>
      </c>
      <c r="O24">
        <f>IF(ISERROR('MASQUE COLLABORATEUR'!AC552),0,'MASQUE COLLABORATEUR'!AC552)</f>
        <v>0</v>
      </c>
      <c r="P24" s="326"/>
      <c r="Q24">
        <f t="shared" si="0"/>
        <v>0</v>
      </c>
      <c r="R24">
        <f>IF(ISERROR('MASQUE COLLABORATEUR'!AC544),0,'MASQUE COLLABORATEUR'!AC544)</f>
        <v>0</v>
      </c>
      <c r="S24" s="326"/>
      <c r="T24">
        <f t="shared" si="1"/>
        <v>0</v>
      </c>
      <c r="U24">
        <f>IF(ISERROR('MASQUE COLLABORATEUR'!AC545),0,'MASQUE COLLABORATEUR'!AC545)</f>
        <v>0</v>
      </c>
      <c r="V24" s="326"/>
      <c r="W24">
        <f t="shared" si="2"/>
        <v>0</v>
      </c>
      <c r="X24" s="21">
        <f>IF(ISERROR('MASQUE COLLABORATEUR'!AC546),0,'MASQUE COLLABORATEUR'!AC546)</f>
        <v>0</v>
      </c>
    </row>
    <row r="25" spans="1:24" x14ac:dyDescent="0.25">
      <c r="A25" s="326"/>
      <c r="B25">
        <f>'MASQUE COLLABORATEUR'!AC565</f>
        <v>0</v>
      </c>
      <c r="C25">
        <f>IF(ISERROR('MASQUE COLLABORATEUR'!AC574),0,'MASQUE COLLABORATEUR'!AC574)</f>
        <v>0</v>
      </c>
      <c r="D25" s="326"/>
      <c r="E25">
        <f t="shared" si="3"/>
        <v>0</v>
      </c>
      <c r="F25">
        <f>IF(ISERROR('MASQUE COLLABORATEUR'!AC568),0,'MASQUE COLLABORATEUR'!AC568)</f>
        <v>0</v>
      </c>
      <c r="G25" s="326"/>
      <c r="H25">
        <f t="shared" si="4"/>
        <v>0</v>
      </c>
      <c r="I25">
        <f>IF(ISERROR('MASQUE COLLABORATEUR'!AC575),0,'MASQUE COLLABORATEUR'!AC575)</f>
        <v>0</v>
      </c>
      <c r="J25" s="326"/>
      <c r="K25">
        <f t="shared" si="5"/>
        <v>0</v>
      </c>
      <c r="L25">
        <f>IF(ISERROR('MASQUE COLLABORATEUR'!AC576),0,'MASQUE COLLABORATEUR'!AC576)</f>
        <v>0</v>
      </c>
      <c r="M25" s="326"/>
      <c r="N25">
        <f t="shared" si="7"/>
        <v>0</v>
      </c>
      <c r="O25">
        <f>IF(ISERROR('MASQUE COLLABORATEUR'!AC585),0,'MASQUE COLLABORATEUR'!AC585)</f>
        <v>0</v>
      </c>
      <c r="P25" s="326"/>
      <c r="Q25">
        <f t="shared" si="0"/>
        <v>0</v>
      </c>
      <c r="R25">
        <f>IF(ISERROR('MASQUE COLLABORATEUR'!AC577),0,'MASQUE COLLABORATEUR'!AC577)</f>
        <v>0</v>
      </c>
      <c r="S25" s="326"/>
      <c r="T25">
        <f t="shared" si="1"/>
        <v>0</v>
      </c>
      <c r="U25">
        <f>IF(ISERROR('MASQUE COLLABORATEUR'!AC578),0,'MASQUE COLLABORATEUR'!AC578)</f>
        <v>0</v>
      </c>
      <c r="V25" s="326"/>
      <c r="W25">
        <f t="shared" si="2"/>
        <v>0</v>
      </c>
      <c r="X25" s="21">
        <f>IF(ISERROR('MASQUE COLLABORATEUR'!AC579),0,'MASQUE COLLABORATEUR'!AC579)</f>
        <v>0</v>
      </c>
    </row>
    <row r="26" spans="1:24" x14ac:dyDescent="0.25">
      <c r="A26" s="326"/>
      <c r="B26">
        <f>'MASQUE COLLABORATEUR'!AC598</f>
        <v>0</v>
      </c>
      <c r="C26">
        <f>IF(ISERROR('MASQUE COLLABORATEUR'!AC607),0,'MASQUE COLLABORATEUR'!AC607)</f>
        <v>0</v>
      </c>
      <c r="D26" s="326"/>
      <c r="E26">
        <f t="shared" si="3"/>
        <v>0</v>
      </c>
      <c r="F26">
        <f>IF(ISERROR('MASQUE COLLABORATEUR'!AC601),0,'MASQUE COLLABORATEUR'!AC601)</f>
        <v>0</v>
      </c>
      <c r="G26" s="326"/>
      <c r="H26">
        <f t="shared" si="4"/>
        <v>0</v>
      </c>
      <c r="I26">
        <f>IF(ISERROR('MASQUE COLLABORATEUR'!AC608),0,'MASQUE COLLABORATEUR'!AC608)</f>
        <v>0</v>
      </c>
      <c r="J26" s="326"/>
      <c r="K26">
        <f t="shared" si="5"/>
        <v>0</v>
      </c>
      <c r="L26">
        <f>IF(ISERROR('MASQUE COLLABORATEUR'!AC609),0,'MASQUE COLLABORATEUR'!AC609)</f>
        <v>0</v>
      </c>
      <c r="M26" s="326"/>
      <c r="N26">
        <f t="shared" si="7"/>
        <v>0</v>
      </c>
      <c r="O26">
        <f>IF(ISERROR('MASQUE COLLABORATEUR'!AC618),0,'MASQUE COLLABORATEUR'!AC618)</f>
        <v>0</v>
      </c>
      <c r="P26" s="326"/>
      <c r="Q26">
        <f t="shared" si="0"/>
        <v>0</v>
      </c>
      <c r="R26">
        <f>IF(ISERROR('MASQUE COLLABORATEUR'!AC610),0,'MASQUE COLLABORATEUR'!AC610)</f>
        <v>0</v>
      </c>
      <c r="S26" s="326"/>
      <c r="T26">
        <f t="shared" si="1"/>
        <v>0</v>
      </c>
      <c r="U26">
        <f>IF(ISERROR('MASQUE COLLABORATEUR'!AC611),0,'MASQUE COLLABORATEUR'!AC611)</f>
        <v>0</v>
      </c>
      <c r="V26" s="326"/>
      <c r="W26">
        <f t="shared" si="2"/>
        <v>0</v>
      </c>
      <c r="X26" s="21">
        <f>IF(ISERROR('MASQUE COLLABORATEUR'!AC612),0,'MASQUE COLLABORATEUR'!AC612)</f>
        <v>0</v>
      </c>
    </row>
    <row r="27" spans="1:24" ht="15.75" thickBot="1" x14ac:dyDescent="0.3">
      <c r="A27" s="327"/>
      <c r="B27" s="22">
        <f>'MASQUE COLLABORATEUR'!AC631</f>
        <v>0</v>
      </c>
      <c r="C27" s="22">
        <f>IF(ISERROR('MASQUE COLLABORATEUR'!AC640),0,'MASQUE COLLABORATEUR'!AC640)</f>
        <v>0</v>
      </c>
      <c r="D27" s="327"/>
      <c r="E27" s="36">
        <f>B27</f>
        <v>0</v>
      </c>
      <c r="F27" s="23">
        <f>IF(ISERROR('MASQUE COLLABORATEUR'!AC634),0,'MASQUE COLLABORATEUR'!AC634)</f>
        <v>0</v>
      </c>
      <c r="G27" s="327"/>
      <c r="H27" s="22">
        <f>E27</f>
        <v>0</v>
      </c>
      <c r="I27" s="22">
        <f>IF(ISERROR('MASQUE COLLABORATEUR'!AC641),0,'MASQUE COLLABORATEUR'!AC641)</f>
        <v>0</v>
      </c>
      <c r="J27" s="327"/>
      <c r="K27" s="22">
        <f>H27</f>
        <v>0</v>
      </c>
      <c r="L27" s="22">
        <f>IF(ISERROR('MASQUE COLLABORATEUR'!AC642),0,'MASQUE COLLABORATEUR'!AC642)</f>
        <v>0</v>
      </c>
      <c r="M27" s="327"/>
      <c r="N27" s="22">
        <f>K27</f>
        <v>0</v>
      </c>
      <c r="O27" s="22">
        <f>IF(ISERROR('MASQUE COLLABORATEUR'!AC651),0,'MASQUE COLLABORATEUR'!AC651)</f>
        <v>0</v>
      </c>
      <c r="P27" s="327"/>
      <c r="Q27" s="22">
        <f t="shared" si="0"/>
        <v>0</v>
      </c>
      <c r="R27" s="22">
        <f>IF(ISERROR('MASQUE COLLABORATEUR'!AC643),0,'MASQUE COLLABORATEUR'!AC643)</f>
        <v>0</v>
      </c>
      <c r="S27" s="327"/>
      <c r="T27" s="22">
        <f t="shared" si="1"/>
        <v>0</v>
      </c>
      <c r="U27" s="22">
        <f>IF(ISERROR('MASQUE COLLABORATEUR'!AC644),0,'MASQUE COLLABORATEUR'!AC644)</f>
        <v>0</v>
      </c>
      <c r="V27" s="327"/>
      <c r="W27" s="22">
        <f t="shared" si="2"/>
        <v>0</v>
      </c>
      <c r="X27" s="23">
        <f>IF(ISERROR('MASQUE COLLABORATEUR'!AC645),0,'MASQUE COLLABORATEUR'!AC645)</f>
        <v>0</v>
      </c>
    </row>
    <row r="28" spans="1:24" ht="15.75" thickBot="1" x14ac:dyDescent="0.3"/>
    <row r="29" spans="1:24" ht="15.75" thickBot="1" x14ac:dyDescent="0.3">
      <c r="A29" s="322" t="s">
        <v>230</v>
      </c>
      <c r="B29" s="323"/>
      <c r="C29" s="324"/>
    </row>
    <row r="31" spans="1:24" x14ac:dyDescent="0.25">
      <c r="B31" s="27" t="s">
        <v>231</v>
      </c>
      <c r="C31" s="27" t="s">
        <v>232</v>
      </c>
      <c r="D31" s="27" t="s">
        <v>233</v>
      </c>
      <c r="E31" s="27" t="s">
        <v>234</v>
      </c>
      <c r="F31" s="27" t="s">
        <v>235</v>
      </c>
      <c r="G31" t="s">
        <v>236</v>
      </c>
      <c r="H31" t="s">
        <v>237</v>
      </c>
      <c r="I31" t="s">
        <v>238</v>
      </c>
      <c r="J31" t="s">
        <v>239</v>
      </c>
      <c r="K31" t="s">
        <v>240</v>
      </c>
      <c r="L31" t="s">
        <v>241</v>
      </c>
      <c r="M31" t="s">
        <v>242</v>
      </c>
      <c r="N31" t="s">
        <v>243</v>
      </c>
      <c r="O31" t="s">
        <v>244</v>
      </c>
      <c r="P31" t="s">
        <v>245</v>
      </c>
      <c r="Q31" t="s">
        <v>246</v>
      </c>
      <c r="R31" t="s">
        <v>247</v>
      </c>
      <c r="S31" t="s">
        <v>248</v>
      </c>
      <c r="T31" t="s">
        <v>249</v>
      </c>
      <c r="U31" t="s">
        <v>250</v>
      </c>
    </row>
    <row r="32" spans="1:24" x14ac:dyDescent="0.25">
      <c r="A32" s="26" t="s">
        <v>315</v>
      </c>
      <c r="B32" s="27" t="str">
        <f>'Synthèse Horaires'!I5</f>
        <v>Juin</v>
      </c>
      <c r="C32" s="27" t="str">
        <f>B32</f>
        <v>Juin</v>
      </c>
      <c r="D32" s="27" t="str">
        <f t="shared" ref="D32:U32" si="8">C32</f>
        <v>Juin</v>
      </c>
      <c r="E32" s="27" t="str">
        <f t="shared" si="8"/>
        <v>Juin</v>
      </c>
      <c r="F32" s="27" t="str">
        <f t="shared" si="8"/>
        <v>Juin</v>
      </c>
      <c r="G32" t="str">
        <f t="shared" si="8"/>
        <v>Juin</v>
      </c>
      <c r="H32" t="str">
        <f t="shared" si="8"/>
        <v>Juin</v>
      </c>
      <c r="I32" t="str">
        <f t="shared" si="8"/>
        <v>Juin</v>
      </c>
      <c r="J32" t="str">
        <f t="shared" si="8"/>
        <v>Juin</v>
      </c>
      <c r="K32" t="str">
        <f t="shared" si="8"/>
        <v>Juin</v>
      </c>
      <c r="L32" t="str">
        <f t="shared" si="8"/>
        <v>Juin</v>
      </c>
      <c r="M32" t="str">
        <f t="shared" si="8"/>
        <v>Juin</v>
      </c>
      <c r="N32" t="str">
        <f t="shared" si="8"/>
        <v>Juin</v>
      </c>
      <c r="O32" t="str">
        <f t="shared" si="8"/>
        <v>Juin</v>
      </c>
      <c r="P32" t="str">
        <f t="shared" si="8"/>
        <v>Juin</v>
      </c>
      <c r="Q32" t="str">
        <f t="shared" si="8"/>
        <v>Juin</v>
      </c>
      <c r="R32" t="str">
        <f t="shared" si="8"/>
        <v>Juin</v>
      </c>
      <c r="S32" t="str">
        <f t="shared" si="8"/>
        <v>Juin</v>
      </c>
      <c r="T32" t="str">
        <f t="shared" si="8"/>
        <v>Juin</v>
      </c>
      <c r="U32" t="str">
        <f t="shared" si="8"/>
        <v>Juin</v>
      </c>
    </row>
    <row r="33" spans="1:21" x14ac:dyDescent="0.25">
      <c r="A33" s="26" t="s">
        <v>265</v>
      </c>
      <c r="B33" s="27">
        <f>'Synthèse Horaires'!I4</f>
        <v>0</v>
      </c>
      <c r="C33" s="27">
        <f>B33</f>
        <v>0</v>
      </c>
      <c r="D33" s="27">
        <f t="shared" ref="D33:U33" si="9">C33</f>
        <v>0</v>
      </c>
      <c r="E33" s="27">
        <f t="shared" si="9"/>
        <v>0</v>
      </c>
      <c r="F33" s="27">
        <f t="shared" si="9"/>
        <v>0</v>
      </c>
      <c r="G33">
        <f t="shared" si="9"/>
        <v>0</v>
      </c>
      <c r="H33">
        <f t="shared" si="9"/>
        <v>0</v>
      </c>
      <c r="I33">
        <f t="shared" si="9"/>
        <v>0</v>
      </c>
      <c r="J33">
        <f t="shared" si="9"/>
        <v>0</v>
      </c>
      <c r="K33">
        <f t="shared" si="9"/>
        <v>0</v>
      </c>
      <c r="L33">
        <f t="shared" si="9"/>
        <v>0</v>
      </c>
      <c r="M33">
        <f t="shared" si="9"/>
        <v>0</v>
      </c>
      <c r="N33">
        <f t="shared" si="9"/>
        <v>0</v>
      </c>
      <c r="O33">
        <f t="shared" si="9"/>
        <v>0</v>
      </c>
      <c r="P33">
        <f t="shared" si="9"/>
        <v>0</v>
      </c>
      <c r="Q33">
        <f t="shared" si="9"/>
        <v>0</v>
      </c>
      <c r="R33">
        <f t="shared" si="9"/>
        <v>0</v>
      </c>
      <c r="S33">
        <f t="shared" si="9"/>
        <v>0</v>
      </c>
      <c r="T33">
        <f t="shared" si="9"/>
        <v>0</v>
      </c>
      <c r="U33">
        <f t="shared" si="9"/>
        <v>0</v>
      </c>
    </row>
    <row r="34" spans="1:21" x14ac:dyDescent="0.25">
      <c r="A34" s="26" t="s">
        <v>6</v>
      </c>
      <c r="B34">
        <f>IF(ISERROR('MASQUE COLLABORATEUR'!$AC$4),0,'MASQUE COLLABORATEUR'!$AC$4)</f>
        <v>0</v>
      </c>
      <c r="C34">
        <f>IF(ISERROR('MASQUE COLLABORATEUR'!AC37),0,'MASQUE COLLABORATEUR'!AC37)</f>
        <v>0</v>
      </c>
      <c r="D34">
        <f>IF(ISERROR('MASQUE COLLABORATEUR'!AC70),0,'MASQUE COLLABORATEUR'!AC70)</f>
        <v>0</v>
      </c>
      <c r="E34">
        <f>IF(ISERROR('MASQUE COLLABORATEUR'!AC103),0,'MASQUE COLLABORATEUR'!AC103)</f>
        <v>0</v>
      </c>
      <c r="F34">
        <f>IF(ISERROR('MASQUE COLLABORATEUR'!AC136),0,'MASQUE COLLABORATEUR'!AC136)</f>
        <v>0</v>
      </c>
      <c r="G34">
        <f>IF(ISERROR('MASQUE COLLABORATEUR'!AC169),0,'MASQUE COLLABORATEUR'!AC169)</f>
        <v>0</v>
      </c>
      <c r="H34">
        <f>IF(ISERROR('MASQUE COLLABORATEUR'!AC202),0,'MASQUE COLLABORATEUR'!AC202)</f>
        <v>0</v>
      </c>
      <c r="I34">
        <f>IF(ISERROR('MASQUE COLLABORATEUR'!AC235),0,'MASQUE COLLABORATEUR'!AC235)</f>
        <v>0</v>
      </c>
      <c r="J34">
        <f>IF(ISERROR('MASQUE COLLABORATEUR'!AC268),0,'MASQUE COLLABORATEUR'!AC268)</f>
        <v>0</v>
      </c>
      <c r="K34">
        <f>IF(ISERROR('MASQUE COLLABORATEUR'!AC301),0,'MASQUE COLLABORATEUR'!AC301)</f>
        <v>0</v>
      </c>
      <c r="L34">
        <f>IF(ISERROR('MASQUE COLLABORATEUR'!AC334),0,'MASQUE COLLABORATEUR'!AC334)</f>
        <v>0</v>
      </c>
      <c r="M34">
        <f>IF(ISERROR('MASQUE COLLABORATEUR'!AC367),0,'MASQUE COLLABORATEUR'!AC367)</f>
        <v>0</v>
      </c>
      <c r="N34">
        <f>IF(ISERROR('MASQUE COLLABORATEUR'!AC400),0,'MASQUE COLLABORATEUR'!AC400)</f>
        <v>0</v>
      </c>
      <c r="O34">
        <f>IF(ISERROR('MASQUE COLLABORATEUR'!AC433),0,'MASQUE COLLABORATEUR'!AC433)</f>
        <v>0</v>
      </c>
      <c r="P34">
        <f>IF(ISERROR('MASQUE COLLABORATEUR'!AC466),0,'MASQUE COLLABORATEUR'!AC466)</f>
        <v>0</v>
      </c>
      <c r="Q34">
        <f>IF(ISERROR('MASQUE COLLABORATEUR'!AC499),0,'MASQUE COLLABORATEUR'!AC499)</f>
        <v>0</v>
      </c>
      <c r="R34">
        <f>IF(ISERROR('MASQUE COLLABORATEUR'!AC532),0,'MASQUE COLLABORATEUR'!AC532)</f>
        <v>0</v>
      </c>
      <c r="S34">
        <f>IF(ISERROR('MASQUE COLLABORATEUR'!AC565),0,'MASQUE COLLABORATEUR'!AC565)</f>
        <v>0</v>
      </c>
      <c r="T34">
        <f>IF(ISERROR('MASQUE COLLABORATEUR'!AC598),0,'MASQUE COLLABORATEUR'!AC598)</f>
        <v>0</v>
      </c>
      <c r="U34">
        <f>IF(ISERROR('MASQUE COLLABORATEUR'!AC631),0,'MASQUE COLLABORATEUR'!AC631)</f>
        <v>0</v>
      </c>
    </row>
    <row r="35" spans="1:21" x14ac:dyDescent="0.25">
      <c r="A35" s="26" t="s">
        <v>57</v>
      </c>
      <c r="B35">
        <f>IF(ISERROR('MASQUE COLLABORATEUR'!AC5),0,'MASQUE COLLABORATEUR'!AC5)</f>
        <v>0</v>
      </c>
      <c r="C35">
        <f>IF(ISERROR('MASQUE COLLABORATEUR'!AC38),0,'MASQUE COLLABORATEUR'!AC38)</f>
        <v>0</v>
      </c>
      <c r="D35">
        <f>IF(ISERROR('MASQUE COLLABORATEUR'!AC71),0,'MASQUE COLLABORATEUR'!AC71)</f>
        <v>0</v>
      </c>
      <c r="E35">
        <f>IF(ISERROR('MASQUE COLLABORATEUR'!AC104),0,'MASQUE COLLABORATEUR'!AC104)</f>
        <v>0</v>
      </c>
      <c r="F35">
        <f>IF(ISERROR('MASQUE COLLABORATEUR'!AC137),0,'MASQUE COLLABORATEUR'!AC137)</f>
        <v>0</v>
      </c>
      <c r="G35">
        <f>IF(ISERROR('MASQUE COLLABORATEUR'!AC170),0,'MASQUE COLLABORATEUR'!AC170)</f>
        <v>0</v>
      </c>
      <c r="H35">
        <f>IF(ISERROR('MASQUE COLLABORATEUR'!AC203),0,'MASQUE COLLABORATEUR'!AC203)</f>
        <v>0</v>
      </c>
      <c r="I35">
        <f>IF(ISERROR('MASQUE COLLABORATEUR'!AC236),0,'MASQUE COLLABORATEUR'!AC236)</f>
        <v>0</v>
      </c>
      <c r="J35">
        <f>IF(ISERROR('MASQUE COLLABORATEUR'!AC269),0,'MASQUE COLLABORATEUR'!AC269)</f>
        <v>0</v>
      </c>
      <c r="K35">
        <f>IF(ISERROR('MASQUE COLLABORATEUR'!AC302),0,'MASQUE COLLABORATEUR'!AC302)</f>
        <v>0</v>
      </c>
      <c r="L35">
        <f>IF(ISERROR('MASQUE COLLABORATEUR'!AC335),0,'MASQUE COLLABORATEUR'!AC335)</f>
        <v>0</v>
      </c>
      <c r="M35">
        <f>IF(ISERROR('MASQUE COLLABORATEUR'!AC368),0,'MASQUE COLLABORATEUR'!AC368)</f>
        <v>0</v>
      </c>
      <c r="N35">
        <f>IF(ISERROR('MASQUE COLLABORATEUR'!AC401),0,'MASQUE COLLABORATEUR'!AC401)</f>
        <v>0</v>
      </c>
      <c r="O35">
        <f>IF(ISERROR('MASQUE COLLABORATEUR'!AC434),0,'MASQUE COLLABORATEUR'!AC434)</f>
        <v>0</v>
      </c>
      <c r="P35">
        <f>IF(ISERROR('MASQUE COLLABORATEUR'!AC467),0,'MASQUE COLLABORATEUR'!AC467)</f>
        <v>0</v>
      </c>
      <c r="Q35">
        <f>IF(ISERROR('MASQUE COLLABORATEUR'!AC500),0,'MASQUE COLLABORATEUR'!AC500)</f>
        <v>0</v>
      </c>
      <c r="R35">
        <f>IF(ISERROR('MASQUE COLLABORATEUR'!AC533),0,'MASQUE COLLABORATEUR'!AC533)</f>
        <v>0</v>
      </c>
      <c r="S35">
        <f>IF(ISERROR('MASQUE COLLABORATEUR'!AC566),0,'MASQUE COLLABORATEUR'!AC566)</f>
        <v>0</v>
      </c>
      <c r="T35">
        <f>IF(ISERROR('MASQUE COLLABORATEUR'!AC599),0,'MASQUE COLLABORATEUR'!AC599)</f>
        <v>0</v>
      </c>
      <c r="U35">
        <f>IF(ISERROR('MASQUE COLLABORATEUR'!AC632),0,'MASQUE COLLABORATEUR'!AC632)</f>
        <v>0</v>
      </c>
    </row>
    <row r="36" spans="1:21" x14ac:dyDescent="0.25">
      <c r="A36" s="26" t="s">
        <v>211</v>
      </c>
      <c r="B36">
        <f>IF(ISERROR('MASQUE COLLABORATEUR'!AC6),0,'MASQUE COLLABORATEUR'!AC6)</f>
        <v>0</v>
      </c>
      <c r="C36">
        <f>IF(ISERROR('MASQUE COLLABORATEUR'!AC39),0,'MASQUE COLLABORATEUR'!AC39)</f>
        <v>0</v>
      </c>
      <c r="D36">
        <f>IF(ISERROR('MASQUE COLLABORATEUR'!AC72),0,'MASQUE COLLABORATEUR'!AC72)</f>
        <v>0</v>
      </c>
      <c r="E36">
        <f>IF(ISERROR('MASQUE COLLABORATEUR'!AC105),0,'MASQUE COLLABORATEUR'!AC105)</f>
        <v>0</v>
      </c>
      <c r="F36">
        <f>IF(ISERROR('MASQUE COLLABORATEUR'!AC138),0,'MASQUE COLLABORATEUR'!AC138)</f>
        <v>0</v>
      </c>
      <c r="G36">
        <f>IF(ISERROR('MASQUE COLLABORATEUR'!AC171),0,'MASQUE COLLABORATEUR'!AC171)</f>
        <v>0</v>
      </c>
      <c r="H36">
        <f>IF(ISERROR('MASQUE COLLABORATEUR'!AC204),0,'MASQUE COLLABORATEUR'!AC204)</f>
        <v>0</v>
      </c>
      <c r="I36">
        <f>IF(ISERROR('MASQUE COLLABORATEUR'!AC237),0,'MASQUE COLLABORATEUR'!AC237)</f>
        <v>0</v>
      </c>
      <c r="J36">
        <f>IF(ISERROR('MASQUE COLLABORATEUR'!AC270),0,'MASQUE COLLABORATEUR'!AC270)</f>
        <v>0</v>
      </c>
      <c r="K36">
        <f>IF(ISERROR('MASQUE COLLABORATEUR'!AC303),0,'MASQUE COLLABORATEUR'!AC303)</f>
        <v>0</v>
      </c>
      <c r="L36">
        <f>IF(ISERROR('MASQUE COLLABORATEUR'!AC336),0,'MASQUE COLLABORATEUR'!AC336)</f>
        <v>0</v>
      </c>
      <c r="M36">
        <f>IF(ISERROR('MASQUE COLLABORATEUR'!AC369),0,'MASQUE COLLABORATEUR'!AC369)</f>
        <v>0</v>
      </c>
      <c r="N36">
        <f>IF(ISERROR('MASQUE COLLABORATEUR'!AC402),0,'MASQUE COLLABORATEUR'!AC402)</f>
        <v>0</v>
      </c>
      <c r="O36">
        <f>IF(ISERROR('MASQUE COLLABORATEUR'!AC435),0,'MASQUE COLLABORATEUR'!AC435)</f>
        <v>0</v>
      </c>
      <c r="P36">
        <f>IF(ISERROR('MASQUE COLLABORATEUR'!AC468),0,'MASQUE COLLABORATEUR'!AC468)</f>
        <v>0</v>
      </c>
      <c r="Q36">
        <f>IF(ISERROR('MASQUE COLLABORATEUR'!AC501),0,'MASQUE COLLABORATEUR'!AC501)</f>
        <v>0</v>
      </c>
      <c r="R36">
        <f>IF(ISERROR('MASQUE COLLABORATEUR'!AC534),0,'MASQUE COLLABORATEUR'!AC534)</f>
        <v>0</v>
      </c>
      <c r="S36">
        <f>IF(ISERROR('MASQUE COLLABORATEUR'!AC567),0,'MASQUE COLLABORATEUR'!AC567)</f>
        <v>0</v>
      </c>
      <c r="T36">
        <f>IF(ISERROR('MASQUE COLLABORATEUR'!AC600),0,'MASQUE COLLABORATEUR'!AC600)</f>
        <v>0</v>
      </c>
      <c r="U36">
        <f>IF(ISERROR('MASQUE COLLABORATEUR'!AC633),0,'MASQUE COLLABORATEUR'!AC633)</f>
        <v>0</v>
      </c>
    </row>
    <row r="37" spans="1:21" x14ac:dyDescent="0.25">
      <c r="A37" s="26" t="s">
        <v>207</v>
      </c>
      <c r="B37">
        <f>IF(ISERROR('MASQUE COLLABORATEUR'!AC7),0,'MASQUE COLLABORATEUR'!AC7)</f>
        <v>0</v>
      </c>
      <c r="C37">
        <f>IF(ISERROR('MASQUE COLLABORATEUR'!AC40),0,'MASQUE COLLABORATEUR'!AC40)</f>
        <v>0</v>
      </c>
      <c r="D37">
        <f>IF(ISERROR('MASQUE COLLABORATEUR'!AC73),0,'MASQUE COLLABORATEUR'!AC73)</f>
        <v>0</v>
      </c>
      <c r="E37">
        <f>IF(ISERROR('MASQUE COLLABORATEUR'!AC106),0,'MASQUE COLLABORATEUR'!AC106)</f>
        <v>0</v>
      </c>
      <c r="F37">
        <f>IF(ISERROR('MASQUE COLLABORATEUR'!AC139),0,'MASQUE COLLABORATEUR'!AC139)</f>
        <v>0</v>
      </c>
      <c r="G37">
        <f>IF(ISERROR('MASQUE COLLABORATEUR'!AC172),0,'MASQUE COLLABORATEUR'!AC172)</f>
        <v>0</v>
      </c>
      <c r="H37">
        <f>IF(ISERROR('MASQUE COLLABORATEUR'!AC205),0,'MASQUE COLLABORATEUR'!AC205)</f>
        <v>0</v>
      </c>
      <c r="I37">
        <f>IF(ISERROR('MASQUE COLLABORATEUR'!AC238),0,'MASQUE COLLABORATEUR'!AC238)</f>
        <v>0</v>
      </c>
      <c r="J37">
        <f>IF(ISERROR('MASQUE COLLABORATEUR'!AC271),0,'MASQUE COLLABORATEUR'!AC271)</f>
        <v>0</v>
      </c>
      <c r="K37">
        <f>IF(ISERROR('MASQUE COLLABORATEUR'!AC304),0,'MASQUE COLLABORATEUR'!AC304)</f>
        <v>0</v>
      </c>
      <c r="L37">
        <f>IF(ISERROR('MASQUE COLLABORATEUR'!AC337),0,'MASQUE COLLABORATEUR'!AC337)</f>
        <v>0</v>
      </c>
      <c r="M37">
        <f>IF(ISERROR('MASQUE COLLABORATEUR'!AC370),0,'MASQUE COLLABORATEUR'!AC370)</f>
        <v>0</v>
      </c>
      <c r="N37">
        <f>IF(ISERROR('MASQUE COLLABORATEUR'!AC403),0,'MASQUE COLLABORATEUR'!AC403)</f>
        <v>0</v>
      </c>
      <c r="O37">
        <f>IF(ISERROR('MASQUE COLLABORATEUR'!AC436),0,'MASQUE COLLABORATEUR'!AC436)</f>
        <v>0</v>
      </c>
      <c r="P37">
        <f>IF(ISERROR('MASQUE COLLABORATEUR'!AC469),0,'MASQUE COLLABORATEUR'!AC469)</f>
        <v>0</v>
      </c>
      <c r="Q37">
        <f>IF(ISERROR('MASQUE COLLABORATEUR'!AC502),0,'MASQUE COLLABORATEUR'!AC502)</f>
        <v>0</v>
      </c>
      <c r="R37">
        <f>IF(ISERROR('MASQUE COLLABORATEUR'!AC535),0,'MASQUE COLLABORATEUR'!AC535)</f>
        <v>0</v>
      </c>
      <c r="S37">
        <f>IF(ISERROR('MASQUE COLLABORATEUR'!AC568),0,'MASQUE COLLABORATEUR'!AC568)</f>
        <v>0</v>
      </c>
      <c r="T37">
        <f>IF(ISERROR('MASQUE COLLABORATEUR'!AC601),0,'MASQUE COLLABORATEUR'!AC601)</f>
        <v>0</v>
      </c>
      <c r="U37">
        <f>IF(ISERROR('MASQUE COLLABORATEUR'!AC634),0,'MASQUE COLLABORATEUR'!AC634)</f>
        <v>0</v>
      </c>
    </row>
    <row r="38" spans="1:21" x14ac:dyDescent="0.25">
      <c r="A38" s="26" t="s">
        <v>11</v>
      </c>
      <c r="B38">
        <f>IF(ISERROR('MASQUE COLLABORATEUR'!AC8),0,'MASQUE COLLABORATEUR'!AC8)</f>
        <v>0</v>
      </c>
      <c r="C38">
        <f>IF(ISERROR('MASQUE COLLABORATEUR'!AC41),0,'MASQUE COLLABORATEUR'!AC41)</f>
        <v>0</v>
      </c>
      <c r="D38">
        <f>IF(ISERROR('MASQUE COLLABORATEUR'!AC74),0,'MASQUE COLLABORATEUR'!AC74)</f>
        <v>0</v>
      </c>
      <c r="E38">
        <f>IF(ISERROR('MASQUE COLLABORATEUR'!AC107),0,'MASQUE COLLABORATEUR'!AC107)</f>
        <v>0</v>
      </c>
      <c r="F38">
        <f>IF(ISERROR('MASQUE COLLABORATEUR'!AC140),0,'MASQUE COLLABORATEUR'!AC140)</f>
        <v>0</v>
      </c>
      <c r="G38">
        <f>IF(ISERROR('MASQUE COLLABORATEUR'!AC173),0,'MASQUE COLLABORATEUR'!AC173)</f>
        <v>0</v>
      </c>
      <c r="H38">
        <f>IF(ISERROR('MASQUE COLLABORATEUR'!AC206),0,'MASQUE COLLABORATEUR'!AC206)</f>
        <v>0</v>
      </c>
      <c r="I38">
        <f>IF(ISERROR('MASQUE COLLABORATEUR'!AC239),0,'MASQUE COLLABORATEUR'!AC239)</f>
        <v>0</v>
      </c>
      <c r="J38">
        <f>IF(ISERROR('MASQUE COLLABORATEUR'!AC272),0,'MASQUE COLLABORATEUR'!AC272)</f>
        <v>0</v>
      </c>
      <c r="K38">
        <f>IF(ISERROR('MASQUE COLLABORATEUR'!AC305),0,'MASQUE COLLABORATEUR'!AC305)</f>
        <v>0</v>
      </c>
      <c r="L38">
        <f>IF(ISERROR('MASQUE COLLABORATEUR'!AC338),0,'MASQUE COLLABORATEUR'!AC338)</f>
        <v>0</v>
      </c>
      <c r="M38">
        <f>IF(ISERROR('MASQUE COLLABORATEUR'!AC371),0,'MASQUE COLLABORATEUR'!AC371)</f>
        <v>0</v>
      </c>
      <c r="N38">
        <f>IF(ISERROR('MASQUE COLLABORATEUR'!AC404),0,'MASQUE COLLABORATEUR'!AC404)</f>
        <v>0</v>
      </c>
      <c r="O38">
        <f>IF(ISERROR('MASQUE COLLABORATEUR'!AC437),0,'MASQUE COLLABORATEUR'!AC437)</f>
        <v>0</v>
      </c>
      <c r="P38">
        <f>IF(ISERROR('MASQUE COLLABORATEUR'!AC470),0,'MASQUE COLLABORATEUR'!AC470)</f>
        <v>0</v>
      </c>
      <c r="Q38">
        <f>IF(ISERROR('MASQUE COLLABORATEUR'!AC503),0,'MASQUE COLLABORATEUR'!AC503)</f>
        <v>0</v>
      </c>
      <c r="R38">
        <f>IF(ISERROR('MASQUE COLLABORATEUR'!AC536),0,'MASQUE COLLABORATEUR'!AC536)</f>
        <v>0</v>
      </c>
      <c r="S38">
        <f>IF(ISERROR('MASQUE COLLABORATEUR'!AC569),0,'MASQUE COLLABORATEUR'!AC569)</f>
        <v>0</v>
      </c>
      <c r="T38">
        <f>IF(ISERROR('MASQUE COLLABORATEUR'!AC602),0,'MASQUE COLLABORATEUR'!AC602)</f>
        <v>0</v>
      </c>
      <c r="U38">
        <f>IF(ISERROR('MASQUE COLLABORATEUR'!AC635),0,'MASQUE COLLABORATEUR'!AC635)</f>
        <v>0</v>
      </c>
    </row>
    <row r="39" spans="1:21" x14ac:dyDescent="0.25">
      <c r="A39" s="26" t="s">
        <v>208</v>
      </c>
      <c r="B39">
        <f>IF(ISERROR('MASQUE COLLABORATEUR'!AC9),0,'MASQUE COLLABORATEUR'!AC9)</f>
        <v>0</v>
      </c>
      <c r="C39">
        <f>IF(ISERROR('MASQUE COLLABORATEUR'!AC42),0,'MASQUE COLLABORATEUR'!AC42)</f>
        <v>0</v>
      </c>
      <c r="D39">
        <f>IF(ISERROR('MASQUE COLLABORATEUR'!AC75),0,'MASQUE COLLABORATEUR'!AC75)</f>
        <v>0</v>
      </c>
      <c r="E39">
        <f>IF(ISERROR('MASQUE COLLABORATEUR'!AC108),0,'MASQUE COLLABORATEUR'!AC108)</f>
        <v>0</v>
      </c>
      <c r="F39">
        <f>IF(ISERROR('MASQUE COLLABORATEUR'!AC141),0,'MASQUE COLLABORATEUR'!AC141)</f>
        <v>0</v>
      </c>
      <c r="G39">
        <f>IF(ISERROR('MASQUE COLLABORATEUR'!AC174),0,'MASQUE COLLABORATEUR'!AC174)</f>
        <v>0</v>
      </c>
      <c r="H39">
        <f>IF(ISERROR('MASQUE COLLABORATEUR'!AC207),0,'MASQUE COLLABORATEUR'!AC207)</f>
        <v>0</v>
      </c>
      <c r="I39">
        <f>IF(ISERROR('MASQUE COLLABORATEUR'!AC240),0,'MASQUE COLLABORATEUR'!AC240)</f>
        <v>0</v>
      </c>
      <c r="J39">
        <f>IF(ISERROR('MASQUE COLLABORATEUR'!AC273),0,'MASQUE COLLABORATEUR'!AC273)</f>
        <v>0</v>
      </c>
      <c r="K39">
        <f>IF(ISERROR('MASQUE COLLABORATEUR'!AC306),0,'MASQUE COLLABORATEUR'!AC306)</f>
        <v>0</v>
      </c>
      <c r="L39">
        <f>IF(ISERROR('MASQUE COLLABORATEUR'!AC339),0,'MASQUE COLLABORATEUR'!AC339)</f>
        <v>0</v>
      </c>
      <c r="M39">
        <f>IF(ISERROR('MASQUE COLLABORATEUR'!AC372),0,'MASQUE COLLABORATEUR'!AC372)</f>
        <v>0</v>
      </c>
      <c r="N39">
        <f>IF(ISERROR('MASQUE COLLABORATEUR'!AC405),0,'MASQUE COLLABORATEUR'!AC405)</f>
        <v>0</v>
      </c>
      <c r="O39">
        <f>IF(ISERROR('MASQUE COLLABORATEUR'!AC438),0,'MASQUE COLLABORATEUR'!AC438)</f>
        <v>0</v>
      </c>
      <c r="P39">
        <f>IF(ISERROR('MASQUE COLLABORATEUR'!AC471),0,'MASQUE COLLABORATEUR'!AC471)</f>
        <v>0</v>
      </c>
      <c r="Q39">
        <f>IF(ISERROR('MASQUE COLLABORATEUR'!AC504),0,'MASQUE COLLABORATEUR'!AC504)</f>
        <v>0</v>
      </c>
      <c r="R39">
        <f>IF(ISERROR('MASQUE COLLABORATEUR'!AC537),0,'MASQUE COLLABORATEUR'!AC537)</f>
        <v>0</v>
      </c>
      <c r="S39">
        <f>IF(ISERROR('MASQUE COLLABORATEUR'!AC570),0,'MASQUE COLLABORATEUR'!AC570)</f>
        <v>0</v>
      </c>
      <c r="T39">
        <f>IF(ISERROR('MASQUE COLLABORATEUR'!AC603),0,'MASQUE COLLABORATEUR'!AC603)</f>
        <v>0</v>
      </c>
      <c r="U39">
        <f>IF(ISERROR('MASQUE COLLABORATEUR'!AC636),0,'MASQUE COLLABORATEUR'!AC636)</f>
        <v>0</v>
      </c>
    </row>
    <row r="40" spans="1:21" x14ac:dyDescent="0.25">
      <c r="A40" s="28" t="s">
        <v>8</v>
      </c>
      <c r="B40">
        <f>IF(ISERROR('MASQUE COLLABORATEUR'!AC10),0,'MASQUE COLLABORATEUR'!AC10)</f>
        <v>0</v>
      </c>
      <c r="C40">
        <f>IF(ISERROR('MASQUE COLLABORATEUR'!AC43),0,'MASQUE COLLABORATEUR'!AC43)</f>
        <v>0</v>
      </c>
      <c r="D40">
        <f>IF(ISERROR('MASQUE COLLABORATEUR'!AC76),0,'MASQUE COLLABORATEUR'!AC76)</f>
        <v>0</v>
      </c>
      <c r="E40">
        <f>IF(ISERROR('MASQUE COLLABORATEUR'!AC109),0,'MASQUE COLLABORATEUR'!AC109)</f>
        <v>0</v>
      </c>
      <c r="F40">
        <f>IF(ISERROR('MASQUE COLLABORATEUR'!AC142),0,'MASQUE COLLABORATEUR'!AC142)</f>
        <v>0</v>
      </c>
      <c r="G40">
        <f>IF(ISERROR('MASQUE COLLABORATEUR'!AC175),0,'MASQUE COLLABORATEUR'!AC175)</f>
        <v>0</v>
      </c>
      <c r="H40">
        <f>IF(ISERROR('MASQUE COLLABORATEUR'!AC208),0,'MASQUE COLLABORATEUR'!AC208)</f>
        <v>0</v>
      </c>
      <c r="I40">
        <f>IF(ISERROR('MASQUE COLLABORATEUR'!AC241),0,'MASQUE COLLABORATEUR'!AC241)</f>
        <v>0</v>
      </c>
      <c r="J40">
        <f>IF(ISERROR('MASQUE COLLABORATEUR'!AC274),0,'MASQUE COLLABORATEUR'!AC274)</f>
        <v>0</v>
      </c>
      <c r="K40">
        <f>IF(ISERROR('MASQUE COLLABORATEUR'!AC307),0,'MASQUE COLLABORATEUR'!AC307)</f>
        <v>0</v>
      </c>
      <c r="L40">
        <f>IF(ISERROR('MASQUE COLLABORATEUR'!AC340),0,'MASQUE COLLABORATEUR'!AC340)</f>
        <v>0</v>
      </c>
      <c r="M40">
        <f>IF(ISERROR('MASQUE COLLABORATEUR'!AC373),0,'MASQUE COLLABORATEUR'!AC373)</f>
        <v>0</v>
      </c>
      <c r="N40">
        <f>IF(ISERROR('MASQUE COLLABORATEUR'!AC406),0,'MASQUE COLLABORATEUR'!AC406)</f>
        <v>0</v>
      </c>
      <c r="O40">
        <f>IF(ISERROR('MASQUE COLLABORATEUR'!AC439),0,'MASQUE COLLABORATEUR'!AC439)</f>
        <v>0</v>
      </c>
      <c r="P40">
        <f>IF(ISERROR('MASQUE COLLABORATEUR'!AC472),0,'MASQUE COLLABORATEUR'!AC472)</f>
        <v>0</v>
      </c>
      <c r="Q40">
        <f>IF(ISERROR('MASQUE COLLABORATEUR'!AC505),0,'MASQUE COLLABORATEUR'!AC505)</f>
        <v>0</v>
      </c>
      <c r="R40">
        <f>IF(ISERROR('MASQUE COLLABORATEUR'!AC538),0,'MASQUE COLLABORATEUR'!AC538)</f>
        <v>0</v>
      </c>
      <c r="S40">
        <f>IF(ISERROR('MASQUE COLLABORATEUR'!AC571),0,'MASQUE COLLABORATEUR'!AC571)</f>
        <v>0</v>
      </c>
      <c r="T40">
        <f>IF(ISERROR('MASQUE COLLABORATEUR'!AC604),0,'MASQUE COLLABORATEUR'!AC604)</f>
        <v>0</v>
      </c>
      <c r="U40">
        <f>IF(ISERROR('MASQUE COLLABORATEUR'!AC637),0,'MASQUE COLLABORATEUR'!AC637)</f>
        <v>0</v>
      </c>
    </row>
    <row r="41" spans="1:21" x14ac:dyDescent="0.25">
      <c r="A41" s="26" t="s">
        <v>209</v>
      </c>
      <c r="B41">
        <f>IF(ISERROR('MASQUE COLLABORATEUR'!AC11),0,'MASQUE COLLABORATEUR'!AC11)</f>
        <v>0</v>
      </c>
      <c r="C41">
        <f>IF(ISERROR('MASQUE COLLABORATEUR'!AC44),0,'MASQUE COLLABORATEUR'!AC44)</f>
        <v>0</v>
      </c>
      <c r="D41">
        <f>IF(ISERROR('MASQUE COLLABORATEUR'!AC77),0,'MASQUE COLLABORATEUR'!AC77)</f>
        <v>0</v>
      </c>
      <c r="E41">
        <f>IF(ISERROR('MASQUE COLLABORATEUR'!AC110),0,'MASQUE COLLABORATEUR'!AC110)</f>
        <v>0</v>
      </c>
      <c r="F41">
        <f>IF(ISERROR('MASQUE COLLABORATEUR'!AC143),0,'MASQUE COLLABORATEUR'!AC143)</f>
        <v>0</v>
      </c>
      <c r="G41">
        <f>IF(ISERROR('MASQUE COLLABORATEUR'!AC176),0,'MASQUE COLLABORATEUR'!AC176)</f>
        <v>0</v>
      </c>
      <c r="H41">
        <f>IF(ISERROR('MASQUE COLLABORATEUR'!AC209),0,'MASQUE COLLABORATEUR'!AC209)</f>
        <v>0</v>
      </c>
      <c r="I41">
        <f>IF(ISERROR('MASQUE COLLABORATEUR'!AC242),0,'MASQUE COLLABORATEUR'!AC242)</f>
        <v>0</v>
      </c>
      <c r="J41">
        <f>IF(ISERROR('MASQUE COLLABORATEUR'!AC275),0,'MASQUE COLLABORATEUR'!AC275)</f>
        <v>0</v>
      </c>
      <c r="K41">
        <f>IF(ISERROR('MASQUE COLLABORATEUR'!AC308),0,'MASQUE COLLABORATEUR'!AC308)</f>
        <v>0</v>
      </c>
      <c r="L41">
        <f>IF(ISERROR('MASQUE COLLABORATEUR'!AC341),0,'MASQUE COLLABORATEUR'!AC341)</f>
        <v>0</v>
      </c>
      <c r="M41">
        <f>IF(ISERROR('MASQUE COLLABORATEUR'!AC374),0,'MASQUE COLLABORATEUR'!AC374)</f>
        <v>0</v>
      </c>
      <c r="N41">
        <f>IF(ISERROR('MASQUE COLLABORATEUR'!AC407),0,'MASQUE COLLABORATEUR'!AC407)</f>
        <v>0</v>
      </c>
      <c r="O41">
        <f>IF(ISERROR('MASQUE COLLABORATEUR'!AC440),0,'MASQUE COLLABORATEUR'!AC440)</f>
        <v>0</v>
      </c>
      <c r="P41">
        <f>IF(ISERROR('MASQUE COLLABORATEUR'!AC473),0,'MASQUE COLLABORATEUR'!AC473)</f>
        <v>0</v>
      </c>
      <c r="Q41">
        <f>IF(ISERROR('MASQUE COLLABORATEUR'!AC506),0,'MASQUE COLLABORATEUR'!AC506)</f>
        <v>0</v>
      </c>
      <c r="R41">
        <f>IF(ISERROR('MASQUE COLLABORATEUR'!AC539),0,'MASQUE COLLABORATEUR'!AC539)</f>
        <v>0</v>
      </c>
      <c r="S41">
        <f>IF(ISERROR('MASQUE COLLABORATEUR'!AC572),0,'MASQUE COLLABORATEUR'!AC572)</f>
        <v>0</v>
      </c>
      <c r="T41">
        <f>IF(ISERROR('MASQUE COLLABORATEUR'!AC605),0,'MASQUE COLLABORATEUR'!AC605)</f>
        <v>0</v>
      </c>
      <c r="U41">
        <f>IF(ISERROR('MASQUE COLLABORATEUR'!AC638),0,'MASQUE COLLABORATEUR'!AC638)</f>
        <v>0</v>
      </c>
    </row>
    <row r="42" spans="1:21" x14ac:dyDescent="0.25">
      <c r="A42" s="26" t="s">
        <v>210</v>
      </c>
      <c r="B42">
        <f>IF(ISERROR('MASQUE COLLABORATEUR'!AC12),0,'MASQUE COLLABORATEUR'!AC12)</f>
        <v>0</v>
      </c>
      <c r="C42">
        <f>IF(ISERROR('MASQUE COLLABORATEUR'!AC45),0,'MASQUE COLLABORATEUR'!AC45)</f>
        <v>0</v>
      </c>
      <c r="D42">
        <f>IF(ISERROR('MASQUE COLLABORATEUR'!AC78),0,'MASQUE COLLABORATEUR'!AC78)</f>
        <v>0</v>
      </c>
      <c r="E42">
        <f>IF(ISERROR('MASQUE COLLABORATEUR'!AC111),0,'MASQUE COLLABORATEUR'!AC111)</f>
        <v>0</v>
      </c>
      <c r="F42">
        <f>IF(ISERROR('MASQUE COLLABORATEUR'!AC144),0,'MASQUE COLLABORATEUR'!AC144)</f>
        <v>0</v>
      </c>
      <c r="G42">
        <f>IF(ISERROR('MASQUE COLLABORATEUR'!AC177),0,'MASQUE COLLABORATEUR'!AC177)</f>
        <v>0</v>
      </c>
      <c r="H42">
        <f>IF(ISERROR('MASQUE COLLABORATEUR'!AC210),0,'MASQUE COLLABORATEUR'!AC210)</f>
        <v>0</v>
      </c>
      <c r="I42">
        <f>IF(ISERROR('MASQUE COLLABORATEUR'!AC243),0,'MASQUE COLLABORATEUR'!AC243)</f>
        <v>0</v>
      </c>
      <c r="J42">
        <f>IF(ISERROR('MASQUE COLLABORATEUR'!AC276),0,'MASQUE COLLABORATEUR'!AC276)</f>
        <v>0</v>
      </c>
      <c r="K42">
        <f>IF(ISERROR('MASQUE COLLABORATEUR'!AC309),0,'MASQUE COLLABORATEUR'!AC309)</f>
        <v>0</v>
      </c>
      <c r="L42">
        <f>IF(ISERROR('MASQUE COLLABORATEUR'!AC342),0,'MASQUE COLLABORATEUR'!AC342)</f>
        <v>0</v>
      </c>
      <c r="M42">
        <f>IF(ISERROR('MASQUE COLLABORATEUR'!AC375),0,'MASQUE COLLABORATEUR'!AC375)</f>
        <v>0</v>
      </c>
      <c r="N42">
        <f>IF(ISERROR('MASQUE COLLABORATEUR'!AC408),0,'MASQUE COLLABORATEUR'!AC408)</f>
        <v>0</v>
      </c>
      <c r="O42">
        <f>IF(ISERROR('MASQUE COLLABORATEUR'!AC441),0,'MASQUE COLLABORATEUR'!AC441)</f>
        <v>0</v>
      </c>
      <c r="P42">
        <f>IF(ISERROR('MASQUE COLLABORATEUR'!AC474),0,'MASQUE COLLABORATEUR'!AC474)</f>
        <v>0</v>
      </c>
      <c r="Q42">
        <f>IF(ISERROR('MASQUE COLLABORATEUR'!AC507),0,'MASQUE COLLABORATEUR'!AC507)</f>
        <v>0</v>
      </c>
      <c r="R42">
        <f>IF(ISERROR('MASQUE COLLABORATEUR'!AC540),0,'MASQUE COLLABORATEUR'!AC540)</f>
        <v>0</v>
      </c>
      <c r="S42">
        <f>IF(ISERROR('MASQUE COLLABORATEUR'!AC573),0,'MASQUE COLLABORATEUR'!AC573)</f>
        <v>0</v>
      </c>
      <c r="T42">
        <f>IF(ISERROR('MASQUE COLLABORATEUR'!AC606),0,'MASQUE COLLABORATEUR'!AC606)</f>
        <v>0</v>
      </c>
      <c r="U42">
        <f>IF(ISERROR('MASQUE COLLABORATEUR'!AC639),0,'MASQUE COLLABORATEUR'!AC639)</f>
        <v>0</v>
      </c>
    </row>
    <row r="43" spans="1:21" x14ac:dyDescent="0.25">
      <c r="A43" s="26" t="s">
        <v>213</v>
      </c>
      <c r="B43">
        <f>IF(ISERROR('MASQUE COLLABORATEUR'!AC13),0,'MASQUE COLLABORATEUR'!AC13)</f>
        <v>0</v>
      </c>
      <c r="C43">
        <f>IF(ISERROR('MASQUE COLLABORATEUR'!AC46),0,'MASQUE COLLABORATEUR'!AC46)</f>
        <v>0</v>
      </c>
      <c r="D43">
        <f>IF(ISERROR('MASQUE COLLABORATEUR'!AC79),0,'MASQUE COLLABORATEUR'!AC79)</f>
        <v>0</v>
      </c>
      <c r="E43">
        <f>IF(ISERROR('MASQUE COLLABORATEUR'!AC112),0,'MASQUE COLLABORATEUR'!AC112)</f>
        <v>0</v>
      </c>
      <c r="F43">
        <f>IF(ISERROR('MASQUE COLLABORATEUR'!AC145),0,'MASQUE COLLABORATEUR'!AC145)</f>
        <v>0</v>
      </c>
      <c r="G43">
        <f>IF(ISERROR('MASQUE COLLABORATEUR'!AC178),0,'MASQUE COLLABORATEUR'!AC178)</f>
        <v>0</v>
      </c>
      <c r="H43">
        <f>IF(ISERROR('MASQUE COLLABORATEUR'!AC211),0,'MASQUE COLLABORATEUR'!AC211)</f>
        <v>0</v>
      </c>
      <c r="I43">
        <f>IF(ISERROR('MASQUE COLLABORATEUR'!AC244),0,'MASQUE COLLABORATEUR'!AC244)</f>
        <v>0</v>
      </c>
      <c r="J43">
        <f>IF(ISERROR('MASQUE COLLABORATEUR'!AC277),0,'MASQUE COLLABORATEUR'!AC277)</f>
        <v>0</v>
      </c>
      <c r="K43">
        <f>IF(ISERROR('MASQUE COLLABORATEUR'!AC310),0,'MASQUE COLLABORATEUR'!AC310)</f>
        <v>0</v>
      </c>
      <c r="L43">
        <f>IF(ISERROR('MASQUE COLLABORATEUR'!AC343),0,'MASQUE COLLABORATEUR'!AC343)</f>
        <v>0</v>
      </c>
      <c r="M43">
        <f>IF(ISERROR('MASQUE COLLABORATEUR'!AC376),0,'MASQUE COLLABORATEUR'!AC376)</f>
        <v>0</v>
      </c>
      <c r="N43">
        <f>IF(ISERROR('MASQUE COLLABORATEUR'!AC409),0,'MASQUE COLLABORATEUR'!AC409)</f>
        <v>0</v>
      </c>
      <c r="O43">
        <f>IF(ISERROR('MASQUE COLLABORATEUR'!AC442),0,'MASQUE COLLABORATEUR'!AC442)</f>
        <v>0</v>
      </c>
      <c r="P43">
        <f>IF(ISERROR('MASQUE COLLABORATEUR'!AC475),0,'MASQUE COLLABORATEUR'!AC475)</f>
        <v>0</v>
      </c>
      <c r="Q43">
        <f>IF(ISERROR('MASQUE COLLABORATEUR'!AC508),0,'MASQUE COLLABORATEUR'!AC508)</f>
        <v>0</v>
      </c>
      <c r="R43">
        <f>IF(ISERROR('MASQUE COLLABORATEUR'!AC541),0,'MASQUE COLLABORATEUR'!AC541)</f>
        <v>0</v>
      </c>
      <c r="S43">
        <f>IF(ISERROR('MASQUE COLLABORATEUR'!AC574),0,'MASQUE COLLABORATEUR'!AC574)</f>
        <v>0</v>
      </c>
      <c r="T43">
        <f>IF(ISERROR('MASQUE COLLABORATEUR'!AC607),0,'MASQUE COLLABORATEUR'!AC607)</f>
        <v>0</v>
      </c>
      <c r="U43">
        <f>IF(ISERROR('MASQUE COLLABORATEUR'!AC640),0,'MASQUE COLLABORATEUR'!AC640)</f>
        <v>0</v>
      </c>
    </row>
    <row r="44" spans="1:21" x14ac:dyDescent="0.25">
      <c r="A44" s="26" t="s">
        <v>217</v>
      </c>
      <c r="B44">
        <f>IF(ISERROR('MASQUE COLLABORATEUR'!AC14),0,'MASQUE COLLABORATEUR'!AC14)</f>
        <v>0</v>
      </c>
      <c r="C44">
        <f>IF(ISERROR('MASQUE COLLABORATEUR'!AC47),0,'MASQUE COLLABORATEUR'!AC47)</f>
        <v>0</v>
      </c>
      <c r="D44">
        <f>IF(ISERROR('MASQUE COLLABORATEUR'!AC80),0,'MASQUE COLLABORATEUR'!AC80)</f>
        <v>0</v>
      </c>
      <c r="E44">
        <f>IF(ISERROR('MASQUE COLLABORATEUR'!AC113),0,'MASQUE COLLABORATEUR'!AC113)</f>
        <v>0</v>
      </c>
      <c r="F44">
        <f>IF(ISERROR('MASQUE COLLABORATEUR'!AC146),0,'MASQUE COLLABORATEUR'!AC146)</f>
        <v>0</v>
      </c>
      <c r="G44">
        <f>IF(ISERROR('MASQUE COLLABORATEUR'!AC179),0,'MASQUE COLLABORATEUR'!AC179)</f>
        <v>0</v>
      </c>
      <c r="H44">
        <f>IF(ISERROR('MASQUE COLLABORATEUR'!AC212),0,'MASQUE COLLABORATEUR'!AC212)</f>
        <v>0</v>
      </c>
      <c r="I44">
        <f>IF(ISERROR('MASQUE COLLABORATEUR'!AC245),0,'MASQUE COLLABORATEUR'!AC245)</f>
        <v>0</v>
      </c>
      <c r="J44">
        <f>IF(ISERROR('MASQUE COLLABORATEUR'!AC278),0,'MASQUE COLLABORATEUR'!AC278)</f>
        <v>0</v>
      </c>
      <c r="K44">
        <f>IF(ISERROR('MASQUE COLLABORATEUR'!AC311),0,'MASQUE COLLABORATEUR'!AC311)</f>
        <v>0</v>
      </c>
      <c r="L44">
        <f>IF(ISERROR('MASQUE COLLABORATEUR'!AC344),0,'MASQUE COLLABORATEUR'!AC344)</f>
        <v>0</v>
      </c>
      <c r="M44">
        <f>IF(ISERROR('MASQUE COLLABORATEUR'!AC377),0,'MASQUE COLLABORATEUR'!AC377)</f>
        <v>0</v>
      </c>
      <c r="N44">
        <f>IF(ISERROR('MASQUE COLLABORATEUR'!AC410),0,'MASQUE COLLABORATEUR'!AC410)</f>
        <v>0</v>
      </c>
      <c r="O44">
        <f>IF(ISERROR('MASQUE COLLABORATEUR'!AC443),0,'MASQUE COLLABORATEUR'!AC443)</f>
        <v>0</v>
      </c>
      <c r="P44">
        <f>IF(ISERROR('MASQUE COLLABORATEUR'!AC476),0,'MASQUE COLLABORATEUR'!AC476)</f>
        <v>0</v>
      </c>
      <c r="Q44">
        <f>IF(ISERROR('MASQUE COLLABORATEUR'!AC509),0,'MASQUE COLLABORATEUR'!AC509)</f>
        <v>0</v>
      </c>
      <c r="R44">
        <f>IF(ISERROR('MASQUE COLLABORATEUR'!AC542),0,'MASQUE COLLABORATEUR'!AC542)</f>
        <v>0</v>
      </c>
      <c r="S44">
        <f>IF(ISERROR('MASQUE COLLABORATEUR'!AC575),0,'MASQUE COLLABORATEUR'!AC575)</f>
        <v>0</v>
      </c>
      <c r="T44">
        <f>IF(ISERROR('MASQUE COLLABORATEUR'!AC608),0,'MASQUE COLLABORATEUR'!AC608)</f>
        <v>0</v>
      </c>
      <c r="U44">
        <f>IF(ISERROR('MASQUE COLLABORATEUR'!AC641),0,'MASQUE COLLABORATEUR'!AC641)</f>
        <v>0</v>
      </c>
    </row>
    <row r="45" spans="1:21" x14ac:dyDescent="0.25">
      <c r="A45" s="26" t="s">
        <v>219</v>
      </c>
      <c r="B45">
        <f>IF(ISERROR('MASQUE COLLABORATEUR'!AC15),0,'MASQUE COLLABORATEUR'!AC15)</f>
        <v>0</v>
      </c>
      <c r="C45">
        <f>IF(ISERROR('MASQUE COLLABORATEUR'!AC48),0,'MASQUE COLLABORATEUR'!AC48)</f>
        <v>0</v>
      </c>
      <c r="D45">
        <f>IF(ISERROR('MASQUE COLLABORATEUR'!AC81),0,'MASQUE COLLABORATEUR'!AC81)</f>
        <v>0</v>
      </c>
      <c r="E45">
        <f>IF(ISERROR('MASQUE COLLABORATEUR'!AC114),0,'MASQUE COLLABORATEUR'!AC114)</f>
        <v>0</v>
      </c>
      <c r="F45">
        <f>IF(ISERROR('MASQUE COLLABORATEUR'!AC147),0,'MASQUE COLLABORATEUR'!AC147)</f>
        <v>0</v>
      </c>
      <c r="G45">
        <f>IF(ISERROR('MASQUE COLLABORATEUR'!AC180),0,'MASQUE COLLABORATEUR'!AC180)</f>
        <v>0</v>
      </c>
      <c r="H45">
        <f>IF(ISERROR('MASQUE COLLABORATEUR'!AC213),0,'MASQUE COLLABORATEUR'!AC213)</f>
        <v>0</v>
      </c>
      <c r="I45">
        <f>IF(ISERROR('MASQUE COLLABORATEUR'!AC246),0,'MASQUE COLLABORATEUR'!AC246)</f>
        <v>0</v>
      </c>
      <c r="J45">
        <f>IF(ISERROR('MASQUE COLLABORATEUR'!AC279),0,'MASQUE COLLABORATEUR'!AC279)</f>
        <v>0</v>
      </c>
      <c r="K45">
        <f>IF(ISERROR('MASQUE COLLABORATEUR'!AC312),0,'MASQUE COLLABORATEUR'!AC312)</f>
        <v>0</v>
      </c>
      <c r="L45">
        <f>IF(ISERROR('MASQUE COLLABORATEUR'!AC345),0,'MASQUE COLLABORATEUR'!AC345)</f>
        <v>0</v>
      </c>
      <c r="M45">
        <f>IF(ISERROR('MASQUE COLLABORATEUR'!AC378),0,'MASQUE COLLABORATEUR'!AC378)</f>
        <v>0</v>
      </c>
      <c r="N45">
        <f>IF(ISERROR('MASQUE COLLABORATEUR'!AC411),0,'MASQUE COLLABORATEUR'!AC411)</f>
        <v>0</v>
      </c>
      <c r="O45">
        <f>IF(ISERROR('MASQUE COLLABORATEUR'!AC444),0,'MASQUE COLLABORATEUR'!AC444)</f>
        <v>0</v>
      </c>
      <c r="P45">
        <f>IF(ISERROR('MASQUE COLLABORATEUR'!AC477),0,'MASQUE COLLABORATEUR'!AC477)</f>
        <v>0</v>
      </c>
      <c r="Q45">
        <f>IF(ISERROR('MASQUE COLLABORATEUR'!AC510),0,'MASQUE COLLABORATEUR'!AC510)</f>
        <v>0</v>
      </c>
      <c r="R45">
        <f>IF(ISERROR('MASQUE COLLABORATEUR'!AC543),0,'MASQUE COLLABORATEUR'!AC543)</f>
        <v>0</v>
      </c>
      <c r="S45">
        <f>IF(ISERROR('MASQUE COLLABORATEUR'!AC576),0,'MASQUE COLLABORATEUR'!AC576)</f>
        <v>0</v>
      </c>
      <c r="T45">
        <f>IF(ISERROR('MASQUE COLLABORATEUR'!AC609),0,'MASQUE COLLABORATEUR'!AC609)</f>
        <v>0</v>
      </c>
      <c r="U45">
        <f>IF(ISERROR('MASQUE COLLABORATEUR'!AC642),0,'MASQUE COLLABORATEUR'!AC642)</f>
        <v>0</v>
      </c>
    </row>
    <row r="46" spans="1:21" x14ac:dyDescent="0.25">
      <c r="A46" s="26" t="s">
        <v>220</v>
      </c>
      <c r="B46">
        <f>IF(ISERROR('MASQUE COLLABORATEUR'!AC16),0,'MASQUE COLLABORATEUR'!AC16)</f>
        <v>0</v>
      </c>
      <c r="C46">
        <f>IF(ISERROR('MASQUE COLLABORATEUR'!AC49),0,'MASQUE COLLABORATEUR'!AC49)</f>
        <v>0</v>
      </c>
      <c r="D46">
        <f>IF(ISERROR('MASQUE COLLABORATEUR'!AC82),0,'MASQUE COLLABORATEUR'!AC82)</f>
        <v>0</v>
      </c>
      <c r="E46">
        <f>IF(ISERROR('MASQUE COLLABORATEUR'!AC115),0,'MASQUE COLLABORATEUR'!AC115)</f>
        <v>0</v>
      </c>
      <c r="F46">
        <f>IF(ISERROR('MASQUE COLLABORATEUR'!AC148),0,'MASQUE COLLABORATEUR'!AC148)</f>
        <v>0</v>
      </c>
      <c r="G46">
        <f>IF(ISERROR('MASQUE COLLABORATEUR'!AC181),0,'MASQUE COLLABORATEUR'!AC181)</f>
        <v>0</v>
      </c>
      <c r="H46">
        <f>IF(ISERROR('MASQUE COLLABORATEUR'!AC214),0,'MASQUE COLLABORATEUR'!AC214)</f>
        <v>0</v>
      </c>
      <c r="I46">
        <f>IF(ISERROR('MASQUE COLLABORATEUR'!AC247),0,'MASQUE COLLABORATEUR'!AC247)</f>
        <v>0</v>
      </c>
      <c r="J46">
        <f>IF(ISERROR('MASQUE COLLABORATEUR'!AC280),0,'MASQUE COLLABORATEUR'!AC280)</f>
        <v>0</v>
      </c>
      <c r="K46">
        <f>IF(ISERROR('MASQUE COLLABORATEUR'!AC313),0,'MASQUE COLLABORATEUR'!AC313)</f>
        <v>0</v>
      </c>
      <c r="L46">
        <f>IF(ISERROR('MASQUE COLLABORATEUR'!AC346),0,'MASQUE COLLABORATEUR'!AC346)</f>
        <v>0</v>
      </c>
      <c r="M46">
        <f>IF(ISERROR('MASQUE COLLABORATEUR'!AC379),0,'MASQUE COLLABORATEUR'!AC379)</f>
        <v>0</v>
      </c>
      <c r="N46">
        <f>IF(ISERROR('MASQUE COLLABORATEUR'!AC412),0,'MASQUE COLLABORATEUR'!AC412)</f>
        <v>0</v>
      </c>
      <c r="O46">
        <f>IF(ISERROR('MASQUE COLLABORATEUR'!AC445),0,'MASQUE COLLABORATEUR'!AC445)</f>
        <v>0</v>
      </c>
      <c r="P46">
        <f>IF(ISERROR('MASQUE COLLABORATEUR'!AC478),0,'MASQUE COLLABORATEUR'!AC478)</f>
        <v>0</v>
      </c>
      <c r="Q46">
        <f>IF(ISERROR('MASQUE COLLABORATEUR'!AC511),0,'MASQUE COLLABORATEUR'!AC511)</f>
        <v>0</v>
      </c>
      <c r="R46">
        <f>IF(ISERROR('MASQUE COLLABORATEUR'!AC544),0,'MASQUE COLLABORATEUR'!AC544)</f>
        <v>0</v>
      </c>
      <c r="S46">
        <f>IF(ISERROR('MASQUE COLLABORATEUR'!AC577),0,'MASQUE COLLABORATEUR'!AC577)</f>
        <v>0</v>
      </c>
      <c r="T46">
        <f>IF(ISERROR('MASQUE COLLABORATEUR'!AC610),0,'MASQUE COLLABORATEUR'!AC610)</f>
        <v>0</v>
      </c>
      <c r="U46">
        <f>IF(ISERROR('MASQUE COLLABORATEUR'!AC643),0,'MASQUE COLLABORATEUR'!AC643)</f>
        <v>0</v>
      </c>
    </row>
    <row r="47" spans="1:21" x14ac:dyDescent="0.25">
      <c r="A47" s="26" t="s">
        <v>220</v>
      </c>
      <c r="B47">
        <f>IF(ISERROR('MASQUE COLLABORATEUR'!AC17),0,'MASQUE COLLABORATEUR'!AC17)</f>
        <v>0</v>
      </c>
      <c r="C47">
        <f>IF(ISERROR('MASQUE COLLABORATEUR'!AC50),0,'MASQUE COLLABORATEUR'!AC50)</f>
        <v>0</v>
      </c>
      <c r="D47">
        <f>IF(ISERROR('MASQUE COLLABORATEUR'!AC83),0,'MASQUE COLLABORATEUR'!AC83)</f>
        <v>0</v>
      </c>
      <c r="E47">
        <f>IF(ISERROR('MASQUE COLLABORATEUR'!AC116),0,'MASQUE COLLABORATEUR'!AC116)</f>
        <v>0</v>
      </c>
      <c r="F47">
        <f>IF(ISERROR('MASQUE COLLABORATEUR'!AC149),0,'MASQUE COLLABORATEUR'!AC149)</f>
        <v>0</v>
      </c>
      <c r="G47">
        <f>IF(ISERROR('MASQUE COLLABORATEUR'!AC182),0,'MASQUE COLLABORATEUR'!AC182)</f>
        <v>0</v>
      </c>
      <c r="H47">
        <f>IF(ISERROR('MASQUE COLLABORATEUR'!AC215),0,'MASQUE COLLABORATEUR'!AC215)</f>
        <v>0</v>
      </c>
      <c r="I47">
        <f>IF(ISERROR('MASQUE COLLABORATEUR'!AC248),0,'MASQUE COLLABORATEUR'!AC248)</f>
        <v>0</v>
      </c>
      <c r="J47">
        <f>IF(ISERROR('MASQUE COLLABORATEUR'!AC281),0,'MASQUE COLLABORATEUR'!AC281)</f>
        <v>0</v>
      </c>
      <c r="K47">
        <f>IF(ISERROR('MASQUE COLLABORATEUR'!AC314),0,'MASQUE COLLABORATEUR'!AC314)</f>
        <v>0</v>
      </c>
      <c r="L47">
        <f>IF(ISERROR('MASQUE COLLABORATEUR'!AC347),0,'MASQUE COLLABORATEUR'!AC347)</f>
        <v>0</v>
      </c>
      <c r="M47">
        <f>IF(ISERROR('MASQUE COLLABORATEUR'!AC380),0,'MASQUE COLLABORATEUR'!AC380)</f>
        <v>0</v>
      </c>
      <c r="N47">
        <f>IF(ISERROR('MASQUE COLLABORATEUR'!AC413),0,'MASQUE COLLABORATEUR'!AC413)</f>
        <v>0</v>
      </c>
      <c r="O47">
        <f>IF(ISERROR('MASQUE COLLABORATEUR'!AC446),0,'MASQUE COLLABORATEUR'!AC446)</f>
        <v>0</v>
      </c>
      <c r="P47">
        <f>IF(ISERROR('MASQUE COLLABORATEUR'!AC479),0,'MASQUE COLLABORATEUR'!AC479)</f>
        <v>0</v>
      </c>
      <c r="Q47">
        <f>IF(ISERROR('MASQUE COLLABORATEUR'!AC512),0,'MASQUE COLLABORATEUR'!AC512)</f>
        <v>0</v>
      </c>
      <c r="R47">
        <f>IF(ISERROR('MASQUE COLLABORATEUR'!AC545),0,'MASQUE COLLABORATEUR'!AC545)</f>
        <v>0</v>
      </c>
      <c r="S47">
        <f>IF(ISERROR('MASQUE COLLABORATEUR'!AC578),0,'MASQUE COLLABORATEUR'!AC578)</f>
        <v>0</v>
      </c>
      <c r="T47">
        <f>IF(ISERROR('MASQUE COLLABORATEUR'!AC611),0,'MASQUE COLLABORATEUR'!AC611)</f>
        <v>0</v>
      </c>
      <c r="U47">
        <f>IF(ISERROR('MASQUE COLLABORATEUR'!AC644),0,'MASQUE COLLABORATEUR'!AC644)</f>
        <v>0</v>
      </c>
    </row>
    <row r="48" spans="1:21" x14ac:dyDescent="0.25">
      <c r="A48" s="26" t="s">
        <v>224</v>
      </c>
      <c r="B48">
        <f>IF(ISERROR('MASQUE COLLABORATEUR'!AC18),0,'MASQUE COLLABORATEUR'!AC18)</f>
        <v>0</v>
      </c>
      <c r="C48">
        <f>IF(ISERROR('MASQUE COLLABORATEUR'!AC51),0,'MASQUE COLLABORATEUR'!AC51)</f>
        <v>0</v>
      </c>
      <c r="D48">
        <f>IF(ISERROR('MASQUE COLLABORATEUR'!AC84),0,'MASQUE COLLABORATEUR'!AC84)</f>
        <v>0</v>
      </c>
      <c r="E48">
        <f>IF(ISERROR('MASQUE COLLABORATEUR'!AC117),0,'MASQUE COLLABORATEUR'!AC117)</f>
        <v>0</v>
      </c>
      <c r="F48">
        <f>IF(ISERROR('MASQUE COLLABORATEUR'!AC150),0,'MASQUE COLLABORATEUR'!AC150)</f>
        <v>0</v>
      </c>
      <c r="G48">
        <f>IF(ISERROR('MASQUE COLLABORATEUR'!AC183),0,'MASQUE COLLABORATEUR'!AC183)</f>
        <v>0</v>
      </c>
      <c r="H48">
        <f>IF(ISERROR('MASQUE COLLABORATEUR'!AC216),0,'MASQUE COLLABORATEUR'!AC216)</f>
        <v>0</v>
      </c>
      <c r="I48">
        <f>IF(ISERROR('MASQUE COLLABORATEUR'!AC249),0,'MASQUE COLLABORATEUR'!AC249)</f>
        <v>0</v>
      </c>
      <c r="J48">
        <f>IF(ISERROR('MASQUE COLLABORATEUR'!AC282),0,'MASQUE COLLABORATEUR'!AC282)</f>
        <v>0</v>
      </c>
      <c r="K48">
        <f>IF(ISERROR('MASQUE COLLABORATEUR'!AC315),0,'MASQUE COLLABORATEUR'!AC315)</f>
        <v>0</v>
      </c>
      <c r="L48">
        <f>IF(ISERROR('MASQUE COLLABORATEUR'!AC348),0,'MASQUE COLLABORATEUR'!AC348)</f>
        <v>0</v>
      </c>
      <c r="M48">
        <f>IF(ISERROR('MASQUE COLLABORATEUR'!AC381),0,'MASQUE COLLABORATEUR'!AC381)</f>
        <v>0</v>
      </c>
      <c r="N48">
        <f>IF(ISERROR('MASQUE COLLABORATEUR'!AC414),0,'MASQUE COLLABORATEUR'!AC414)</f>
        <v>0</v>
      </c>
      <c r="O48">
        <f>IF(ISERROR('MASQUE COLLABORATEUR'!AC447),0,'MASQUE COLLABORATEUR'!AC447)</f>
        <v>0</v>
      </c>
      <c r="P48">
        <f>IF(ISERROR('MASQUE COLLABORATEUR'!AC480),0,'MASQUE COLLABORATEUR'!AC480)</f>
        <v>0</v>
      </c>
      <c r="Q48">
        <f>IF(ISERROR('MASQUE COLLABORATEUR'!AC513),0,'MASQUE COLLABORATEUR'!AC513)</f>
        <v>0</v>
      </c>
      <c r="R48">
        <f>IF(ISERROR('MASQUE COLLABORATEUR'!AC546),0,'MASQUE COLLABORATEUR'!AC546)</f>
        <v>0</v>
      </c>
      <c r="S48">
        <f>IF(ISERROR('MASQUE COLLABORATEUR'!AC579),0,'MASQUE COLLABORATEUR'!AC579)</f>
        <v>0</v>
      </c>
      <c r="T48">
        <f>IF(ISERROR('MASQUE COLLABORATEUR'!AC612),0,'MASQUE COLLABORATEUR'!AC612)</f>
        <v>0</v>
      </c>
      <c r="U48">
        <f>IF(ISERROR('MASQUE COLLABORATEUR'!AC645),0,'MASQUE COLLABORATEUR'!AC645)</f>
        <v>0</v>
      </c>
    </row>
    <row r="49" spans="1:21" x14ac:dyDescent="0.25">
      <c r="A49" s="26" t="s">
        <v>267</v>
      </c>
      <c r="B49">
        <f>IF(ISERROR('MASQUE COLLABORATEUR'!AC19),0,'MASQUE COLLABORATEUR'!AC19)</f>
        <v>0</v>
      </c>
      <c r="C49">
        <f>IF(ISERROR('MASQUE COLLABORATEUR'!AC52),0,'MASQUE COLLABORATEUR'!AC52)</f>
        <v>0</v>
      </c>
      <c r="D49">
        <f>IF(ISERROR('MASQUE COLLABORATEUR'!AC85),0,'MASQUE COLLABORATEUR'!AC85)</f>
        <v>0</v>
      </c>
      <c r="E49">
        <f>IF(ISERROR('MASQUE COLLABORATEUR'!AC118),0,'MASQUE COLLABORATEUR'!AC118)</f>
        <v>0</v>
      </c>
      <c r="F49">
        <f>IF(ISERROR('MASQUE COLLABORATEUR'!AC151),0,'MASQUE COLLABORATEUR'!AC151)</f>
        <v>0</v>
      </c>
      <c r="G49">
        <f>IF(ISERROR('MASQUE COLLABORATEUR'!AC184),0,'MASQUE COLLABORATEUR'!AC184)</f>
        <v>0</v>
      </c>
      <c r="H49">
        <f>IF(ISERROR('MASQUE COLLABORATEUR'!AC217),0,'MASQUE COLLABORATEUR'!AC217)</f>
        <v>0</v>
      </c>
      <c r="I49">
        <f>IF(ISERROR('MASQUE COLLABORATEUR'!AC250),0,'MASQUE COLLABORATEUR'!AC250)</f>
        <v>0</v>
      </c>
      <c r="J49">
        <f>IF(ISERROR('MASQUE COLLABORATEUR'!AC283),0,'MASQUE COLLABORATEUR'!AC283)</f>
        <v>0</v>
      </c>
      <c r="K49">
        <f>IF(ISERROR('MASQUE COLLABORATEUR'!AC316),0,'MASQUE COLLABORATEUR'!AC316)</f>
        <v>0</v>
      </c>
      <c r="L49">
        <f>IF(ISERROR('MASQUE COLLABORATEUR'!AC349),0,'MASQUE COLLABORATEUR'!AC349)</f>
        <v>0</v>
      </c>
      <c r="M49">
        <f>IF(ISERROR('MASQUE COLLABORATEUR'!AC382),0,'MASQUE COLLABORATEUR'!AC382)</f>
        <v>0</v>
      </c>
      <c r="N49">
        <f>IF(ISERROR('MASQUE COLLABORATEUR'!AC415),0,'MASQUE COLLABORATEUR'!AC415)</f>
        <v>0</v>
      </c>
      <c r="O49">
        <f>IF(ISERROR('MASQUE COLLABORATEUR'!AC448),0,'MASQUE COLLABORATEUR'!AC448)</f>
        <v>0</v>
      </c>
      <c r="P49">
        <f>IF(ISERROR('MASQUE COLLABORATEUR'!AC481),0,'MASQUE COLLABORATEUR'!AC481)</f>
        <v>0</v>
      </c>
      <c r="Q49">
        <f>IF(ISERROR('MASQUE COLLABORATEUR'!AC514),0,'MASQUE COLLABORATEUR'!AC514)</f>
        <v>0</v>
      </c>
      <c r="R49">
        <f>IF(ISERROR('MASQUE COLLABORATEUR'!AC547),0,'MASQUE COLLABORATEUR'!AC547)</f>
        <v>0</v>
      </c>
      <c r="S49">
        <f>IF(ISERROR('MASQUE COLLABORATEUR'!AC580),0,'MASQUE COLLABORATEUR'!AC580)</f>
        <v>0</v>
      </c>
      <c r="T49">
        <f>IF(ISERROR('MASQUE COLLABORATEUR'!AC613),0,'MASQUE COLLABORATEUR'!AC613)</f>
        <v>0</v>
      </c>
      <c r="U49">
        <f>IF(ISERROR('MASQUE COLLABORATEUR'!AC646),0,'MASQUE COLLABORATEUR'!AC646)</f>
        <v>0</v>
      </c>
    </row>
    <row r="50" spans="1:21" x14ac:dyDescent="0.25">
      <c r="A50" s="26" t="s">
        <v>268</v>
      </c>
      <c r="B50">
        <f>IF(ISERROR('MASQUE COLLABORATEUR'!AC20),0,'MASQUE COLLABORATEUR'!AC20)</f>
        <v>0</v>
      </c>
      <c r="C50">
        <f>IF(ISERROR('MASQUE COLLABORATEUR'!AC53),0,'MASQUE COLLABORATEUR'!AC53)</f>
        <v>0</v>
      </c>
      <c r="D50">
        <f>IF(ISERROR('MASQUE COLLABORATEUR'!AC86),0,'MASQUE COLLABORATEUR'!AC86)</f>
        <v>0</v>
      </c>
      <c r="E50">
        <f>IF(ISERROR('MASQUE COLLABORATEUR'!AC119),0,'MASQUE COLLABORATEUR'!AC119)</f>
        <v>0</v>
      </c>
      <c r="F50">
        <f>IF(ISERROR('MASQUE COLLABORATEUR'!AC152),0,'MASQUE COLLABORATEUR'!AC152)</f>
        <v>0</v>
      </c>
      <c r="G50">
        <f>IF(ISERROR('MASQUE COLLABORATEUR'!AC185),0,'MASQUE COLLABORATEUR'!AC185)</f>
        <v>0</v>
      </c>
      <c r="H50">
        <f>IF(ISERROR('MASQUE COLLABORATEUR'!AC218),0,'MASQUE COLLABORATEUR'!AC218)</f>
        <v>0</v>
      </c>
      <c r="I50">
        <f>IF(ISERROR('MASQUE COLLABORATEUR'!AC251),0,'MASQUE COLLABORATEUR'!AC251)</f>
        <v>0</v>
      </c>
      <c r="J50">
        <f>IF(ISERROR('MASQUE COLLABORATEUR'!AC284),0,'MASQUE COLLABORATEUR'!AC284)</f>
        <v>0</v>
      </c>
      <c r="K50">
        <f>IF(ISERROR('MASQUE COLLABORATEUR'!AC317),0,'MASQUE COLLABORATEUR'!AC317)</f>
        <v>0</v>
      </c>
      <c r="L50">
        <f>IF(ISERROR('MASQUE COLLABORATEUR'!AC350),0,'MASQUE COLLABORATEUR'!AC350)</f>
        <v>0</v>
      </c>
      <c r="M50">
        <f>IF(ISERROR('MASQUE COLLABORATEUR'!AC383),0,'MASQUE COLLABORATEUR'!AC383)</f>
        <v>0</v>
      </c>
      <c r="N50">
        <f>IF(ISERROR('MASQUE COLLABORATEUR'!AC416),0,'MASQUE COLLABORATEUR'!AC416)</f>
        <v>0</v>
      </c>
      <c r="O50">
        <f>IF(ISERROR('MASQUE COLLABORATEUR'!AC449),0,'MASQUE COLLABORATEUR'!AC449)</f>
        <v>0</v>
      </c>
      <c r="P50">
        <f>IF(ISERROR('MASQUE COLLABORATEUR'!AC482),0,'MASQUE COLLABORATEUR'!AC482)</f>
        <v>0</v>
      </c>
      <c r="Q50">
        <f>IF(ISERROR('MASQUE COLLABORATEUR'!AC515),0,'MASQUE COLLABORATEUR'!AC515)</f>
        <v>0</v>
      </c>
      <c r="R50">
        <f>IF(ISERROR('MASQUE COLLABORATEUR'!AC548),0,'MASQUE COLLABORATEUR'!AC548)</f>
        <v>0</v>
      </c>
      <c r="S50">
        <f>IF(ISERROR('MASQUE COLLABORATEUR'!AC581),0,'MASQUE COLLABORATEUR'!AC581)</f>
        <v>0</v>
      </c>
      <c r="T50">
        <f>IF(ISERROR('MASQUE COLLABORATEUR'!AC614),0,'MASQUE COLLABORATEUR'!AC614)</f>
        <v>0</v>
      </c>
      <c r="U50">
        <f>IF(ISERROR('MASQUE COLLABORATEUR'!AC647),0,'MASQUE COLLABORATEUR'!AC647)</f>
        <v>0</v>
      </c>
    </row>
    <row r="51" spans="1:21" x14ac:dyDescent="0.25">
      <c r="A51" s="26" t="s">
        <v>269</v>
      </c>
      <c r="B51">
        <f>IF(ISERROR('MASQUE COLLABORATEUR'!AC21),0,'MASQUE COLLABORATEUR'!AC21)</f>
        <v>0</v>
      </c>
      <c r="C51">
        <f>IF(ISERROR('MASQUE COLLABORATEUR'!AC54),0,'MASQUE COLLABORATEUR'!AC54)</f>
        <v>0</v>
      </c>
      <c r="D51">
        <f>IF(ISERROR('MASQUE COLLABORATEUR'!AC87),0,'MASQUE COLLABORATEUR'!AC87)</f>
        <v>0</v>
      </c>
      <c r="E51">
        <f>IF(ISERROR('MASQUE COLLABORATEUR'!AC120),0,'MASQUE COLLABORATEUR'!AC120)</f>
        <v>0</v>
      </c>
      <c r="F51">
        <f>IF(ISERROR('MASQUE COLLABORATEUR'!AC153),0,'MASQUE COLLABORATEUR'!AC153)</f>
        <v>0</v>
      </c>
      <c r="G51">
        <f>IF(ISERROR('MASQUE COLLABORATEUR'!AC186),0,'MASQUE COLLABORATEUR'!AC186)</f>
        <v>0</v>
      </c>
      <c r="H51">
        <f>IF(ISERROR('MASQUE COLLABORATEUR'!AC219),0,'MASQUE COLLABORATEUR'!AC219)</f>
        <v>0</v>
      </c>
      <c r="I51">
        <f>IF(ISERROR('MASQUE COLLABORATEUR'!AC252),0,'MASQUE COLLABORATEUR'!AC252)</f>
        <v>0</v>
      </c>
      <c r="J51">
        <f>IF(ISERROR('MASQUE COLLABORATEUR'!AC285),0,'MASQUE COLLABORATEUR'!AC285)</f>
        <v>0</v>
      </c>
      <c r="K51">
        <f>IF(ISERROR('MASQUE COLLABORATEUR'!AC318),0,'MASQUE COLLABORATEUR'!AC318)</f>
        <v>0</v>
      </c>
      <c r="L51">
        <f>IF(ISERROR('MASQUE COLLABORATEUR'!AC351),0,'MASQUE COLLABORATEUR'!AC351)</f>
        <v>0</v>
      </c>
      <c r="M51">
        <f>IF(ISERROR('MASQUE COLLABORATEUR'!AC384),0,'MASQUE COLLABORATEUR'!AC384)</f>
        <v>0</v>
      </c>
      <c r="N51">
        <f>IF(ISERROR('MASQUE COLLABORATEUR'!AC417),0,'MASQUE COLLABORATEUR'!AC417)</f>
        <v>0</v>
      </c>
      <c r="O51">
        <f>IF(ISERROR('MASQUE COLLABORATEUR'!AC450),0,'MASQUE COLLABORATEUR'!AC450)</f>
        <v>0</v>
      </c>
      <c r="P51">
        <f>IF(ISERROR('MASQUE COLLABORATEUR'!AC483),0,'MASQUE COLLABORATEUR'!AC483)</f>
        <v>0</v>
      </c>
      <c r="Q51">
        <f>IF(ISERROR('MASQUE COLLABORATEUR'!AC516),0,'MASQUE COLLABORATEUR'!AC516)</f>
        <v>0</v>
      </c>
      <c r="R51">
        <f>IF(ISERROR('MASQUE COLLABORATEUR'!AC549),0,'MASQUE COLLABORATEUR'!AC549)</f>
        <v>0</v>
      </c>
      <c r="S51">
        <f>IF(ISERROR('MASQUE COLLABORATEUR'!AC582),0,'MASQUE COLLABORATEUR'!AC582)</f>
        <v>0</v>
      </c>
      <c r="T51">
        <f>IF(ISERROR('MASQUE COLLABORATEUR'!AC615),0,'MASQUE COLLABORATEUR'!AC615)</f>
        <v>0</v>
      </c>
      <c r="U51">
        <f>IF(ISERROR('MASQUE COLLABORATEUR'!AC648),0,'MASQUE COLLABORATEUR'!AC648)</f>
        <v>0</v>
      </c>
    </row>
    <row r="52" spans="1:21" x14ac:dyDescent="0.25">
      <c r="A52" s="26" t="s">
        <v>270</v>
      </c>
      <c r="B52">
        <f>IF(ISERROR('MASQUE COLLABORATEUR'!AC22),0,'MASQUE COLLABORATEUR'!AC22)</f>
        <v>0</v>
      </c>
      <c r="C52">
        <f>IF(ISERROR('MASQUE COLLABORATEUR'!AC55),0,'MASQUE COLLABORATEUR'!AC55)</f>
        <v>0</v>
      </c>
      <c r="D52">
        <f>IF(ISERROR('MASQUE COLLABORATEUR'!AC88),0,'MASQUE COLLABORATEUR'!AC88)</f>
        <v>0</v>
      </c>
      <c r="E52">
        <f>IF(ISERROR('MASQUE COLLABORATEUR'!AC121),0,'MASQUE COLLABORATEUR'!AC121)</f>
        <v>0</v>
      </c>
      <c r="F52">
        <f>IF(ISERROR('MASQUE COLLABORATEUR'!AC154),0,'MASQUE COLLABORATEUR'!AC154)</f>
        <v>0</v>
      </c>
      <c r="G52">
        <f>IF(ISERROR('MASQUE COLLABORATEUR'!AC187),0,'MASQUE COLLABORATEUR'!AC187)</f>
        <v>0</v>
      </c>
      <c r="H52">
        <f>IF(ISERROR('MASQUE COLLABORATEUR'!AC220),0,'MASQUE COLLABORATEUR'!AC220)</f>
        <v>0</v>
      </c>
      <c r="I52">
        <f>IF(ISERROR('MASQUE COLLABORATEUR'!AC253),0,'MASQUE COLLABORATEUR'!AC253)</f>
        <v>0</v>
      </c>
      <c r="J52">
        <f>IF(ISERROR('MASQUE COLLABORATEUR'!AC286),0,'MASQUE COLLABORATEUR'!AC286)</f>
        <v>0</v>
      </c>
      <c r="K52">
        <f>IF(ISERROR('MASQUE COLLABORATEUR'!AC319),0,'MASQUE COLLABORATEUR'!AC319)</f>
        <v>0</v>
      </c>
      <c r="L52">
        <f>IF(ISERROR('MASQUE COLLABORATEUR'!AC352),0,'MASQUE COLLABORATEUR'!AC352)</f>
        <v>0</v>
      </c>
      <c r="M52">
        <f>IF(ISERROR('MASQUE COLLABORATEUR'!AC385),0,'MASQUE COLLABORATEUR'!AC385)</f>
        <v>0</v>
      </c>
      <c r="N52">
        <f>IF(ISERROR('MASQUE COLLABORATEUR'!AC418),0,'MASQUE COLLABORATEUR'!AC418)</f>
        <v>0</v>
      </c>
      <c r="O52">
        <f>IF(ISERROR('MASQUE COLLABORATEUR'!AC451),0,'MASQUE COLLABORATEUR'!AC451)</f>
        <v>0</v>
      </c>
      <c r="P52">
        <f>IF(ISERROR('MASQUE COLLABORATEUR'!AC484),0,'MASQUE COLLABORATEUR'!AC484)</f>
        <v>0</v>
      </c>
      <c r="Q52">
        <f>IF(ISERROR('MASQUE COLLABORATEUR'!AC517),0,'MASQUE COLLABORATEUR'!AC517)</f>
        <v>0</v>
      </c>
      <c r="R52">
        <f>IF(ISERROR('MASQUE COLLABORATEUR'!AC550),0,'MASQUE COLLABORATEUR'!AC550)</f>
        <v>0</v>
      </c>
      <c r="S52">
        <f>IF(ISERROR('MASQUE COLLABORATEUR'!AC583),0,'MASQUE COLLABORATEUR'!AC583)</f>
        <v>0</v>
      </c>
      <c r="T52">
        <f>IF(ISERROR('MASQUE COLLABORATEUR'!AC616),0,'MASQUE COLLABORATEUR'!AC616)</f>
        <v>0</v>
      </c>
      <c r="U52">
        <f>IF(ISERROR('MASQUE COLLABORATEUR'!AC649),0,'MASQUE COLLABORATEUR'!AC649)</f>
        <v>0</v>
      </c>
    </row>
    <row r="53" spans="1:21" x14ac:dyDescent="0.25">
      <c r="A53" s="26" t="s">
        <v>271</v>
      </c>
      <c r="B53">
        <f>IF(ISERROR('MASQUE COLLABORATEUR'!AC23),0,'MASQUE COLLABORATEUR'!AC23)</f>
        <v>0</v>
      </c>
      <c r="C53">
        <f>IF(ISERROR('MASQUE COLLABORATEUR'!AC56),0,'MASQUE COLLABORATEUR'!AC56)</f>
        <v>0</v>
      </c>
      <c r="D53">
        <f>IF(ISERROR('MASQUE COLLABORATEUR'!AC89),0,'MASQUE COLLABORATEUR'!AC89)</f>
        <v>0</v>
      </c>
      <c r="E53">
        <f>IF(ISERROR('MASQUE COLLABORATEUR'!AC122),0,'MASQUE COLLABORATEUR'!AC122)</f>
        <v>0</v>
      </c>
      <c r="F53">
        <f>IF(ISERROR('MASQUE COLLABORATEUR'!AC155),0,'MASQUE COLLABORATEUR'!AC155)</f>
        <v>0</v>
      </c>
      <c r="G53">
        <f>IF(ISERROR('MASQUE COLLABORATEUR'!AC188),0,'MASQUE COLLABORATEUR'!AC188)</f>
        <v>0</v>
      </c>
      <c r="H53">
        <f>IF(ISERROR('MASQUE COLLABORATEUR'!AC221),0,'MASQUE COLLABORATEUR'!AC221)</f>
        <v>0</v>
      </c>
      <c r="I53">
        <f>IF(ISERROR('MASQUE COLLABORATEUR'!AC254),0,'MASQUE COLLABORATEUR'!AC254)</f>
        <v>0</v>
      </c>
      <c r="J53">
        <f>IF(ISERROR('MASQUE COLLABORATEUR'!AC287),0,'MASQUE COLLABORATEUR'!AC287)</f>
        <v>0</v>
      </c>
      <c r="K53">
        <f>IF(ISERROR('MASQUE COLLABORATEUR'!AC320),0,'MASQUE COLLABORATEUR'!AC320)</f>
        <v>0</v>
      </c>
      <c r="L53">
        <f>IF(ISERROR('MASQUE COLLABORATEUR'!AC353),0,'MASQUE COLLABORATEUR'!AC353)</f>
        <v>0</v>
      </c>
      <c r="M53">
        <f>IF(ISERROR('MASQUE COLLABORATEUR'!AC386),0,'MASQUE COLLABORATEUR'!AC386)</f>
        <v>0</v>
      </c>
      <c r="N53">
        <f>IF(ISERROR('MASQUE COLLABORATEUR'!AC419),0,'MASQUE COLLABORATEUR'!AC419)</f>
        <v>0</v>
      </c>
      <c r="O53">
        <f>IF(ISERROR('MASQUE COLLABORATEUR'!AC452),0,'MASQUE COLLABORATEUR'!AC452)</f>
        <v>0</v>
      </c>
      <c r="P53">
        <f>IF(ISERROR('MASQUE COLLABORATEUR'!AC485),0,'MASQUE COLLABORATEUR'!AC485)</f>
        <v>0</v>
      </c>
      <c r="Q53">
        <f>IF(ISERROR('MASQUE COLLABORATEUR'!AC518),0,'MASQUE COLLABORATEUR'!AC518)</f>
        <v>0</v>
      </c>
      <c r="R53">
        <f>IF(ISERROR('MASQUE COLLABORATEUR'!AC551),0,'MASQUE COLLABORATEUR'!AC551)</f>
        <v>0</v>
      </c>
      <c r="S53">
        <f>IF(ISERROR('MASQUE COLLABORATEUR'!AC584),0,'MASQUE COLLABORATEUR'!AC584)</f>
        <v>0</v>
      </c>
      <c r="T53">
        <f>IF(ISERROR('MASQUE COLLABORATEUR'!AC617),0,'MASQUE COLLABORATEUR'!AC617)</f>
        <v>0</v>
      </c>
      <c r="U53">
        <f>IF(ISERROR('MASQUE COLLABORATEUR'!AC650),0,'MASQUE COLLABORATEUR'!AC650)</f>
        <v>0</v>
      </c>
    </row>
    <row r="54" spans="1:21" x14ac:dyDescent="0.25">
      <c r="A54" s="26" t="s">
        <v>316</v>
      </c>
      <c r="B54">
        <f>IF(ISERROR('MASQUE COLLABORATEUR'!AC24),0,'MASQUE COLLABORATEUR'!AC24)</f>
        <v>0</v>
      </c>
      <c r="C54">
        <f>IF(ISERROR('MASQUE COLLABORATEUR'!AC57),0,'MASQUE COLLABORATEUR'!AC57)</f>
        <v>0</v>
      </c>
      <c r="D54">
        <f>IF(ISERROR('MASQUE COLLABORATEUR'!AC90),0,'MASQUE COLLABORATEUR'!AC90)</f>
        <v>0</v>
      </c>
      <c r="E54">
        <f>IF(ISERROR('MASQUE COLLABORATEUR'!AC123),0,'MASQUE COLLABORATEUR'!AC123)</f>
        <v>0</v>
      </c>
      <c r="F54">
        <f>IF(ISERROR('MASQUE COLLABORATEUR'!AC156),0,'MASQUE COLLABORATEUR'!AC156)</f>
        <v>0</v>
      </c>
      <c r="G54">
        <f>IF(ISERROR('MASQUE COLLABORATEUR'!AC189),0,'MASQUE COLLABORATEUR'!AC189)</f>
        <v>0</v>
      </c>
      <c r="H54">
        <f>IF(ISERROR('MASQUE COLLABORATEUR'!AC222),0,'MASQUE COLLABORATEUR'!AC222)</f>
        <v>0</v>
      </c>
      <c r="I54">
        <f>IF(ISERROR('MASQUE COLLABORATEUR'!AC255),0,'MASQUE COLLABORATEUR'!AC255)</f>
        <v>0</v>
      </c>
      <c r="J54">
        <f>IF(ISERROR('MASQUE COLLABORATEUR'!AC288),0,'MASQUE COLLABORATEUR'!AC288)</f>
        <v>0</v>
      </c>
      <c r="K54">
        <f>IF(ISERROR('MASQUE COLLABORATEUR'!AC321),0,'MASQUE COLLABORATEUR'!AC321)</f>
        <v>0</v>
      </c>
      <c r="L54">
        <f>IF(ISERROR('MASQUE COLLABORATEUR'!AC354),0,'MASQUE COLLABORATEUR'!AC354)</f>
        <v>0</v>
      </c>
      <c r="M54">
        <f>IF(ISERROR('MASQUE COLLABORATEUR'!AC387),0,'MASQUE COLLABORATEUR'!AC387)</f>
        <v>0</v>
      </c>
      <c r="N54">
        <f>IF(ISERROR('MASQUE COLLABORATEUR'!AC420),0,'MASQUE COLLABORATEUR'!AC420)</f>
        <v>0</v>
      </c>
      <c r="O54">
        <f>IF(ISERROR('MASQUE COLLABORATEUR'!AC453),0,'MASQUE COLLABORATEUR'!AC453)</f>
        <v>0</v>
      </c>
      <c r="P54">
        <f>IF(ISERROR('MASQUE COLLABORATEUR'!AC486),0,'MASQUE COLLABORATEUR'!AC486)</f>
        <v>0</v>
      </c>
      <c r="Q54">
        <f>IF(ISERROR('MASQUE COLLABORATEUR'!AC519),0,'MASQUE COLLABORATEUR'!AC519)</f>
        <v>0</v>
      </c>
      <c r="R54">
        <f>IF(ISERROR('MASQUE COLLABORATEUR'!AC552),0,'MASQUE COLLABORATEUR'!AC552)</f>
        <v>0</v>
      </c>
      <c r="S54">
        <f>IF(ISERROR('MASQUE COLLABORATEUR'!AC585),0,'MASQUE COLLABORATEUR'!AC585)</f>
        <v>0</v>
      </c>
      <c r="T54">
        <f>IF(ISERROR('MASQUE COLLABORATEUR'!AC618),0,'MASQUE COLLABORATEUR'!AC618)</f>
        <v>0</v>
      </c>
      <c r="U54">
        <f>IF(ISERROR('MASQUE COLLABORATEUR'!AC651),0,'MASQUE COLLABORATEUR'!AC651)</f>
        <v>0</v>
      </c>
    </row>
    <row r="56" spans="1:21" x14ac:dyDescent="0.25">
      <c r="A56" s="321" t="s">
        <v>263</v>
      </c>
      <c r="B56" s="1" t="s">
        <v>4</v>
      </c>
      <c r="C56" s="2"/>
      <c r="D56" s="2"/>
      <c r="E56" s="2"/>
      <c r="F56" s="2"/>
      <c r="G56" s="2"/>
      <c r="H56" s="2"/>
      <c r="I56" s="2"/>
      <c r="J56" s="2"/>
    </row>
    <row r="57" spans="1:21" x14ac:dyDescent="0.25">
      <c r="A57" s="321"/>
      <c r="B57" t="s">
        <v>6</v>
      </c>
      <c r="C57" t="s">
        <v>57</v>
      </c>
      <c r="D57" t="s">
        <v>11</v>
      </c>
      <c r="E57" t="s">
        <v>12</v>
      </c>
      <c r="F57" t="s">
        <v>9</v>
      </c>
      <c r="G57" t="s">
        <v>8</v>
      </c>
      <c r="H57" t="s">
        <v>14</v>
      </c>
      <c r="I57" t="s">
        <v>15</v>
      </c>
      <c r="J57" s="9" t="s">
        <v>554</v>
      </c>
    </row>
    <row r="58" spans="1:21" x14ac:dyDescent="0.25">
      <c r="A58" s="321"/>
      <c r="B58" s="6" t="str">
        <f>IF(B34=0,"",B34)</f>
        <v/>
      </c>
      <c r="C58" t="str">
        <f>IF(ISERROR(HLOOKUP(B58,$B$34:$U$48,2,FALSE)),"",HLOOKUP(B58,$B$34:$U$48,2,FALSE))</f>
        <v/>
      </c>
      <c r="D58" t="str">
        <f>IF(ISERROR(HLOOKUP(B58,$B$34:$U$48,5,FALSE)),"",HLOOKUP(B58,$B$34:$U$48,5,FALSE))</f>
        <v/>
      </c>
      <c r="E58" s="29" t="str">
        <f>IF(ISERROR(VLOOKUP(B58,'Data Base'!$E$3:$M$300,9,FALSE)),"",VLOOKUP(B58,'Data Base'!$E$3:$M$300,9,FALSE))</f>
        <v/>
      </c>
      <c r="F58" t="str">
        <f>IF(ISERROR(HLOOKUP(B58,$B$34:$U$48,6,FALSE)+HLOOKUP(B58,$B$34:$U$48,10,FALSE)),"",HLOOKUP(B58,$B$34:$U$48,6,FALSE)+HLOOKUP(B58,$B$34:$U$48,10,FALSE))</f>
        <v/>
      </c>
      <c r="G58" s="5" t="str">
        <f>IF(ISERROR(VLOOKUP(B58,'Data Base'!$E$3:$M$300,2,FALSE)),"",VLOOKUP(B58,'Data Base'!$E$3:$M$300,2,FALSE))</f>
        <v/>
      </c>
      <c r="H58" t="str">
        <f>IF(ISERROR(HLOOKUP(B58,$B$34:$U$48,8,FALSE)),"",HLOOKUP(B58,$B$34:$U$48,8,FALSE)/2)</f>
        <v/>
      </c>
      <c r="I58" t="str">
        <f>IF(ISERROR(HLOOKUP(B58,$B$34:$U$48,9,FALSE)),"",HLOOKUP(B58,$B$34:$U$48,9,FALSE)/2)</f>
        <v/>
      </c>
      <c r="J58" t="str">
        <f>IF(ISERROR(VLOOKUP(B58,'Data Base'!$E$3:$M$300,5,FALSE)),"",VLOOKUP(B58,'Data Base'!$E$3:$M$300,5,FALSE))</f>
        <v/>
      </c>
    </row>
    <row r="59" spans="1:21" x14ac:dyDescent="0.25">
      <c r="A59" s="321"/>
      <c r="B59" s="6" t="str">
        <f>IF(C34=0,"",C34)</f>
        <v/>
      </c>
      <c r="C59" t="str">
        <f>IF(ISERROR(HLOOKUP(B59,$B$34:$U$48,2,FALSE)),"",HLOOKUP(B59,$B$34:$U$48,2,FALSE))</f>
        <v/>
      </c>
      <c r="D59" t="str">
        <f>IF(ISERROR(HLOOKUP(B59,$B$34:$U$48,5,FALSE)),"",HLOOKUP(B59,$B$34:$U$48,5,FALSE))</f>
        <v/>
      </c>
      <c r="E59" s="29" t="str">
        <f>IF(ISERROR(VLOOKUP(B59,'Data Base'!$E$3:$M$300,9,FALSE)),"",VLOOKUP(B59,'Data Base'!$E$3:$M$300,9,FALSE))</f>
        <v/>
      </c>
      <c r="F59" t="str">
        <f t="shared" ref="F59:F62" si="10">IF(ISERROR(HLOOKUP(B59,$B$34:$U$48,6,FALSE)+HLOOKUP(B59,$B$34:$U$48,10,FALSE)),"",HLOOKUP(B59,$B$34:$U$48,6,FALSE)+HLOOKUP(B59,$B$34:$U$48,10,FALSE))</f>
        <v/>
      </c>
      <c r="G59" s="5" t="str">
        <f>IF(ISERROR(VLOOKUP(B59,'Data Base'!$E$3:$M$300,2,FALSE)),"",VLOOKUP(B59,'Data Base'!$E$3:$M$300,2,FALSE))</f>
        <v/>
      </c>
      <c r="H59" t="str">
        <f>IF(ISERROR(HLOOKUP(B59,$B$34:$U$48,8,FALSE)),"",HLOOKUP(B59,$B$34:$U$48,8,FALSE)/2)</f>
        <v/>
      </c>
      <c r="I59" t="str">
        <f>IF(ISERROR(HLOOKUP(B59,$B$34:$U$48,9,FALSE)),"",HLOOKUP(B59,$B$34:$U$48,9,FALSE)/2)</f>
        <v/>
      </c>
      <c r="J59" t="str">
        <f>IF(ISERROR(VLOOKUP(B59,'Data Base'!$E$3:$M$300,5,FALSE)),"",VLOOKUP(B59,'Data Base'!$E$3:$M$300,5,FALSE))</f>
        <v/>
      </c>
    </row>
    <row r="60" spans="1:21" x14ac:dyDescent="0.25">
      <c r="A60" s="321"/>
      <c r="B60" s="6" t="str">
        <f>IF(D34=0,"",D34)</f>
        <v/>
      </c>
      <c r="C60" t="str">
        <f>IF(ISERROR(HLOOKUP(B60,$B$34:$U$48,2,FALSE)),"",HLOOKUP(B60,$B$34:$U$48,2,FALSE))</f>
        <v/>
      </c>
      <c r="D60" t="str">
        <f>IF(ISERROR(HLOOKUP(B60,$B$34:$U$48,5,FALSE)),"",HLOOKUP(B60,$B$34:$U$48,5,FALSE))</f>
        <v/>
      </c>
      <c r="E60" s="29" t="str">
        <f>IF(ISERROR(VLOOKUP(B60,'Data Base'!$E$3:$M$300,9,FALSE)),"",VLOOKUP(B60,'Data Base'!$E$3:$M$300,9,FALSE))</f>
        <v/>
      </c>
      <c r="F60" t="str">
        <f t="shared" si="10"/>
        <v/>
      </c>
      <c r="G60" s="5" t="str">
        <f>IF(ISERROR(VLOOKUP(B60,'Data Base'!$E$3:$M$300,2,FALSE)),"",VLOOKUP(B60,'Data Base'!$E$3:$M$300,2,FALSE))</f>
        <v/>
      </c>
      <c r="H60" t="str">
        <f>IF(ISERROR(HLOOKUP(B60,$B$34:$U$48,8,FALSE)),"",HLOOKUP(B60,$B$34:$U$48,8,FALSE)/2)</f>
        <v/>
      </c>
      <c r="I60" t="str">
        <f>IF(ISERROR(HLOOKUP(B60,$B$34:$U$48,9,FALSE)),"",HLOOKUP(B60,$B$34:$U$48,9,FALSE)/2)</f>
        <v/>
      </c>
      <c r="J60" t="str">
        <f>IF(ISERROR(VLOOKUP(B60,'Data Base'!$E$3:$M$300,5,FALSE)),"",VLOOKUP(B60,'Data Base'!$E$3:$M$300,5,FALSE))</f>
        <v/>
      </c>
    </row>
    <row r="61" spans="1:21" x14ac:dyDescent="0.25">
      <c r="A61" s="321"/>
      <c r="B61" s="6" t="str">
        <f>IF(E34=0,"",E34)</f>
        <v/>
      </c>
      <c r="C61" t="str">
        <f>IF(ISERROR(HLOOKUP(B61,$B$34:$U$48,2,FALSE)),"",HLOOKUP(B61,$B$34:$U$48,2,FALSE))</f>
        <v/>
      </c>
      <c r="D61" t="str">
        <f>IF(ISERROR(HLOOKUP(B61,$B$34:$U$48,5,FALSE)),"",HLOOKUP(B61,$B$34:$U$48,5,FALSE))</f>
        <v/>
      </c>
      <c r="E61" s="29" t="str">
        <f>IF(ISERROR(VLOOKUP(B61,'Data Base'!$E$3:$M$300,9,FALSE)),"",VLOOKUP(B61,'Data Base'!$E$3:$M$300,9,FALSE))</f>
        <v/>
      </c>
      <c r="F61" t="str">
        <f t="shared" si="10"/>
        <v/>
      </c>
      <c r="G61" s="5" t="str">
        <f>IF(ISERROR(VLOOKUP(B61,'Data Base'!$E$3:$M$300,2,FALSE)),"",VLOOKUP(B61,'Data Base'!$E$3:$M$300,2,FALSE))</f>
        <v/>
      </c>
      <c r="H61" t="str">
        <f>IF(ISERROR(HLOOKUP(B61,$B$34:$U$48,8,FALSE)),"",HLOOKUP(B61,$B$34:$U$48,8,FALSE)/2)</f>
        <v/>
      </c>
      <c r="I61" t="str">
        <f>IF(ISERROR(HLOOKUP(B61,$B$34:$U$48,9,FALSE)),"",HLOOKUP(B61,$B$34:$U$48,9,FALSE)/2)</f>
        <v/>
      </c>
      <c r="J61" t="str">
        <f>IF(ISERROR(VLOOKUP(B61,'Data Base'!$E$3:$M$300,5,FALSE)),"",VLOOKUP(B61,'Data Base'!$E$3:$M$300,5,FALSE))</f>
        <v/>
      </c>
    </row>
    <row r="62" spans="1:21" x14ac:dyDescent="0.25">
      <c r="A62" s="321"/>
      <c r="B62" s="6" t="str">
        <f>IF(F34=0,"",F34)</f>
        <v/>
      </c>
      <c r="C62" t="str">
        <f>IF(ISERROR(HLOOKUP(B62,$B$34:$U$48,2,FALSE)),"",HLOOKUP(B62,$B$34:$U$48,2,FALSE))</f>
        <v/>
      </c>
      <c r="D62" t="str">
        <f>IF(ISERROR(HLOOKUP(B62,$B$34:$U$48,5,FALSE)),"",HLOOKUP(B62,$B$34:$U$48,5,FALSE))</f>
        <v/>
      </c>
      <c r="E62" s="29" t="str">
        <f>IF(ISERROR(VLOOKUP(B62,'Data Base'!$E$3:$M$300,9,FALSE)),"",VLOOKUP(B62,'Data Base'!$E$3:$M$300,9,FALSE))</f>
        <v/>
      </c>
      <c r="F62" t="str">
        <f t="shared" si="10"/>
        <v/>
      </c>
      <c r="G62" s="5" t="str">
        <f>IF(ISERROR(VLOOKUP(B62,'Data Base'!$E$3:$M$300,2,FALSE)),"",VLOOKUP(B62,'Data Base'!$E$3:$M$300,2,FALSE))</f>
        <v/>
      </c>
      <c r="H62" t="str">
        <f>IF(ISERROR(HLOOKUP(B62,$B$34:$U$48,8,FALSE)),"",HLOOKUP(B62,$B$34:$U$48,8,FALSE)/2)</f>
        <v/>
      </c>
      <c r="I62" t="str">
        <f>IF(ISERROR(HLOOKUP(B62,$B$34:$U$48,9,FALSE)),"",HLOOKUP(B62,$B$34:$U$48,9,FALSE)/2)</f>
        <v/>
      </c>
      <c r="J62" t="str">
        <f>IF(ISERROR(VLOOKUP(B62,'Data Base'!$E$3:$M$300,5,FALSE)),"",VLOOKUP(B62,'Data Base'!$E$3:$M$300,5,FALSE))</f>
        <v/>
      </c>
    </row>
    <row r="63" spans="1:21" x14ac:dyDescent="0.25">
      <c r="A63" s="321"/>
      <c r="B63" s="1" t="s">
        <v>5</v>
      </c>
      <c r="C63" s="2"/>
      <c r="D63" s="2"/>
      <c r="E63" s="2"/>
      <c r="F63" s="2"/>
      <c r="G63" s="2"/>
      <c r="H63" s="2"/>
      <c r="I63" s="2"/>
      <c r="J63" s="2"/>
    </row>
    <row r="64" spans="1:21" x14ac:dyDescent="0.25">
      <c r="A64" s="321"/>
      <c r="B64" t="s">
        <v>6</v>
      </c>
      <c r="C64" t="s">
        <v>57</v>
      </c>
      <c r="D64" t="s">
        <v>7</v>
      </c>
      <c r="E64" t="s">
        <v>13</v>
      </c>
      <c r="F64" t="s">
        <v>9</v>
      </c>
      <c r="G64" t="s">
        <v>8</v>
      </c>
      <c r="H64" t="s">
        <v>16</v>
      </c>
      <c r="I64" t="s">
        <v>17</v>
      </c>
      <c r="J64" s="9" t="s">
        <v>554</v>
      </c>
    </row>
    <row r="65" spans="1:10" x14ac:dyDescent="0.25">
      <c r="A65" s="321"/>
      <c r="B65" s="6" t="str">
        <f>IF(G34=0,"",G34)</f>
        <v/>
      </c>
      <c r="C65" t="str">
        <f>IF(ISERROR(HLOOKUP(B65,$B$34:$U$48,2,FALSE)),"",HLOOKUP(B65,$B$34:$U$48,2,FALSE))</f>
        <v/>
      </c>
      <c r="D65" t="str">
        <f t="shared" ref="D65:D80" si="11">IF(ISERROR(HLOOKUP(B65,$B$34:$U$48,4,FALSE)),"",HLOOKUP(B65,$B$34:$U$48,4,FALSE))</f>
        <v/>
      </c>
      <c r="E65" s="29" t="str">
        <f>IF(ISERROR(VLOOKUP(B65,'Data Base'!$E$3:$M$300,9,FALSE)),"",VLOOKUP(B65,'Data Base'!$E$3:$M$300,9,FALSE))</f>
        <v/>
      </c>
      <c r="F65" t="str">
        <f>IFERROR((IF(ISERROR(HLOOKUP(B65,$B$34:$U$48,6,FALSE)/2+HLOOKUP(B65,$B$34:$U$48,10,FALSE)),"",HLOOKUP(B65,$B$34:$U$48,6,FALSE)/2+HLOOKUP(B65,$B$34:$U$48,10,FALSE))),"")</f>
        <v/>
      </c>
      <c r="G65" s="5" t="str">
        <f>IF(ISERROR(VLOOKUP(B65,'Data Base'!$E$3:$M$300,2,FALSE)),"",VLOOKUP(B65,'Data Base'!$E$3:$M$300,2,FALSE))</f>
        <v/>
      </c>
      <c r="H65" t="str">
        <f>IF(ISERROR(HLOOKUP(B65,$B$34:$U$48,8,FALSE)),"",HLOOKUP(B65,$B$34:$U$48,8,FALSE))</f>
        <v/>
      </c>
      <c r="I65" t="str">
        <f>IF(ISERROR(HLOOKUP(B65,$B$34:$U$48,9,FALSE)),"",HLOOKUP(B65,$B$34:$U$48,9,FALSE))</f>
        <v/>
      </c>
      <c r="J65" t="str">
        <f>IF(ISERROR(VLOOKUP(B65,'Data Base'!$E$3:$M$300,5,FALSE)),"",VLOOKUP(B65,'Data Base'!$E$3:$M$300,5,FALSE))</f>
        <v/>
      </c>
    </row>
    <row r="66" spans="1:10" x14ac:dyDescent="0.25">
      <c r="A66" s="321"/>
      <c r="B66" s="6" t="str">
        <f>IF(H34=0,"",H34)</f>
        <v/>
      </c>
      <c r="C66" t="str">
        <f t="shared" ref="C66:C82" si="12">IF(ISERROR(HLOOKUP(B66,$B$34:$U$48,2,FALSE)),"",HLOOKUP(B66,$B$34:$U$48,2,FALSE))</f>
        <v/>
      </c>
      <c r="D66" t="str">
        <f t="shared" si="11"/>
        <v/>
      </c>
      <c r="E66" s="29" t="str">
        <f>IF(ISERROR(VLOOKUP(B66,'Data Base'!$E$3:$M$300,9,FALSE)),"",VLOOKUP(B66,'Data Base'!$E$3:$M$300,9,FALSE))</f>
        <v/>
      </c>
      <c r="F66" t="str">
        <f>IFERROR((IF(ISERROR(HLOOKUP(B66,$B$34:$U$48,6,FALSE)/2+HLOOKUP(B66,$B$34:$U$48,10,FALSE)),"",HLOOKUP(B66,$B$34:$U$48,6,FALSE)/2+HLOOKUP(B66,$B$34:$U$48,10,FALSE))),"")</f>
        <v/>
      </c>
      <c r="G66" s="5" t="str">
        <f>IF(ISERROR(VLOOKUP(B66,'Data Base'!$E$3:$M$300,2,FALSE)),"",VLOOKUP(B66,'Data Base'!$E$3:$M$300,2,FALSE))</f>
        <v/>
      </c>
      <c r="H66" t="str">
        <f t="shared" ref="H66:H82" si="13">IF(ISERROR(HLOOKUP(B66,$B$34:$U$48,8,FALSE)),"",HLOOKUP(B66,$B$34:$U$48,8,FALSE))</f>
        <v/>
      </c>
      <c r="I66" t="str">
        <f t="shared" ref="I66:I82" si="14">IF(ISERROR(HLOOKUP(B66,$B$34:$U$48,9,FALSE)),"",HLOOKUP(B66,$B$34:$U$48,9,FALSE))</f>
        <v/>
      </c>
      <c r="J66" t="str">
        <f>IF(ISERROR(VLOOKUP(B66,'Data Base'!$E$3:$M$300,5,FALSE)),"",VLOOKUP(B66,'Data Base'!$E$3:$M$300,5,FALSE))</f>
        <v/>
      </c>
    </row>
    <row r="67" spans="1:10" x14ac:dyDescent="0.25">
      <c r="A67" s="321"/>
      <c r="B67" s="6" t="str">
        <f>IF(I34=0,"",I34)</f>
        <v/>
      </c>
      <c r="C67" t="str">
        <f t="shared" si="12"/>
        <v/>
      </c>
      <c r="D67" t="str">
        <f t="shared" si="11"/>
        <v/>
      </c>
      <c r="E67" s="29" t="str">
        <f>IF(ISERROR(VLOOKUP(B67,'Data Base'!$E$3:$M$300,9,FALSE)),"",VLOOKUP(B67,'Data Base'!$E$3:$M$300,9,FALSE))</f>
        <v/>
      </c>
      <c r="F67" t="str">
        <f t="shared" ref="F67:F79" si="15">IFERROR((IF(ISERROR(HLOOKUP(B67,$B$34:$U$48,6,FALSE)/2+HLOOKUP(B67,$B$34:$U$48,10,FALSE)),"",HLOOKUP(B67,$B$34:$U$48,6,FALSE)/2+HLOOKUP(B67,$B$34:$U$48,10,FALSE))),"")</f>
        <v/>
      </c>
      <c r="G67" s="5" t="str">
        <f>IF(ISERROR(VLOOKUP(B67,'Data Base'!$E$3:$M$300,2,FALSE)),"",VLOOKUP(B67,'Data Base'!$E$3:$M$300,2,FALSE))</f>
        <v/>
      </c>
      <c r="H67" t="str">
        <f t="shared" si="13"/>
        <v/>
      </c>
      <c r="I67" t="str">
        <f t="shared" si="14"/>
        <v/>
      </c>
      <c r="J67" t="str">
        <f>IF(ISERROR(VLOOKUP(B67,'Data Base'!$E$3:$M$300,5,FALSE)),"",VLOOKUP(B67,'Data Base'!$E$3:$M$300,5,FALSE))</f>
        <v/>
      </c>
    </row>
    <row r="68" spans="1:10" x14ac:dyDescent="0.25">
      <c r="A68" s="321"/>
      <c r="B68" s="6" t="str">
        <f>IF(J34=0,"",J34)</f>
        <v/>
      </c>
      <c r="C68" t="str">
        <f t="shared" si="12"/>
        <v/>
      </c>
      <c r="D68" t="str">
        <f t="shared" si="11"/>
        <v/>
      </c>
      <c r="E68" s="29" t="str">
        <f>IF(ISERROR(VLOOKUP(B68,'Data Base'!$E$3:$M$300,9,FALSE)),"",VLOOKUP(B68,'Data Base'!$E$3:$M$300,9,FALSE))</f>
        <v/>
      </c>
      <c r="F68" t="str">
        <f t="shared" si="15"/>
        <v/>
      </c>
      <c r="G68" s="5" t="str">
        <f>IF(ISERROR(VLOOKUP(B68,'Data Base'!$E$3:$M$300,2,FALSE)),"",VLOOKUP(B68,'Data Base'!$E$3:$M$300,2,FALSE))</f>
        <v/>
      </c>
      <c r="H68" t="str">
        <f t="shared" si="13"/>
        <v/>
      </c>
      <c r="I68" t="str">
        <f t="shared" si="14"/>
        <v/>
      </c>
      <c r="J68" t="str">
        <f>IF(ISERROR(VLOOKUP(B68,'Data Base'!$E$3:$M$300,5,FALSE)),"",VLOOKUP(B68,'Data Base'!$E$3:$M$300,5,FALSE))</f>
        <v/>
      </c>
    </row>
    <row r="69" spans="1:10" x14ac:dyDescent="0.25">
      <c r="A69" s="321"/>
      <c r="B69" s="6" t="str">
        <f>IF(K34=0,"",K34)</f>
        <v/>
      </c>
      <c r="C69" t="str">
        <f t="shared" si="12"/>
        <v/>
      </c>
      <c r="D69" t="str">
        <f t="shared" si="11"/>
        <v/>
      </c>
      <c r="E69" s="29" t="str">
        <f>IF(ISERROR(VLOOKUP(B69,'Data Base'!$E$3:$M$300,9,FALSE)),"",VLOOKUP(B69,'Data Base'!$E$3:$M$300,9,FALSE))</f>
        <v/>
      </c>
      <c r="F69" t="str">
        <f t="shared" si="15"/>
        <v/>
      </c>
      <c r="G69" s="5" t="str">
        <f>IF(ISERROR(VLOOKUP(B69,'Data Base'!$E$3:$M$300,2,FALSE)),"",VLOOKUP(B69,'Data Base'!$E$3:$M$300,2,FALSE))</f>
        <v/>
      </c>
      <c r="H69" t="str">
        <f t="shared" si="13"/>
        <v/>
      </c>
      <c r="I69" t="str">
        <f t="shared" si="14"/>
        <v/>
      </c>
      <c r="J69" t="str">
        <f>IF(ISERROR(VLOOKUP(B69,'Data Base'!$E$3:$M$300,5,FALSE)),"",VLOOKUP(B69,'Data Base'!$E$3:$M$300,5,FALSE))</f>
        <v/>
      </c>
    </row>
    <row r="70" spans="1:10" x14ac:dyDescent="0.25">
      <c r="A70" s="321"/>
      <c r="B70" s="6" t="str">
        <f>IF(L34=0,"",L34)</f>
        <v/>
      </c>
      <c r="C70" t="str">
        <f t="shared" si="12"/>
        <v/>
      </c>
      <c r="D70" t="str">
        <f t="shared" si="11"/>
        <v/>
      </c>
      <c r="E70" s="29" t="str">
        <f>IF(ISERROR(VLOOKUP(B70,'Data Base'!$E$3:$M$300,9,FALSE)),"",VLOOKUP(B70,'Data Base'!$E$3:$M$300,9,FALSE))</f>
        <v/>
      </c>
      <c r="F70" t="str">
        <f t="shared" si="15"/>
        <v/>
      </c>
      <c r="G70" s="5" t="str">
        <f>IF(ISERROR(VLOOKUP(B70,'Data Base'!$E$3:$M$300,2,FALSE)),"",VLOOKUP(B70,'Data Base'!$E$3:$M$300,2,FALSE))</f>
        <v/>
      </c>
      <c r="H70" t="str">
        <f t="shared" si="13"/>
        <v/>
      </c>
      <c r="I70" t="str">
        <f t="shared" si="14"/>
        <v/>
      </c>
      <c r="J70" t="str">
        <f>IF(ISERROR(VLOOKUP(B70,'Data Base'!$E$3:$M$300,5,FALSE)),"",VLOOKUP(B70,'Data Base'!$E$3:$M$300,5,FALSE))</f>
        <v/>
      </c>
    </row>
    <row r="71" spans="1:10" x14ac:dyDescent="0.25">
      <c r="A71" s="321"/>
      <c r="B71" s="6" t="str">
        <f>IF(M34=0,"",M34)</f>
        <v/>
      </c>
      <c r="C71" t="str">
        <f t="shared" si="12"/>
        <v/>
      </c>
      <c r="D71" t="str">
        <f t="shared" si="11"/>
        <v/>
      </c>
      <c r="E71" s="29" t="str">
        <f>IF(ISERROR(VLOOKUP(B71,'Data Base'!$E$3:$M$300,9,FALSE)),"",VLOOKUP(B71,'Data Base'!$E$3:$M$300,9,FALSE))</f>
        <v/>
      </c>
      <c r="F71" t="str">
        <f t="shared" si="15"/>
        <v/>
      </c>
      <c r="G71" s="5" t="str">
        <f>IF(ISERROR(VLOOKUP(B71,'Data Base'!$E$3:$M$300,2,FALSE)),"",VLOOKUP(B71,'Data Base'!$E$3:$M$300,2,FALSE))</f>
        <v/>
      </c>
      <c r="H71" t="str">
        <f t="shared" si="13"/>
        <v/>
      </c>
      <c r="I71" t="str">
        <f t="shared" si="14"/>
        <v/>
      </c>
      <c r="J71" t="str">
        <f>IF(ISERROR(VLOOKUP(B71,'Data Base'!$E$3:$M$300,5,FALSE)),"",VLOOKUP(B71,'Data Base'!$E$3:$M$300,5,FALSE))</f>
        <v/>
      </c>
    </row>
    <row r="72" spans="1:10" x14ac:dyDescent="0.25">
      <c r="A72" s="321"/>
      <c r="B72" s="6" t="str">
        <f>IF(N34=0,"",N34)</f>
        <v/>
      </c>
      <c r="C72" t="str">
        <f t="shared" si="12"/>
        <v/>
      </c>
      <c r="D72" t="str">
        <f t="shared" si="11"/>
        <v/>
      </c>
      <c r="E72" s="29" t="str">
        <f>IF(ISERROR(VLOOKUP(B72,'Data Base'!$E$3:$M$300,9,FALSE)),"",VLOOKUP(B72,'Data Base'!$E$3:$M$300,9,FALSE))</f>
        <v/>
      </c>
      <c r="F72" t="str">
        <f t="shared" si="15"/>
        <v/>
      </c>
      <c r="G72" s="5" t="str">
        <f>IF(ISERROR(VLOOKUP(B72,'Data Base'!$E$3:$M$300,2,FALSE)),"",VLOOKUP(B72,'Data Base'!$E$3:$M$300,2,FALSE))</f>
        <v/>
      </c>
      <c r="H72" t="str">
        <f t="shared" si="13"/>
        <v/>
      </c>
      <c r="I72" t="str">
        <f t="shared" si="14"/>
        <v/>
      </c>
      <c r="J72" t="str">
        <f>IF(ISERROR(VLOOKUP(B72,'Data Base'!$E$3:$M$300,5,FALSE)),"",VLOOKUP(B72,'Data Base'!$E$3:$M$300,5,FALSE))</f>
        <v/>
      </c>
    </row>
    <row r="73" spans="1:10" x14ac:dyDescent="0.25">
      <c r="A73" s="321"/>
      <c r="B73" s="6" t="str">
        <f>IF(O34=0,"",O34)</f>
        <v/>
      </c>
      <c r="C73" t="str">
        <f t="shared" si="12"/>
        <v/>
      </c>
      <c r="D73" t="str">
        <f t="shared" si="11"/>
        <v/>
      </c>
      <c r="E73" s="29" t="str">
        <f>IF(ISERROR(VLOOKUP(B73,'Data Base'!$E$3:$M$300,9,FALSE)),"",VLOOKUP(B73,'Data Base'!$E$3:$M$300,9,FALSE))</f>
        <v/>
      </c>
      <c r="F73" t="str">
        <f t="shared" si="15"/>
        <v/>
      </c>
      <c r="G73" s="5" t="str">
        <f>IF(ISERROR(VLOOKUP(B73,'Data Base'!$E$3:$M$300,2,FALSE)),"",VLOOKUP(B73,'Data Base'!$E$3:$M$300,2,FALSE))</f>
        <v/>
      </c>
      <c r="H73" t="str">
        <f t="shared" si="13"/>
        <v/>
      </c>
      <c r="I73" t="str">
        <f t="shared" si="14"/>
        <v/>
      </c>
      <c r="J73" t="str">
        <f>IF(ISERROR(VLOOKUP(B73,'Data Base'!$E$3:$M$300,5,FALSE)),"",VLOOKUP(B73,'Data Base'!$E$3:$M$300,5,FALSE))</f>
        <v/>
      </c>
    </row>
    <row r="74" spans="1:10" x14ac:dyDescent="0.25">
      <c r="A74" s="321"/>
      <c r="B74" s="6" t="str">
        <f>IF(P34=0,"",P34)</f>
        <v/>
      </c>
      <c r="C74" t="str">
        <f t="shared" si="12"/>
        <v/>
      </c>
      <c r="D74" t="str">
        <f t="shared" si="11"/>
        <v/>
      </c>
      <c r="E74" s="29" t="str">
        <f>IF(ISERROR(VLOOKUP(B74,'Data Base'!$E$3:$M$300,9,FALSE)),"",VLOOKUP(B74,'Data Base'!$E$3:$M$300,9,FALSE))</f>
        <v/>
      </c>
      <c r="F74" t="str">
        <f t="shared" si="15"/>
        <v/>
      </c>
      <c r="G74" s="5" t="str">
        <f>IF(ISERROR(VLOOKUP(B74,'Data Base'!$E$3:$M$300,2,FALSE)),"",VLOOKUP(B74,'Data Base'!$E$3:$M$300,2,FALSE))</f>
        <v/>
      </c>
      <c r="H74" t="str">
        <f t="shared" si="13"/>
        <v/>
      </c>
      <c r="I74" t="str">
        <f t="shared" si="14"/>
        <v/>
      </c>
      <c r="J74" t="str">
        <f>IF(ISERROR(VLOOKUP(B74,'Data Base'!$E$3:$M$300,5,FALSE)),"",VLOOKUP(B74,'Data Base'!$E$3:$M$300,5,FALSE))</f>
        <v/>
      </c>
    </row>
    <row r="75" spans="1:10" x14ac:dyDescent="0.25">
      <c r="A75" s="321"/>
      <c r="B75" s="6" t="str">
        <f>IF(Q34=0,"",Q34)</f>
        <v/>
      </c>
      <c r="C75" t="str">
        <f t="shared" si="12"/>
        <v/>
      </c>
      <c r="D75" t="str">
        <f t="shared" si="11"/>
        <v/>
      </c>
      <c r="E75" s="29" t="str">
        <f>IF(ISERROR(VLOOKUP(B75,'Data Base'!$E$3:$M$300,9,FALSE)),"",VLOOKUP(B75,'Data Base'!$E$3:$M$300,9,FALSE))</f>
        <v/>
      </c>
      <c r="F75" t="str">
        <f t="shared" si="15"/>
        <v/>
      </c>
      <c r="G75" s="5" t="str">
        <f>IF(ISERROR(VLOOKUP(B75,'Data Base'!$E$3:$M$300,2,FALSE)),"",VLOOKUP(B75,'Data Base'!$E$3:$M$300,2,FALSE))</f>
        <v/>
      </c>
      <c r="H75" t="str">
        <f t="shared" si="13"/>
        <v/>
      </c>
      <c r="I75" t="str">
        <f t="shared" si="14"/>
        <v/>
      </c>
      <c r="J75" t="str">
        <f>IF(ISERROR(VLOOKUP(B75,'Data Base'!$E$3:$M$300,5,FALSE)),"",VLOOKUP(B75,'Data Base'!$E$3:$M$300,5,FALSE))</f>
        <v/>
      </c>
    </row>
    <row r="76" spans="1:10" x14ac:dyDescent="0.25">
      <c r="A76" s="321"/>
      <c r="B76" s="6" t="str">
        <f>IF(R34=0,"",R34)</f>
        <v/>
      </c>
      <c r="C76" t="str">
        <f t="shared" si="12"/>
        <v/>
      </c>
      <c r="D76" t="str">
        <f t="shared" si="11"/>
        <v/>
      </c>
      <c r="E76" s="29" t="str">
        <f>IF(ISERROR(VLOOKUP(B76,'Data Base'!$E$3:$M$300,9,FALSE)),"",VLOOKUP(B76,'Data Base'!$E$3:$M$300,9,FALSE))</f>
        <v/>
      </c>
      <c r="F76" t="str">
        <f t="shared" si="15"/>
        <v/>
      </c>
      <c r="G76" s="5" t="str">
        <f>IF(ISERROR(VLOOKUP(B76,'Data Base'!$E$3:$M$300,2,FALSE)),"",VLOOKUP(B76,'Data Base'!$E$3:$M$300,2,FALSE))</f>
        <v/>
      </c>
      <c r="H76" t="str">
        <f t="shared" si="13"/>
        <v/>
      </c>
      <c r="I76" t="str">
        <f t="shared" si="14"/>
        <v/>
      </c>
      <c r="J76" t="str">
        <f>IF(ISERROR(VLOOKUP(B76,'Data Base'!$E$3:$M$300,5,FALSE)),"",VLOOKUP(B76,'Data Base'!$E$3:$M$300,5,FALSE))</f>
        <v/>
      </c>
    </row>
    <row r="77" spans="1:10" x14ac:dyDescent="0.25">
      <c r="A77" s="321"/>
      <c r="B77" s="6" t="str">
        <f>IF(S34=0,"",S34)</f>
        <v/>
      </c>
      <c r="C77" t="str">
        <f t="shared" si="12"/>
        <v/>
      </c>
      <c r="D77" t="str">
        <f t="shared" si="11"/>
        <v/>
      </c>
      <c r="E77" s="29" t="str">
        <f>IF(ISERROR(VLOOKUP(B77,'Data Base'!$E$3:$M$300,9,FALSE)),"",VLOOKUP(B77,'Data Base'!$E$3:$M$300,9,FALSE))</f>
        <v/>
      </c>
      <c r="F77" t="str">
        <f t="shared" si="15"/>
        <v/>
      </c>
      <c r="G77" s="5" t="str">
        <f>IF(ISERROR(VLOOKUP(B77,'Data Base'!$E$3:$M$300,2,FALSE)),"",VLOOKUP(B77,'Data Base'!$E$3:$M$300,2,FALSE))</f>
        <v/>
      </c>
      <c r="H77" t="str">
        <f t="shared" si="13"/>
        <v/>
      </c>
      <c r="I77" t="str">
        <f t="shared" si="14"/>
        <v/>
      </c>
      <c r="J77" t="str">
        <f>IF(ISERROR(VLOOKUP(B77,'Data Base'!$E$3:$M$300,5,FALSE)),"",VLOOKUP(B77,'Data Base'!$E$3:$M$300,5,FALSE))</f>
        <v/>
      </c>
    </row>
    <row r="78" spans="1:10" x14ac:dyDescent="0.25">
      <c r="A78" s="321"/>
      <c r="B78" s="6" t="str">
        <f>IF(T34=0,"",T34)</f>
        <v/>
      </c>
      <c r="C78" t="str">
        <f t="shared" si="12"/>
        <v/>
      </c>
      <c r="D78" t="str">
        <f t="shared" si="11"/>
        <v/>
      </c>
      <c r="E78" s="29" t="str">
        <f>IF(ISERROR(VLOOKUP(B78,'Data Base'!$E$3:$M$300,9,FALSE)),"",VLOOKUP(B78,'Data Base'!$E$3:$M$300,9,FALSE))</f>
        <v/>
      </c>
      <c r="F78" t="str">
        <f t="shared" si="15"/>
        <v/>
      </c>
      <c r="G78" s="5" t="str">
        <f>IF(ISERROR(VLOOKUP(B78,'Data Base'!$E$3:$M$300,2,FALSE)),"",VLOOKUP(B78,'Data Base'!$E$3:$M$300,2,FALSE))</f>
        <v/>
      </c>
      <c r="H78" t="str">
        <f t="shared" si="13"/>
        <v/>
      </c>
      <c r="I78" t="str">
        <f t="shared" si="14"/>
        <v/>
      </c>
      <c r="J78" t="str">
        <f>IF(ISERROR(VLOOKUP(B78,'Data Base'!$E$3:$M$300,5,FALSE)),"",VLOOKUP(B78,'Data Base'!$E$3:$M$300,5,FALSE))</f>
        <v/>
      </c>
    </row>
    <row r="79" spans="1:10" x14ac:dyDescent="0.25">
      <c r="A79" s="321"/>
      <c r="B79" s="6" t="str">
        <f>IF(U34=0,"",U34)</f>
        <v/>
      </c>
      <c r="C79" t="str">
        <f t="shared" si="12"/>
        <v/>
      </c>
      <c r="D79" t="str">
        <f t="shared" si="11"/>
        <v/>
      </c>
      <c r="E79" s="29" t="str">
        <f>IF(ISERROR(VLOOKUP(B79,'Data Base'!$E$3:$M$300,9,FALSE)),"",VLOOKUP(B79,'Data Base'!$E$3:$M$300,9,FALSE))</f>
        <v/>
      </c>
      <c r="F79" t="str">
        <f t="shared" si="15"/>
        <v/>
      </c>
      <c r="G79" s="5" t="str">
        <f>IF(ISERROR(VLOOKUP(B79,'Data Base'!$E$3:$M$300,2,FALSE)),"",VLOOKUP(B79,'Data Base'!$E$3:$M$300,2,FALSE))</f>
        <v/>
      </c>
      <c r="H79" t="str">
        <f t="shared" si="13"/>
        <v/>
      </c>
      <c r="I79" t="str">
        <f t="shared" si="14"/>
        <v/>
      </c>
      <c r="J79" t="str">
        <f>IF(ISERROR(VLOOKUP(B79,'Data Base'!$E$3:$M$300,5,FALSE)),"",VLOOKUP(B79,'Data Base'!$E$3:$M$300,5,FALSE))</f>
        <v/>
      </c>
    </row>
    <row r="80" spans="1:10" x14ac:dyDescent="0.25">
      <c r="A80" s="321"/>
      <c r="B80" s="109" t="str">
        <f>IF(V34=0,"",V34)</f>
        <v/>
      </c>
      <c r="C80" s="110" t="str">
        <f t="shared" si="12"/>
        <v/>
      </c>
      <c r="D80" s="110" t="str">
        <f t="shared" si="11"/>
        <v/>
      </c>
      <c r="E80" s="110" t="str">
        <f>IF(ISERROR(VLOOKUP(B80,'Data Base'!$E$3:$M$300,8,FALSE)),"",VLOOKUP(B80,'Data Base'!$E$3:$M$300,8,FALSE))</f>
        <v/>
      </c>
      <c r="F80" s="110" t="str">
        <f t="shared" ref="F80:F82" si="16">IF(ISERROR(HLOOKUP(B80,$B$34:$U$48,6,FALSE)+HLOOKUP(B80,$B$34:$U$48,10,FALSE)),"",HLOOKUP(B80,$B$34:$U$48,6,FALSE)+HLOOKUP(B80,$B$34:$U$48,10,FALSE))</f>
        <v/>
      </c>
      <c r="G80" s="110" t="str">
        <f>IF(ISERROR(VLOOKUP(B80,'Data Base'!$E$3:$M$300,2,FALSE)),"",VLOOKUP(B80,'Data Base'!$E$3:$M$300,2,FALSE))</f>
        <v/>
      </c>
      <c r="H80" s="110" t="str">
        <f t="shared" si="13"/>
        <v/>
      </c>
      <c r="I80" s="110" t="str">
        <f t="shared" si="14"/>
        <v/>
      </c>
      <c r="J80" s="110" t="str">
        <f>IF(ISERROR(VLOOKUP(B80,'Data Base'!$E$3:$M$300,5,FALSE)),"",VLOOKUP(B80,'Data Base'!$E$3:$M$300,5,FALSE))</f>
        <v/>
      </c>
    </row>
    <row r="81" spans="1:19" x14ac:dyDescent="0.25">
      <c r="A81" s="321"/>
      <c r="B81" s="109" t="str">
        <f>IF(W34=0,"",W34)</f>
        <v/>
      </c>
      <c r="C81" s="110" t="str">
        <f t="shared" si="12"/>
        <v/>
      </c>
      <c r="D81" s="110" t="str">
        <f t="shared" ref="D81:D82" si="17">IF(ISERROR(HLOOKUP(B81,$B$34:$U$48,5,FALSE)),"",HLOOKUP(B81,$B$34:$U$48,5,FALSE))</f>
        <v/>
      </c>
      <c r="E81" s="110" t="str">
        <f>IF(ISERROR(VLOOKUP(B81,'Data Base'!$E$3:$M$300,8,FALSE)),"",VLOOKUP(B81,'Data Base'!$E$3:$M$300,8,FALSE))</f>
        <v/>
      </c>
      <c r="F81" s="110" t="str">
        <f t="shared" si="16"/>
        <v/>
      </c>
      <c r="G81" s="110" t="str">
        <f>IF(ISERROR(VLOOKUP(B81,'Data Base'!$E$3:$M$300,2,FALSE)),"",VLOOKUP(B81,'Data Base'!$E$3:$M$300,2,FALSE))</f>
        <v/>
      </c>
      <c r="H81" s="110" t="str">
        <f t="shared" si="13"/>
        <v/>
      </c>
      <c r="I81" s="110" t="str">
        <f t="shared" si="14"/>
        <v/>
      </c>
      <c r="J81" s="110" t="str">
        <f>IF(ISERROR(VLOOKUP(B81,'Data Base'!$E$3:$M$300,5,FALSE)),"",VLOOKUP(B81,'Data Base'!$E$3:$M$300,5,FALSE))</f>
        <v/>
      </c>
    </row>
    <row r="82" spans="1:19" x14ac:dyDescent="0.25">
      <c r="A82" s="321"/>
      <c r="B82" s="111" t="str">
        <f>IF(X34=0,"",X34)</f>
        <v/>
      </c>
      <c r="C82" s="112" t="str">
        <f t="shared" si="12"/>
        <v/>
      </c>
      <c r="D82" s="112" t="str">
        <f t="shared" si="17"/>
        <v/>
      </c>
      <c r="E82" s="112" t="str">
        <f>IF(ISERROR(VLOOKUP(B82,'Data Base'!$E$3:$M$300,8,FALSE)),"",VLOOKUP(B82,'Data Base'!$E$3:$M$300,8,FALSE))</f>
        <v/>
      </c>
      <c r="F82" s="112" t="str">
        <f t="shared" si="16"/>
        <v/>
      </c>
      <c r="G82" s="112" t="str">
        <f>IF(ISERROR(VLOOKUP(B82,'Data Base'!$E$3:$M$300,2,FALSE)),"",VLOOKUP(B82,'Data Base'!$E$3:$M$300,2,FALSE))</f>
        <v/>
      </c>
      <c r="H82" s="112" t="str">
        <f t="shared" si="13"/>
        <v/>
      </c>
      <c r="I82" s="112" t="str">
        <f t="shared" si="14"/>
        <v/>
      </c>
      <c r="J82" s="112" t="str">
        <f>IF(ISERROR(VLOOKUP(B82,'Data Base'!$E$3:$M$300,5,FALSE)),"",VLOOKUP(B82,'Data Base'!$E$3:$M$300,5,FALSE))</f>
        <v/>
      </c>
    </row>
    <row r="83" spans="1:19" ht="15.75" thickBot="1" x14ac:dyDescent="0.3"/>
    <row r="84" spans="1:19" ht="15.75" thickBot="1" x14ac:dyDescent="0.3">
      <c r="A84" s="322" t="s">
        <v>264</v>
      </c>
      <c r="B84" s="323"/>
      <c r="C84" s="324"/>
      <c r="D84" s="9"/>
      <c r="M84" s="322" t="s">
        <v>693</v>
      </c>
      <c r="N84" s="323"/>
      <c r="O84" s="324"/>
    </row>
    <row r="86" spans="1:19" x14ac:dyDescent="0.25">
      <c r="A86" s="40" t="s">
        <v>265</v>
      </c>
      <c r="B86" s="40" t="s">
        <v>6</v>
      </c>
      <c r="C86" s="40" t="s">
        <v>277</v>
      </c>
      <c r="D86" s="40" t="s">
        <v>266</v>
      </c>
      <c r="E86" s="40" t="s">
        <v>315</v>
      </c>
      <c r="F86" s="40" t="s">
        <v>346</v>
      </c>
      <c r="G86" t="s">
        <v>208</v>
      </c>
      <c r="H86" t="s">
        <v>213</v>
      </c>
      <c r="M86" s="2"/>
      <c r="N86" s="2" t="s">
        <v>6</v>
      </c>
      <c r="O86" s="2" t="s">
        <v>689</v>
      </c>
      <c r="P86" s="2" t="s">
        <v>690</v>
      </c>
      <c r="Q86" s="2" t="s">
        <v>691</v>
      </c>
      <c r="R86" s="2" t="s">
        <v>692</v>
      </c>
      <c r="S86" s="2"/>
    </row>
    <row r="87" spans="1:19" x14ac:dyDescent="0.25">
      <c r="A87" s="40">
        <f>'Synthèse Horaires'!$I$4</f>
        <v>0</v>
      </c>
      <c r="B87" s="40">
        <f>B34</f>
        <v>0</v>
      </c>
      <c r="C87" s="40">
        <f>'Base Matricule Siège'!L3</f>
        <v>23</v>
      </c>
      <c r="D87" s="40">
        <f>B49*3.5</f>
        <v>0</v>
      </c>
      <c r="E87" s="40" t="str">
        <f>'Synthèse Horaires'!I5</f>
        <v>Juin</v>
      </c>
      <c r="F87" s="40">
        <f>'Synthèse Horaires'!B4</f>
        <v>2026</v>
      </c>
      <c r="G87" s="27">
        <f>B39</f>
        <v>0</v>
      </c>
      <c r="H87" s="27">
        <f>B43</f>
        <v>0</v>
      </c>
      <c r="M87" s="2"/>
      <c r="N87" s="40">
        <f>B34</f>
        <v>0</v>
      </c>
      <c r="O87" s="40" t="s">
        <v>697</v>
      </c>
      <c r="P87" s="40">
        <f>B38</f>
        <v>0</v>
      </c>
      <c r="Q87" s="40"/>
      <c r="R87" s="40"/>
      <c r="S87" s="2"/>
    </row>
    <row r="88" spans="1:19" x14ac:dyDescent="0.25">
      <c r="A88" s="40">
        <f>'Synthèse Horaires'!$I$4</f>
        <v>0</v>
      </c>
      <c r="B88" s="40">
        <f>B87</f>
        <v>0</v>
      </c>
      <c r="C88" s="40">
        <f>'Base Matricule Siège'!L4</f>
        <v>24</v>
      </c>
      <c r="D88" s="40">
        <f>B50*3.5</f>
        <v>0</v>
      </c>
      <c r="E88" s="40" t="str">
        <f>E87</f>
        <v>Juin</v>
      </c>
      <c r="F88" s="40">
        <f>F87</f>
        <v>2026</v>
      </c>
      <c r="G88" s="53">
        <v>0</v>
      </c>
      <c r="H88" s="53">
        <v>0</v>
      </c>
      <c r="M88" s="2"/>
      <c r="N88" s="40">
        <f>C34</f>
        <v>0</v>
      </c>
      <c r="O88" s="40" t="s">
        <v>697</v>
      </c>
      <c r="P88" s="40">
        <f>C38</f>
        <v>0</v>
      </c>
      <c r="Q88" s="40"/>
      <c r="R88" s="40"/>
      <c r="S88" s="2"/>
    </row>
    <row r="89" spans="1:19" x14ac:dyDescent="0.25">
      <c r="A89" s="40">
        <f>'Synthèse Horaires'!$I$4</f>
        <v>0</v>
      </c>
      <c r="B89" s="40">
        <f>B87</f>
        <v>0</v>
      </c>
      <c r="C89" s="40" t="str">
        <f>'Base Matricule Siège'!L5</f>
        <v>NU</v>
      </c>
      <c r="D89" s="40">
        <f>B51*3.5</f>
        <v>0</v>
      </c>
      <c r="E89" s="40" t="str">
        <f t="shared" ref="E89:E152" si="18">E88</f>
        <v>Juin</v>
      </c>
      <c r="F89" s="40">
        <f t="shared" ref="F89:F152" si="19">F88</f>
        <v>2026</v>
      </c>
      <c r="G89" s="53">
        <v>0</v>
      </c>
      <c r="H89" s="53">
        <v>0</v>
      </c>
      <c r="M89" s="2"/>
      <c r="N89" s="40">
        <f>D34</f>
        <v>0</v>
      </c>
      <c r="O89" s="40" t="s">
        <v>697</v>
      </c>
      <c r="P89" s="40">
        <f>D38</f>
        <v>0</v>
      </c>
      <c r="Q89" s="40"/>
      <c r="R89" s="40"/>
      <c r="S89" s="2"/>
    </row>
    <row r="90" spans="1:19" x14ac:dyDescent="0.25">
      <c r="A90" s="40">
        <f>'Synthèse Horaires'!$I$4</f>
        <v>0</v>
      </c>
      <c r="B90" s="40">
        <f>B87</f>
        <v>0</v>
      </c>
      <c r="C90" s="40">
        <f>IF('Base Matricule Siège'!L6="NU",0,'Base Matricule Siège'!L6)</f>
        <v>0</v>
      </c>
      <c r="D90" s="40">
        <f>B52*3.5</f>
        <v>0</v>
      </c>
      <c r="E90" s="40" t="str">
        <f t="shared" si="18"/>
        <v>Juin</v>
      </c>
      <c r="F90" s="40">
        <f t="shared" si="19"/>
        <v>2026</v>
      </c>
      <c r="G90" s="53">
        <v>0</v>
      </c>
      <c r="H90" s="53">
        <v>0</v>
      </c>
      <c r="M90" s="2"/>
      <c r="N90" s="40">
        <f>E34</f>
        <v>0</v>
      </c>
      <c r="O90" s="40" t="s">
        <v>697</v>
      </c>
      <c r="P90" s="40">
        <f>E38</f>
        <v>0</v>
      </c>
      <c r="Q90" s="40"/>
      <c r="R90" s="40"/>
      <c r="S90" s="2"/>
    </row>
    <row r="91" spans="1:19" x14ac:dyDescent="0.25">
      <c r="A91" s="40">
        <f>'Synthèse Horaires'!$I$4</f>
        <v>0</v>
      </c>
      <c r="B91" s="40">
        <f>B87</f>
        <v>0</v>
      </c>
      <c r="C91" s="40">
        <f>IF('Base Matricule Siège'!L7="NU",0,'Base Matricule Siège'!L7)</f>
        <v>0</v>
      </c>
      <c r="D91" s="40">
        <f>B53*3.5</f>
        <v>0</v>
      </c>
      <c r="E91" s="40" t="str">
        <f t="shared" si="18"/>
        <v>Juin</v>
      </c>
      <c r="F91" s="40">
        <f t="shared" si="19"/>
        <v>2026</v>
      </c>
      <c r="G91" s="53">
        <v>0</v>
      </c>
      <c r="H91" s="53">
        <v>0</v>
      </c>
      <c r="M91" s="2"/>
      <c r="N91" s="40">
        <f>F34</f>
        <v>0</v>
      </c>
      <c r="O91" s="40" t="s">
        <v>697</v>
      </c>
      <c r="P91" s="40">
        <f>F38</f>
        <v>0</v>
      </c>
      <c r="Q91" s="40"/>
      <c r="R91" s="40"/>
      <c r="S91" s="2"/>
    </row>
    <row r="92" spans="1:19" x14ac:dyDescent="0.25">
      <c r="A92" s="40">
        <f>'Synthèse Horaires'!$I$4</f>
        <v>0</v>
      </c>
      <c r="B92" s="40">
        <f>C34</f>
        <v>0</v>
      </c>
      <c r="C92" s="40">
        <f>C87</f>
        <v>23</v>
      </c>
      <c r="D92" s="40">
        <f>C49*3.5</f>
        <v>0</v>
      </c>
      <c r="E92" s="40" t="str">
        <f t="shared" si="18"/>
        <v>Juin</v>
      </c>
      <c r="F92" s="40">
        <f t="shared" si="19"/>
        <v>2026</v>
      </c>
      <c r="G92" s="27">
        <f>C39</f>
        <v>0</v>
      </c>
      <c r="H92" s="27">
        <f>C43</f>
        <v>0</v>
      </c>
      <c r="M92" s="2"/>
      <c r="N92" s="40">
        <f>G34</f>
        <v>0</v>
      </c>
      <c r="O92" s="40" t="s">
        <v>697</v>
      </c>
      <c r="P92" s="40">
        <f>G37</f>
        <v>0</v>
      </c>
      <c r="Q92" s="40"/>
      <c r="R92" s="40"/>
      <c r="S92" s="2"/>
    </row>
    <row r="93" spans="1:19" x14ac:dyDescent="0.25">
      <c r="A93" s="40">
        <f>'Synthèse Horaires'!$I$4</f>
        <v>0</v>
      </c>
      <c r="B93" s="40">
        <f>B92</f>
        <v>0</v>
      </c>
      <c r="C93" s="40">
        <f t="shared" ref="C93:C158" si="20">C88</f>
        <v>24</v>
      </c>
      <c r="D93" s="40">
        <f>C50*3.5</f>
        <v>0</v>
      </c>
      <c r="E93" s="40" t="str">
        <f t="shared" si="18"/>
        <v>Juin</v>
      </c>
      <c r="F93" s="40">
        <f t="shared" si="19"/>
        <v>2026</v>
      </c>
      <c r="G93" s="53">
        <v>0</v>
      </c>
      <c r="H93" s="53">
        <v>0</v>
      </c>
      <c r="M93" s="2"/>
      <c r="N93" s="40">
        <f>H34</f>
        <v>0</v>
      </c>
      <c r="O93" s="40" t="s">
        <v>697</v>
      </c>
      <c r="P93" s="40">
        <f>H37</f>
        <v>0</v>
      </c>
      <c r="Q93" s="40"/>
      <c r="R93" s="40"/>
      <c r="S93" s="2"/>
    </row>
    <row r="94" spans="1:19" x14ac:dyDescent="0.25">
      <c r="A94" s="40">
        <f>'Synthèse Horaires'!$I$4</f>
        <v>0</v>
      </c>
      <c r="B94" s="40">
        <f t="shared" ref="B94:B96" si="21">B93</f>
        <v>0</v>
      </c>
      <c r="C94" s="40" t="str">
        <f t="shared" si="20"/>
        <v>NU</v>
      </c>
      <c r="D94" s="40">
        <f>C51*3.5</f>
        <v>0</v>
      </c>
      <c r="E94" s="40" t="str">
        <f t="shared" si="18"/>
        <v>Juin</v>
      </c>
      <c r="F94" s="40">
        <f t="shared" si="19"/>
        <v>2026</v>
      </c>
      <c r="G94" s="53">
        <v>0</v>
      </c>
      <c r="H94" s="53">
        <v>0</v>
      </c>
      <c r="M94" s="2"/>
      <c r="N94" s="40">
        <f>I34</f>
        <v>0</v>
      </c>
      <c r="O94" s="40" t="s">
        <v>697</v>
      </c>
      <c r="P94" s="40">
        <f>I37</f>
        <v>0</v>
      </c>
      <c r="Q94" s="40"/>
      <c r="R94" s="40"/>
      <c r="S94" s="2"/>
    </row>
    <row r="95" spans="1:19" x14ac:dyDescent="0.25">
      <c r="A95" s="40">
        <f>'Synthèse Horaires'!$I$4</f>
        <v>0</v>
      </c>
      <c r="B95" s="40">
        <f t="shared" si="21"/>
        <v>0</v>
      </c>
      <c r="C95" s="40">
        <f t="shared" si="20"/>
        <v>0</v>
      </c>
      <c r="D95" s="40">
        <f>C52*3.5</f>
        <v>0</v>
      </c>
      <c r="E95" s="40" t="str">
        <f t="shared" si="18"/>
        <v>Juin</v>
      </c>
      <c r="F95" s="40">
        <f t="shared" si="19"/>
        <v>2026</v>
      </c>
      <c r="G95" s="53">
        <v>0</v>
      </c>
      <c r="H95" s="53">
        <v>0</v>
      </c>
      <c r="M95" s="2"/>
      <c r="N95" s="40">
        <f>J34</f>
        <v>0</v>
      </c>
      <c r="O95" s="40" t="s">
        <v>697</v>
      </c>
      <c r="P95" s="40">
        <f>J37</f>
        <v>0</v>
      </c>
      <c r="Q95" s="40"/>
      <c r="R95" s="40"/>
      <c r="S95" s="2"/>
    </row>
    <row r="96" spans="1:19" x14ac:dyDescent="0.25">
      <c r="A96" s="40">
        <f>'Synthèse Horaires'!$I$4</f>
        <v>0</v>
      </c>
      <c r="B96" s="40">
        <f t="shared" si="21"/>
        <v>0</v>
      </c>
      <c r="C96" s="40">
        <f t="shared" si="20"/>
        <v>0</v>
      </c>
      <c r="D96" s="40">
        <f>C53*3.5</f>
        <v>0</v>
      </c>
      <c r="E96" s="40" t="str">
        <f t="shared" si="18"/>
        <v>Juin</v>
      </c>
      <c r="F96" s="40">
        <f t="shared" si="19"/>
        <v>2026</v>
      </c>
      <c r="G96" s="53">
        <v>0</v>
      </c>
      <c r="H96" s="53">
        <v>0</v>
      </c>
      <c r="M96" s="2"/>
      <c r="N96" s="40">
        <f>K34</f>
        <v>0</v>
      </c>
      <c r="O96" s="40" t="s">
        <v>697</v>
      </c>
      <c r="P96" s="40">
        <f>K37</f>
        <v>0</v>
      </c>
      <c r="Q96" s="40"/>
      <c r="R96" s="40"/>
      <c r="S96" s="2"/>
    </row>
    <row r="97" spans="1:19" x14ac:dyDescent="0.25">
      <c r="A97" s="40">
        <f>'Synthèse Horaires'!$I$4</f>
        <v>0</v>
      </c>
      <c r="B97" s="40">
        <f>D34</f>
        <v>0</v>
      </c>
      <c r="C97" s="40">
        <f>C92</f>
        <v>23</v>
      </c>
      <c r="D97" s="40">
        <f>D49*3.5</f>
        <v>0</v>
      </c>
      <c r="E97" s="40" t="str">
        <f t="shared" si="18"/>
        <v>Juin</v>
      </c>
      <c r="F97" s="40">
        <f t="shared" si="19"/>
        <v>2026</v>
      </c>
      <c r="G97" s="27">
        <f>D39</f>
        <v>0</v>
      </c>
      <c r="H97" s="27">
        <f>D43</f>
        <v>0</v>
      </c>
      <c r="M97" s="2"/>
      <c r="N97" s="40">
        <f>L34</f>
        <v>0</v>
      </c>
      <c r="O97" s="40" t="s">
        <v>697</v>
      </c>
      <c r="P97" s="40">
        <f>L37</f>
        <v>0</v>
      </c>
      <c r="Q97" s="40"/>
      <c r="R97" s="40"/>
      <c r="S97" s="2"/>
    </row>
    <row r="98" spans="1:19" x14ac:dyDescent="0.25">
      <c r="A98" s="40">
        <f>'Synthèse Horaires'!$I$4</f>
        <v>0</v>
      </c>
      <c r="B98" s="40">
        <f>B97</f>
        <v>0</v>
      </c>
      <c r="C98" s="40">
        <f t="shared" si="20"/>
        <v>24</v>
      </c>
      <c r="D98" s="40">
        <f>D50*3.5</f>
        <v>0</v>
      </c>
      <c r="E98" s="40" t="str">
        <f t="shared" si="18"/>
        <v>Juin</v>
      </c>
      <c r="F98" s="40">
        <f t="shared" si="19"/>
        <v>2026</v>
      </c>
      <c r="G98" s="53">
        <v>0</v>
      </c>
      <c r="H98" s="53">
        <v>0</v>
      </c>
      <c r="M98" s="2"/>
      <c r="N98" s="40">
        <f>M34</f>
        <v>0</v>
      </c>
      <c r="O98" s="40" t="s">
        <v>697</v>
      </c>
      <c r="P98" s="40">
        <f>M37</f>
        <v>0</v>
      </c>
      <c r="Q98" s="40"/>
      <c r="R98" s="40"/>
      <c r="S98" s="2"/>
    </row>
    <row r="99" spans="1:19" x14ac:dyDescent="0.25">
      <c r="A99" s="40">
        <f>'Synthèse Horaires'!$I$4</f>
        <v>0</v>
      </c>
      <c r="B99" s="40">
        <f t="shared" ref="B99:B101" si="22">B98</f>
        <v>0</v>
      </c>
      <c r="C99" s="40" t="str">
        <f t="shared" si="20"/>
        <v>NU</v>
      </c>
      <c r="D99" s="40">
        <f>D51*3.5</f>
        <v>0</v>
      </c>
      <c r="E99" s="40" t="str">
        <f t="shared" si="18"/>
        <v>Juin</v>
      </c>
      <c r="F99" s="40">
        <f t="shared" si="19"/>
        <v>2026</v>
      </c>
      <c r="G99" s="53">
        <v>0</v>
      </c>
      <c r="H99" s="53">
        <v>0</v>
      </c>
      <c r="M99" s="2"/>
      <c r="N99" s="40">
        <f>N34</f>
        <v>0</v>
      </c>
      <c r="O99" s="40" t="s">
        <v>697</v>
      </c>
      <c r="P99" s="40">
        <f>N37</f>
        <v>0</v>
      </c>
      <c r="Q99" s="40"/>
      <c r="R99" s="40"/>
      <c r="S99" s="2"/>
    </row>
    <row r="100" spans="1:19" x14ac:dyDescent="0.25">
      <c r="A100" s="40">
        <f>'Synthèse Horaires'!$I$4</f>
        <v>0</v>
      </c>
      <c r="B100" s="40">
        <f t="shared" si="22"/>
        <v>0</v>
      </c>
      <c r="C100" s="40">
        <f t="shared" si="20"/>
        <v>0</v>
      </c>
      <c r="D100" s="40">
        <f>D52*3.5</f>
        <v>0</v>
      </c>
      <c r="E100" s="40" t="str">
        <f t="shared" si="18"/>
        <v>Juin</v>
      </c>
      <c r="F100" s="40">
        <f t="shared" si="19"/>
        <v>2026</v>
      </c>
      <c r="G100" s="53">
        <v>0</v>
      </c>
      <c r="H100" s="53">
        <v>0</v>
      </c>
      <c r="M100" s="2"/>
      <c r="N100" s="40">
        <f>O34</f>
        <v>0</v>
      </c>
      <c r="O100" s="40" t="s">
        <v>697</v>
      </c>
      <c r="P100" s="40">
        <f>O37</f>
        <v>0</v>
      </c>
      <c r="Q100" s="40"/>
      <c r="R100" s="40"/>
      <c r="S100" s="2"/>
    </row>
    <row r="101" spans="1:19" x14ac:dyDescent="0.25">
      <c r="A101" s="40">
        <f>'Synthèse Horaires'!$I$4</f>
        <v>0</v>
      </c>
      <c r="B101" s="40">
        <f t="shared" si="22"/>
        <v>0</v>
      </c>
      <c r="C101" s="40">
        <f t="shared" si="20"/>
        <v>0</v>
      </c>
      <c r="D101" s="40">
        <f>D53*3.5</f>
        <v>0</v>
      </c>
      <c r="E101" s="40" t="str">
        <f t="shared" si="18"/>
        <v>Juin</v>
      </c>
      <c r="F101" s="40">
        <f t="shared" si="19"/>
        <v>2026</v>
      </c>
      <c r="G101" s="53">
        <v>0</v>
      </c>
      <c r="H101" s="53">
        <v>0</v>
      </c>
      <c r="M101" s="2"/>
      <c r="N101" s="40">
        <f>P34</f>
        <v>0</v>
      </c>
      <c r="O101" s="40" t="s">
        <v>697</v>
      </c>
      <c r="P101" s="40">
        <f>P37</f>
        <v>0</v>
      </c>
      <c r="Q101" s="40"/>
      <c r="R101" s="40"/>
      <c r="S101" s="2"/>
    </row>
    <row r="102" spans="1:19" x14ac:dyDescent="0.25">
      <c r="A102" s="40">
        <f>'Synthèse Horaires'!$I$4</f>
        <v>0</v>
      </c>
      <c r="B102" s="40">
        <f>E34</f>
        <v>0</v>
      </c>
      <c r="C102" s="40">
        <f>C97</f>
        <v>23</v>
      </c>
      <c r="D102" s="40">
        <f>E49*3.5</f>
        <v>0</v>
      </c>
      <c r="E102" s="40" t="str">
        <f t="shared" si="18"/>
        <v>Juin</v>
      </c>
      <c r="F102" s="40">
        <f t="shared" si="19"/>
        <v>2026</v>
      </c>
      <c r="G102" s="27">
        <f>E39</f>
        <v>0</v>
      </c>
      <c r="H102" s="27">
        <f>E43</f>
        <v>0</v>
      </c>
      <c r="M102" s="2"/>
      <c r="N102" s="40">
        <f>Q34</f>
        <v>0</v>
      </c>
      <c r="O102" s="40" t="s">
        <v>697</v>
      </c>
      <c r="P102" s="40">
        <f>Q37</f>
        <v>0</v>
      </c>
      <c r="Q102" s="40"/>
      <c r="R102" s="40"/>
      <c r="S102" s="2"/>
    </row>
    <row r="103" spans="1:19" x14ac:dyDescent="0.25">
      <c r="A103" s="40">
        <f>'Synthèse Horaires'!$I$4</f>
        <v>0</v>
      </c>
      <c r="B103" s="40">
        <f>B102</f>
        <v>0</v>
      </c>
      <c r="C103" s="40">
        <f t="shared" si="20"/>
        <v>24</v>
      </c>
      <c r="D103" s="40">
        <f>E50*3.5</f>
        <v>0</v>
      </c>
      <c r="E103" s="40" t="str">
        <f t="shared" si="18"/>
        <v>Juin</v>
      </c>
      <c r="F103" s="40">
        <f t="shared" si="19"/>
        <v>2026</v>
      </c>
      <c r="G103" s="53">
        <v>0</v>
      </c>
      <c r="H103" s="53">
        <v>0</v>
      </c>
      <c r="M103" s="2"/>
      <c r="N103" s="40">
        <f>R34</f>
        <v>0</v>
      </c>
      <c r="O103" s="40" t="s">
        <v>697</v>
      </c>
      <c r="P103" s="40">
        <f>R37</f>
        <v>0</v>
      </c>
      <c r="Q103" s="40"/>
      <c r="R103" s="40"/>
      <c r="S103" s="2"/>
    </row>
    <row r="104" spans="1:19" x14ac:dyDescent="0.25">
      <c r="A104" s="40">
        <f>'Synthèse Horaires'!$I$4</f>
        <v>0</v>
      </c>
      <c r="B104" s="40">
        <f t="shared" ref="B104:B106" si="23">B103</f>
        <v>0</v>
      </c>
      <c r="C104" s="40" t="str">
        <f t="shared" si="20"/>
        <v>NU</v>
      </c>
      <c r="D104" s="40">
        <f>E51*3.5</f>
        <v>0</v>
      </c>
      <c r="E104" s="40" t="str">
        <f t="shared" si="18"/>
        <v>Juin</v>
      </c>
      <c r="F104" s="40">
        <f t="shared" si="19"/>
        <v>2026</v>
      </c>
      <c r="G104" s="53">
        <v>0</v>
      </c>
      <c r="H104" s="53">
        <v>0</v>
      </c>
      <c r="M104" s="2"/>
      <c r="N104" s="40">
        <f>S34</f>
        <v>0</v>
      </c>
      <c r="O104" s="40" t="s">
        <v>697</v>
      </c>
      <c r="P104" s="40">
        <f>S37</f>
        <v>0</v>
      </c>
      <c r="Q104" s="40"/>
      <c r="R104" s="40"/>
      <c r="S104" s="2"/>
    </row>
    <row r="105" spans="1:19" x14ac:dyDescent="0.25">
      <c r="A105" s="40">
        <f>'Synthèse Horaires'!$I$4</f>
        <v>0</v>
      </c>
      <c r="B105" s="40">
        <f t="shared" si="23"/>
        <v>0</v>
      </c>
      <c r="C105" s="40">
        <f t="shared" si="20"/>
        <v>0</v>
      </c>
      <c r="D105" s="40">
        <f>E52*3.5</f>
        <v>0</v>
      </c>
      <c r="E105" s="40" t="str">
        <f t="shared" si="18"/>
        <v>Juin</v>
      </c>
      <c r="F105" s="40">
        <f t="shared" si="19"/>
        <v>2026</v>
      </c>
      <c r="G105" s="53">
        <v>0</v>
      </c>
      <c r="H105" s="53">
        <v>0</v>
      </c>
      <c r="M105" s="2"/>
      <c r="N105" s="40">
        <f>T34</f>
        <v>0</v>
      </c>
      <c r="O105" s="40" t="s">
        <v>697</v>
      </c>
      <c r="P105" s="40">
        <f>T37</f>
        <v>0</v>
      </c>
      <c r="Q105" s="40"/>
      <c r="R105" s="40"/>
      <c r="S105" s="2"/>
    </row>
    <row r="106" spans="1:19" x14ac:dyDescent="0.25">
      <c r="A106" s="40">
        <f>'Synthèse Horaires'!$I$4</f>
        <v>0</v>
      </c>
      <c r="B106" s="40">
        <f t="shared" si="23"/>
        <v>0</v>
      </c>
      <c r="C106" s="40">
        <f t="shared" si="20"/>
        <v>0</v>
      </c>
      <c r="D106" s="40">
        <f>E53*3.5</f>
        <v>0</v>
      </c>
      <c r="E106" s="40" t="str">
        <f t="shared" si="18"/>
        <v>Juin</v>
      </c>
      <c r="F106" s="40">
        <f t="shared" si="19"/>
        <v>2026</v>
      </c>
      <c r="G106" s="53">
        <v>0</v>
      </c>
      <c r="H106" s="53">
        <v>0</v>
      </c>
      <c r="M106" s="2"/>
      <c r="N106" s="40">
        <f>U34</f>
        <v>0</v>
      </c>
      <c r="O106" s="40" t="s">
        <v>697</v>
      </c>
      <c r="P106" s="40">
        <f>U37</f>
        <v>0</v>
      </c>
      <c r="Q106" s="40"/>
      <c r="R106" s="40"/>
      <c r="S106" s="2"/>
    </row>
    <row r="107" spans="1:19" x14ac:dyDescent="0.25">
      <c r="A107" s="40">
        <f>'Synthèse Horaires'!$I$4</f>
        <v>0</v>
      </c>
      <c r="B107" s="40">
        <f>F34</f>
        <v>0</v>
      </c>
      <c r="C107" s="40">
        <f>C102</f>
        <v>23</v>
      </c>
      <c r="D107" s="40">
        <f>F49*3.5</f>
        <v>0</v>
      </c>
      <c r="E107" s="40" t="str">
        <f t="shared" si="18"/>
        <v>Juin</v>
      </c>
      <c r="F107" s="40">
        <f t="shared" si="19"/>
        <v>2026</v>
      </c>
      <c r="G107" s="27">
        <f>F39</f>
        <v>0</v>
      </c>
      <c r="H107" s="27">
        <f>F43</f>
        <v>0</v>
      </c>
      <c r="M107" s="2"/>
      <c r="N107" s="40">
        <f>N87</f>
        <v>0</v>
      </c>
      <c r="O107" s="40" t="s">
        <v>698</v>
      </c>
      <c r="P107" s="40">
        <f>B47</f>
        <v>0</v>
      </c>
      <c r="Q107" s="40"/>
      <c r="R107" s="40"/>
      <c r="S107" s="2"/>
    </row>
    <row r="108" spans="1:19" x14ac:dyDescent="0.25">
      <c r="A108" s="40">
        <f>'Synthèse Horaires'!$I$4</f>
        <v>0</v>
      </c>
      <c r="B108" s="40">
        <f>B107</f>
        <v>0</v>
      </c>
      <c r="C108" s="40">
        <f t="shared" si="20"/>
        <v>24</v>
      </c>
      <c r="D108" s="40">
        <f>F50*3.5</f>
        <v>0</v>
      </c>
      <c r="E108" s="40" t="str">
        <f t="shared" si="18"/>
        <v>Juin</v>
      </c>
      <c r="F108" s="40">
        <f t="shared" si="19"/>
        <v>2026</v>
      </c>
      <c r="G108" s="53">
        <v>0</v>
      </c>
      <c r="H108" s="53">
        <v>0</v>
      </c>
      <c r="M108" s="2"/>
      <c r="N108" s="40">
        <f t="shared" ref="N108:N146" si="24">N88</f>
        <v>0</v>
      </c>
      <c r="O108" s="40" t="s">
        <v>698</v>
      </c>
      <c r="P108" s="40">
        <f>C47</f>
        <v>0</v>
      </c>
      <c r="Q108" s="40"/>
      <c r="R108" s="40"/>
      <c r="S108" s="2"/>
    </row>
    <row r="109" spans="1:19" x14ac:dyDescent="0.25">
      <c r="A109" s="40">
        <f>'Synthèse Horaires'!$I$4</f>
        <v>0</v>
      </c>
      <c r="B109" s="40">
        <f t="shared" ref="B109:B111" si="25">B108</f>
        <v>0</v>
      </c>
      <c r="C109" s="40" t="str">
        <f t="shared" si="20"/>
        <v>NU</v>
      </c>
      <c r="D109" s="40">
        <f>F51*3.5</f>
        <v>0</v>
      </c>
      <c r="E109" s="40" t="str">
        <f t="shared" si="18"/>
        <v>Juin</v>
      </c>
      <c r="F109" s="40">
        <f t="shared" si="19"/>
        <v>2026</v>
      </c>
      <c r="G109" s="53">
        <v>0</v>
      </c>
      <c r="H109" s="53">
        <v>0</v>
      </c>
      <c r="M109" s="2"/>
      <c r="N109" s="40">
        <f t="shared" si="24"/>
        <v>0</v>
      </c>
      <c r="O109" s="40" t="s">
        <v>698</v>
      </c>
      <c r="P109" s="40">
        <f>D47</f>
        <v>0</v>
      </c>
      <c r="Q109" s="40"/>
      <c r="R109" s="40"/>
      <c r="S109" s="2"/>
    </row>
    <row r="110" spans="1:19" x14ac:dyDescent="0.25">
      <c r="A110" s="40">
        <f>'Synthèse Horaires'!$I$4</f>
        <v>0</v>
      </c>
      <c r="B110" s="40">
        <f t="shared" si="25"/>
        <v>0</v>
      </c>
      <c r="C110" s="40">
        <f t="shared" si="20"/>
        <v>0</v>
      </c>
      <c r="D110" s="40">
        <f>F52*3.5</f>
        <v>0</v>
      </c>
      <c r="E110" s="40" t="str">
        <f t="shared" si="18"/>
        <v>Juin</v>
      </c>
      <c r="F110" s="40">
        <f t="shared" si="19"/>
        <v>2026</v>
      </c>
      <c r="G110" s="53">
        <v>0</v>
      </c>
      <c r="H110" s="53">
        <v>0</v>
      </c>
      <c r="M110" s="2"/>
      <c r="N110" s="40">
        <f t="shared" si="24"/>
        <v>0</v>
      </c>
      <c r="O110" s="40" t="s">
        <v>698</v>
      </c>
      <c r="P110" s="40">
        <f>E47</f>
        <v>0</v>
      </c>
      <c r="Q110" s="40"/>
      <c r="R110" s="40"/>
      <c r="S110" s="2"/>
    </row>
    <row r="111" spans="1:19" x14ac:dyDescent="0.25">
      <c r="A111" s="40">
        <f>'Synthèse Horaires'!$I$4</f>
        <v>0</v>
      </c>
      <c r="B111" s="40">
        <f t="shared" si="25"/>
        <v>0</v>
      </c>
      <c r="C111" s="40">
        <f t="shared" si="20"/>
        <v>0</v>
      </c>
      <c r="D111" s="40">
        <f>F53*3.5</f>
        <v>0</v>
      </c>
      <c r="E111" s="40" t="str">
        <f t="shared" si="18"/>
        <v>Juin</v>
      </c>
      <c r="F111" s="40">
        <f t="shared" si="19"/>
        <v>2026</v>
      </c>
      <c r="G111" s="53">
        <v>0</v>
      </c>
      <c r="H111" s="53">
        <v>0</v>
      </c>
      <c r="M111" s="2"/>
      <c r="N111" s="40">
        <f t="shared" si="24"/>
        <v>0</v>
      </c>
      <c r="O111" s="40" t="s">
        <v>698</v>
      </c>
      <c r="P111" s="40">
        <f>F47</f>
        <v>0</v>
      </c>
      <c r="Q111" s="40"/>
      <c r="R111" s="40"/>
      <c r="S111" s="2"/>
    </row>
    <row r="112" spans="1:19" x14ac:dyDescent="0.25">
      <c r="A112" s="40">
        <f>'Synthèse Horaires'!$I$4</f>
        <v>0</v>
      </c>
      <c r="B112" s="40">
        <f>G34</f>
        <v>0</v>
      </c>
      <c r="C112" s="40">
        <f>C107</f>
        <v>23</v>
      </c>
      <c r="D112" s="40">
        <f>G49</f>
        <v>0</v>
      </c>
      <c r="E112" s="40" t="str">
        <f t="shared" si="18"/>
        <v>Juin</v>
      </c>
      <c r="F112" s="40">
        <f t="shared" si="19"/>
        <v>2026</v>
      </c>
      <c r="G112" s="27">
        <f>G39</f>
        <v>0</v>
      </c>
      <c r="H112" s="27">
        <f>G43</f>
        <v>0</v>
      </c>
      <c r="M112" s="2"/>
      <c r="N112" s="40">
        <f t="shared" si="24"/>
        <v>0</v>
      </c>
      <c r="O112" s="40" t="s">
        <v>698</v>
      </c>
      <c r="P112" s="40">
        <f>G46</f>
        <v>0</v>
      </c>
      <c r="Q112" s="40"/>
      <c r="R112" s="40"/>
      <c r="S112" s="2"/>
    </row>
    <row r="113" spans="1:19" x14ac:dyDescent="0.25">
      <c r="A113" s="40">
        <f>'Synthèse Horaires'!$I$4</f>
        <v>0</v>
      </c>
      <c r="B113" s="40">
        <f>B112</f>
        <v>0</v>
      </c>
      <c r="C113" s="40">
        <f t="shared" si="20"/>
        <v>24</v>
      </c>
      <c r="D113" s="40">
        <f>G50</f>
        <v>0</v>
      </c>
      <c r="E113" s="40" t="str">
        <f t="shared" si="18"/>
        <v>Juin</v>
      </c>
      <c r="F113" s="40">
        <f t="shared" si="19"/>
        <v>2026</v>
      </c>
      <c r="G113" s="53">
        <v>0</v>
      </c>
      <c r="H113" s="53">
        <v>0</v>
      </c>
      <c r="M113" s="2"/>
      <c r="N113" s="40">
        <f t="shared" si="24"/>
        <v>0</v>
      </c>
      <c r="O113" s="40" t="s">
        <v>698</v>
      </c>
      <c r="P113" s="40">
        <f>H46</f>
        <v>0</v>
      </c>
      <c r="Q113" s="40"/>
      <c r="R113" s="40"/>
      <c r="S113" s="2"/>
    </row>
    <row r="114" spans="1:19" x14ac:dyDescent="0.25">
      <c r="A114" s="40">
        <f>'Synthèse Horaires'!$I$4</f>
        <v>0</v>
      </c>
      <c r="B114" s="40">
        <f t="shared" ref="B114:B116" si="26">B113</f>
        <v>0</v>
      </c>
      <c r="C114" s="40" t="str">
        <f t="shared" si="20"/>
        <v>NU</v>
      </c>
      <c r="D114" s="40">
        <f>G51</f>
        <v>0</v>
      </c>
      <c r="E114" s="40" t="str">
        <f t="shared" si="18"/>
        <v>Juin</v>
      </c>
      <c r="F114" s="40">
        <f t="shared" si="19"/>
        <v>2026</v>
      </c>
      <c r="G114" s="53">
        <v>0</v>
      </c>
      <c r="H114" s="53">
        <v>0</v>
      </c>
      <c r="M114" s="2"/>
      <c r="N114" s="40">
        <f t="shared" si="24"/>
        <v>0</v>
      </c>
      <c r="O114" s="40" t="s">
        <v>698</v>
      </c>
      <c r="P114" s="40">
        <f>I46</f>
        <v>0</v>
      </c>
      <c r="Q114" s="40"/>
      <c r="R114" s="40"/>
      <c r="S114" s="2"/>
    </row>
    <row r="115" spans="1:19" x14ac:dyDescent="0.25">
      <c r="A115" s="40">
        <f>'Synthèse Horaires'!$I$4</f>
        <v>0</v>
      </c>
      <c r="B115" s="40">
        <f t="shared" si="26"/>
        <v>0</v>
      </c>
      <c r="C115" s="40">
        <f t="shared" si="20"/>
        <v>0</v>
      </c>
      <c r="D115" s="40">
        <f>G52</f>
        <v>0</v>
      </c>
      <c r="E115" s="40" t="str">
        <f t="shared" si="18"/>
        <v>Juin</v>
      </c>
      <c r="F115" s="40">
        <f t="shared" si="19"/>
        <v>2026</v>
      </c>
      <c r="G115" s="53">
        <v>0</v>
      </c>
      <c r="H115" s="53">
        <v>0</v>
      </c>
      <c r="M115" s="2"/>
      <c r="N115" s="40">
        <f t="shared" si="24"/>
        <v>0</v>
      </c>
      <c r="O115" s="40" t="s">
        <v>698</v>
      </c>
      <c r="P115" s="40">
        <f>J46</f>
        <v>0</v>
      </c>
      <c r="Q115" s="40"/>
      <c r="R115" s="40"/>
      <c r="S115" s="2"/>
    </row>
    <row r="116" spans="1:19" x14ac:dyDescent="0.25">
      <c r="A116" s="40">
        <f>'Synthèse Horaires'!$I$4</f>
        <v>0</v>
      </c>
      <c r="B116" s="40">
        <f t="shared" si="26"/>
        <v>0</v>
      </c>
      <c r="C116" s="40">
        <f t="shared" si="20"/>
        <v>0</v>
      </c>
      <c r="D116" s="40">
        <f>G53</f>
        <v>0</v>
      </c>
      <c r="E116" s="40" t="str">
        <f t="shared" si="18"/>
        <v>Juin</v>
      </c>
      <c r="F116" s="40">
        <f t="shared" si="19"/>
        <v>2026</v>
      </c>
      <c r="G116" s="53">
        <v>0</v>
      </c>
      <c r="H116" s="53">
        <v>0</v>
      </c>
      <c r="M116" s="2"/>
      <c r="N116" s="40">
        <f t="shared" si="24"/>
        <v>0</v>
      </c>
      <c r="O116" s="40" t="s">
        <v>698</v>
      </c>
      <c r="P116" s="40">
        <f>K46</f>
        <v>0</v>
      </c>
      <c r="Q116" s="40"/>
      <c r="R116" s="40"/>
      <c r="S116" s="2"/>
    </row>
    <row r="117" spans="1:19" x14ac:dyDescent="0.25">
      <c r="A117" s="40">
        <f>'Synthèse Horaires'!$I$4</f>
        <v>0</v>
      </c>
      <c r="B117" s="40">
        <f>H34</f>
        <v>0</v>
      </c>
      <c r="C117" s="40">
        <f>C112</f>
        <v>23</v>
      </c>
      <c r="D117" s="40">
        <f>H49</f>
        <v>0</v>
      </c>
      <c r="E117" s="40" t="str">
        <f t="shared" si="18"/>
        <v>Juin</v>
      </c>
      <c r="F117" s="40">
        <f t="shared" si="19"/>
        <v>2026</v>
      </c>
      <c r="G117" s="27">
        <f>H39</f>
        <v>0</v>
      </c>
      <c r="H117" s="27">
        <f>H43</f>
        <v>0</v>
      </c>
      <c r="M117" s="2"/>
      <c r="N117" s="40">
        <f t="shared" si="24"/>
        <v>0</v>
      </c>
      <c r="O117" s="40" t="s">
        <v>698</v>
      </c>
      <c r="P117" s="40">
        <f>L46</f>
        <v>0</v>
      </c>
      <c r="Q117" s="40"/>
      <c r="R117" s="40"/>
      <c r="S117" s="2"/>
    </row>
    <row r="118" spans="1:19" x14ac:dyDescent="0.25">
      <c r="A118" s="40">
        <f>'Synthèse Horaires'!$I$4</f>
        <v>0</v>
      </c>
      <c r="B118" s="40">
        <f>B117</f>
        <v>0</v>
      </c>
      <c r="C118" s="40">
        <f t="shared" si="20"/>
        <v>24</v>
      </c>
      <c r="D118" s="40">
        <f>H50</f>
        <v>0</v>
      </c>
      <c r="E118" s="40" t="str">
        <f t="shared" si="18"/>
        <v>Juin</v>
      </c>
      <c r="F118" s="40">
        <f t="shared" si="19"/>
        <v>2026</v>
      </c>
      <c r="G118" s="53">
        <v>0</v>
      </c>
      <c r="H118" s="53">
        <v>0</v>
      </c>
      <c r="M118" s="2"/>
      <c r="N118" s="40">
        <f t="shared" si="24"/>
        <v>0</v>
      </c>
      <c r="O118" s="40" t="s">
        <v>698</v>
      </c>
      <c r="P118" s="40">
        <f>M46</f>
        <v>0</v>
      </c>
      <c r="Q118" s="40"/>
      <c r="R118" s="40"/>
      <c r="S118" s="2"/>
    </row>
    <row r="119" spans="1:19" x14ac:dyDescent="0.25">
      <c r="A119" s="40">
        <f>'Synthèse Horaires'!$I$4</f>
        <v>0</v>
      </c>
      <c r="B119" s="40">
        <f t="shared" ref="B119:B121" si="27">B118</f>
        <v>0</v>
      </c>
      <c r="C119" s="40" t="str">
        <f t="shared" si="20"/>
        <v>NU</v>
      </c>
      <c r="D119" s="40">
        <f>H51</f>
        <v>0</v>
      </c>
      <c r="E119" s="40" t="str">
        <f t="shared" si="18"/>
        <v>Juin</v>
      </c>
      <c r="F119" s="40">
        <f t="shared" si="19"/>
        <v>2026</v>
      </c>
      <c r="G119" s="53">
        <v>0</v>
      </c>
      <c r="H119" s="53">
        <v>0</v>
      </c>
      <c r="M119" s="2"/>
      <c r="N119" s="40">
        <f t="shared" si="24"/>
        <v>0</v>
      </c>
      <c r="O119" s="40" t="s">
        <v>698</v>
      </c>
      <c r="P119" s="40">
        <f>N46</f>
        <v>0</v>
      </c>
      <c r="Q119" s="40"/>
      <c r="R119" s="40"/>
      <c r="S119" s="2"/>
    </row>
    <row r="120" spans="1:19" x14ac:dyDescent="0.25">
      <c r="A120" s="40">
        <f>'Synthèse Horaires'!$I$4</f>
        <v>0</v>
      </c>
      <c r="B120" s="40">
        <f t="shared" si="27"/>
        <v>0</v>
      </c>
      <c r="C120" s="40">
        <f t="shared" si="20"/>
        <v>0</v>
      </c>
      <c r="D120" s="40">
        <f>H52</f>
        <v>0</v>
      </c>
      <c r="E120" s="40" t="str">
        <f t="shared" si="18"/>
        <v>Juin</v>
      </c>
      <c r="F120" s="40">
        <f t="shared" si="19"/>
        <v>2026</v>
      </c>
      <c r="G120" s="53">
        <v>0</v>
      </c>
      <c r="H120" s="53">
        <v>0</v>
      </c>
      <c r="M120" s="2"/>
      <c r="N120" s="40">
        <f t="shared" si="24"/>
        <v>0</v>
      </c>
      <c r="O120" s="40" t="s">
        <v>698</v>
      </c>
      <c r="P120" s="40">
        <f>O46</f>
        <v>0</v>
      </c>
      <c r="Q120" s="40"/>
      <c r="R120" s="40"/>
      <c r="S120" s="2"/>
    </row>
    <row r="121" spans="1:19" x14ac:dyDescent="0.25">
      <c r="A121" s="40">
        <f>'Synthèse Horaires'!$I$4</f>
        <v>0</v>
      </c>
      <c r="B121" s="40">
        <f t="shared" si="27"/>
        <v>0</v>
      </c>
      <c r="C121" s="40">
        <f t="shared" si="20"/>
        <v>0</v>
      </c>
      <c r="D121" s="40">
        <f>H53</f>
        <v>0</v>
      </c>
      <c r="E121" s="40" t="str">
        <f t="shared" si="18"/>
        <v>Juin</v>
      </c>
      <c r="F121" s="40">
        <f t="shared" si="19"/>
        <v>2026</v>
      </c>
      <c r="G121" s="53">
        <v>0</v>
      </c>
      <c r="H121" s="53">
        <v>0</v>
      </c>
      <c r="M121" s="2"/>
      <c r="N121" s="40">
        <f t="shared" si="24"/>
        <v>0</v>
      </c>
      <c r="O121" s="40" t="s">
        <v>698</v>
      </c>
      <c r="P121" s="40">
        <f>P46</f>
        <v>0</v>
      </c>
      <c r="Q121" s="40"/>
      <c r="R121" s="40"/>
      <c r="S121" s="2"/>
    </row>
    <row r="122" spans="1:19" x14ac:dyDescent="0.25">
      <c r="A122" s="40">
        <f>'Synthèse Horaires'!$I$4</f>
        <v>0</v>
      </c>
      <c r="B122" s="40">
        <f>I34</f>
        <v>0</v>
      </c>
      <c r="C122" s="40">
        <f>C117</f>
        <v>23</v>
      </c>
      <c r="D122" s="40">
        <f>I49</f>
        <v>0</v>
      </c>
      <c r="E122" s="40" t="str">
        <f t="shared" si="18"/>
        <v>Juin</v>
      </c>
      <c r="F122" s="40">
        <f t="shared" si="19"/>
        <v>2026</v>
      </c>
      <c r="G122" s="27">
        <f>I39</f>
        <v>0</v>
      </c>
      <c r="H122" s="27">
        <f>I43</f>
        <v>0</v>
      </c>
      <c r="M122" s="2"/>
      <c r="N122" s="40">
        <f t="shared" si="24"/>
        <v>0</v>
      </c>
      <c r="O122" s="40" t="s">
        <v>698</v>
      </c>
      <c r="P122" s="40">
        <f>Q46</f>
        <v>0</v>
      </c>
      <c r="Q122" s="40"/>
      <c r="R122" s="40"/>
      <c r="S122" s="2"/>
    </row>
    <row r="123" spans="1:19" x14ac:dyDescent="0.25">
      <c r="A123" s="40">
        <f>'Synthèse Horaires'!$I$4</f>
        <v>0</v>
      </c>
      <c r="B123" s="40">
        <f>B122</f>
        <v>0</v>
      </c>
      <c r="C123" s="40">
        <f t="shared" si="20"/>
        <v>24</v>
      </c>
      <c r="D123" s="40">
        <f>I50</f>
        <v>0</v>
      </c>
      <c r="E123" s="40" t="str">
        <f t="shared" si="18"/>
        <v>Juin</v>
      </c>
      <c r="F123" s="40">
        <f t="shared" si="19"/>
        <v>2026</v>
      </c>
      <c r="G123" s="53">
        <v>0</v>
      </c>
      <c r="H123" s="53">
        <v>0</v>
      </c>
      <c r="M123" s="2"/>
      <c r="N123" s="40">
        <f t="shared" si="24"/>
        <v>0</v>
      </c>
      <c r="O123" s="40" t="s">
        <v>698</v>
      </c>
      <c r="P123" s="40">
        <f>R46</f>
        <v>0</v>
      </c>
      <c r="Q123" s="40"/>
      <c r="R123" s="40"/>
      <c r="S123" s="2"/>
    </row>
    <row r="124" spans="1:19" x14ac:dyDescent="0.25">
      <c r="A124" s="40">
        <f>'Synthèse Horaires'!$I$4</f>
        <v>0</v>
      </c>
      <c r="B124" s="40">
        <f t="shared" ref="B124:B126" si="28">B123</f>
        <v>0</v>
      </c>
      <c r="C124" s="40" t="str">
        <f t="shared" si="20"/>
        <v>NU</v>
      </c>
      <c r="D124" s="40">
        <f>I51</f>
        <v>0</v>
      </c>
      <c r="E124" s="40" t="str">
        <f t="shared" si="18"/>
        <v>Juin</v>
      </c>
      <c r="F124" s="40">
        <f t="shared" si="19"/>
        <v>2026</v>
      </c>
      <c r="G124" s="53">
        <v>0</v>
      </c>
      <c r="H124" s="53">
        <v>0</v>
      </c>
      <c r="M124" s="2"/>
      <c r="N124" s="40">
        <f t="shared" si="24"/>
        <v>0</v>
      </c>
      <c r="O124" s="40" t="s">
        <v>698</v>
      </c>
      <c r="P124" s="40">
        <f>S46</f>
        <v>0</v>
      </c>
      <c r="Q124" s="40"/>
      <c r="R124" s="40"/>
      <c r="S124" s="2"/>
    </row>
    <row r="125" spans="1:19" x14ac:dyDescent="0.25">
      <c r="A125" s="40">
        <f>'Synthèse Horaires'!$I$4</f>
        <v>0</v>
      </c>
      <c r="B125" s="40">
        <f t="shared" si="28"/>
        <v>0</v>
      </c>
      <c r="C125" s="40">
        <f t="shared" si="20"/>
        <v>0</v>
      </c>
      <c r="D125" s="40">
        <f>I52</f>
        <v>0</v>
      </c>
      <c r="E125" s="40" t="str">
        <f t="shared" si="18"/>
        <v>Juin</v>
      </c>
      <c r="F125" s="40">
        <f t="shared" si="19"/>
        <v>2026</v>
      </c>
      <c r="G125" s="53">
        <v>0</v>
      </c>
      <c r="H125" s="53">
        <v>0</v>
      </c>
      <c r="M125" s="2"/>
      <c r="N125" s="40">
        <f t="shared" si="24"/>
        <v>0</v>
      </c>
      <c r="O125" s="40" t="s">
        <v>698</v>
      </c>
      <c r="P125" s="40">
        <f>T46</f>
        <v>0</v>
      </c>
      <c r="Q125" s="40"/>
      <c r="R125" s="40"/>
      <c r="S125" s="2"/>
    </row>
    <row r="126" spans="1:19" x14ac:dyDescent="0.25">
      <c r="A126" s="40">
        <f>'Synthèse Horaires'!$I$4</f>
        <v>0</v>
      </c>
      <c r="B126" s="40">
        <f t="shared" si="28"/>
        <v>0</v>
      </c>
      <c r="C126" s="40">
        <f t="shared" si="20"/>
        <v>0</v>
      </c>
      <c r="D126" s="40">
        <f>I53</f>
        <v>0</v>
      </c>
      <c r="E126" s="40" t="str">
        <f t="shared" si="18"/>
        <v>Juin</v>
      </c>
      <c r="F126" s="40">
        <f t="shared" si="19"/>
        <v>2026</v>
      </c>
      <c r="G126" s="53">
        <v>0</v>
      </c>
      <c r="H126" s="53">
        <v>0</v>
      </c>
      <c r="M126" s="2"/>
      <c r="N126" s="40">
        <f t="shared" si="24"/>
        <v>0</v>
      </c>
      <c r="O126" s="40" t="s">
        <v>698</v>
      </c>
      <c r="P126" s="40">
        <f>U46</f>
        <v>0</v>
      </c>
      <c r="Q126" s="40"/>
      <c r="R126" s="40"/>
      <c r="S126" s="2"/>
    </row>
    <row r="127" spans="1:19" x14ac:dyDescent="0.25">
      <c r="A127" s="40">
        <f>'Synthèse Horaires'!$I$4</f>
        <v>0</v>
      </c>
      <c r="B127" s="40">
        <f>J34</f>
        <v>0</v>
      </c>
      <c r="C127" s="40">
        <f>C122</f>
        <v>23</v>
      </c>
      <c r="D127" s="40">
        <f>J49</f>
        <v>0</v>
      </c>
      <c r="E127" s="40" t="str">
        <f t="shared" si="18"/>
        <v>Juin</v>
      </c>
      <c r="F127" s="40">
        <f t="shared" si="19"/>
        <v>2026</v>
      </c>
      <c r="G127" s="27">
        <f>J39</f>
        <v>0</v>
      </c>
      <c r="H127" s="27">
        <f>J43</f>
        <v>0</v>
      </c>
      <c r="M127" s="2"/>
      <c r="N127" s="40">
        <f>N107</f>
        <v>0</v>
      </c>
      <c r="O127" s="40" t="s">
        <v>699</v>
      </c>
      <c r="P127" s="40">
        <f>B48</f>
        <v>0</v>
      </c>
      <c r="Q127" s="40"/>
      <c r="R127" s="40"/>
      <c r="S127" s="2"/>
    </row>
    <row r="128" spans="1:19" x14ac:dyDescent="0.25">
      <c r="A128" s="40">
        <f>'Synthèse Horaires'!$I$4</f>
        <v>0</v>
      </c>
      <c r="B128" s="40">
        <f>B127</f>
        <v>0</v>
      </c>
      <c r="C128" s="40">
        <f t="shared" si="20"/>
        <v>24</v>
      </c>
      <c r="D128" s="40">
        <f>J50</f>
        <v>0</v>
      </c>
      <c r="E128" s="40" t="str">
        <f t="shared" si="18"/>
        <v>Juin</v>
      </c>
      <c r="F128" s="40">
        <f t="shared" si="19"/>
        <v>2026</v>
      </c>
      <c r="G128" s="53">
        <v>0</v>
      </c>
      <c r="H128" s="53">
        <v>0</v>
      </c>
      <c r="M128" s="2"/>
      <c r="N128" s="40">
        <f t="shared" si="24"/>
        <v>0</v>
      </c>
      <c r="O128" s="40" t="s">
        <v>699</v>
      </c>
      <c r="P128" s="40">
        <f>C48</f>
        <v>0</v>
      </c>
      <c r="Q128" s="40"/>
      <c r="R128" s="40"/>
      <c r="S128" s="2"/>
    </row>
    <row r="129" spans="1:19" x14ac:dyDescent="0.25">
      <c r="A129" s="40">
        <f>'Synthèse Horaires'!$I$4</f>
        <v>0</v>
      </c>
      <c r="B129" s="40">
        <f t="shared" ref="B129:B131" si="29">B128</f>
        <v>0</v>
      </c>
      <c r="C129" s="40" t="str">
        <f t="shared" si="20"/>
        <v>NU</v>
      </c>
      <c r="D129" s="40">
        <f>J51</f>
        <v>0</v>
      </c>
      <c r="E129" s="40" t="str">
        <f t="shared" si="18"/>
        <v>Juin</v>
      </c>
      <c r="F129" s="40">
        <f t="shared" si="19"/>
        <v>2026</v>
      </c>
      <c r="G129" s="53">
        <v>0</v>
      </c>
      <c r="H129" s="53">
        <v>0</v>
      </c>
      <c r="M129" s="2"/>
      <c r="N129" s="40">
        <f t="shared" si="24"/>
        <v>0</v>
      </c>
      <c r="O129" s="40" t="s">
        <v>699</v>
      </c>
      <c r="P129" s="40">
        <f>D48</f>
        <v>0</v>
      </c>
      <c r="Q129" s="40"/>
      <c r="R129" s="40"/>
      <c r="S129" s="2"/>
    </row>
    <row r="130" spans="1:19" x14ac:dyDescent="0.25">
      <c r="A130" s="40">
        <f>'Synthèse Horaires'!$I$4</f>
        <v>0</v>
      </c>
      <c r="B130" s="40">
        <f t="shared" si="29"/>
        <v>0</v>
      </c>
      <c r="C130" s="40">
        <f t="shared" si="20"/>
        <v>0</v>
      </c>
      <c r="D130" s="40">
        <f>J52</f>
        <v>0</v>
      </c>
      <c r="E130" s="40" t="str">
        <f t="shared" si="18"/>
        <v>Juin</v>
      </c>
      <c r="F130" s="40">
        <f t="shared" si="19"/>
        <v>2026</v>
      </c>
      <c r="G130" s="53">
        <v>0</v>
      </c>
      <c r="H130" s="53">
        <v>0</v>
      </c>
      <c r="M130" s="2"/>
      <c r="N130" s="40">
        <f t="shared" si="24"/>
        <v>0</v>
      </c>
      <c r="O130" s="40" t="s">
        <v>699</v>
      </c>
      <c r="P130" s="40">
        <f>E48</f>
        <v>0</v>
      </c>
      <c r="Q130" s="40"/>
      <c r="R130" s="40"/>
      <c r="S130" s="2"/>
    </row>
    <row r="131" spans="1:19" x14ac:dyDescent="0.25">
      <c r="A131" s="40">
        <f>'Synthèse Horaires'!$I$4</f>
        <v>0</v>
      </c>
      <c r="B131" s="40">
        <f t="shared" si="29"/>
        <v>0</v>
      </c>
      <c r="C131" s="40">
        <f t="shared" si="20"/>
        <v>0</v>
      </c>
      <c r="D131" s="40">
        <f>J53</f>
        <v>0</v>
      </c>
      <c r="E131" s="40" t="str">
        <f t="shared" si="18"/>
        <v>Juin</v>
      </c>
      <c r="F131" s="40">
        <f t="shared" si="19"/>
        <v>2026</v>
      </c>
      <c r="G131" s="53">
        <v>0</v>
      </c>
      <c r="H131" s="53">
        <v>0</v>
      </c>
      <c r="M131" s="2"/>
      <c r="N131" s="40">
        <f t="shared" si="24"/>
        <v>0</v>
      </c>
      <c r="O131" s="40" t="s">
        <v>699</v>
      </c>
      <c r="P131" s="40">
        <f>F48</f>
        <v>0</v>
      </c>
      <c r="Q131" s="40"/>
      <c r="R131" s="40"/>
      <c r="S131" s="2"/>
    </row>
    <row r="132" spans="1:19" x14ac:dyDescent="0.25">
      <c r="A132" s="40">
        <f>'Synthèse Horaires'!$I$4</f>
        <v>0</v>
      </c>
      <c r="B132" s="40">
        <f>K34</f>
        <v>0</v>
      </c>
      <c r="C132" s="40">
        <f>C127</f>
        <v>23</v>
      </c>
      <c r="D132" s="40">
        <f>K49</f>
        <v>0</v>
      </c>
      <c r="E132" s="40" t="str">
        <f t="shared" si="18"/>
        <v>Juin</v>
      </c>
      <c r="F132" s="40">
        <f t="shared" si="19"/>
        <v>2026</v>
      </c>
      <c r="G132" s="27">
        <f>K39</f>
        <v>0</v>
      </c>
      <c r="H132" s="27">
        <f>K43</f>
        <v>0</v>
      </c>
      <c r="M132" s="2"/>
      <c r="N132" s="40">
        <f t="shared" si="24"/>
        <v>0</v>
      </c>
      <c r="O132" s="40" t="s">
        <v>699</v>
      </c>
      <c r="P132" s="40">
        <f>G54</f>
        <v>0</v>
      </c>
      <c r="Q132" s="40"/>
      <c r="R132" s="40"/>
      <c r="S132" s="2"/>
    </row>
    <row r="133" spans="1:19" x14ac:dyDescent="0.25">
      <c r="A133" s="40">
        <f>'Synthèse Horaires'!$I$4</f>
        <v>0</v>
      </c>
      <c r="B133" s="40">
        <f>B132</f>
        <v>0</v>
      </c>
      <c r="C133" s="40">
        <f t="shared" si="20"/>
        <v>24</v>
      </c>
      <c r="D133" s="40">
        <f>K50</f>
        <v>0</v>
      </c>
      <c r="E133" s="40" t="str">
        <f t="shared" si="18"/>
        <v>Juin</v>
      </c>
      <c r="F133" s="40">
        <f t="shared" si="19"/>
        <v>2026</v>
      </c>
      <c r="G133" s="53">
        <v>0</v>
      </c>
      <c r="H133" s="53">
        <v>0</v>
      </c>
      <c r="M133" s="2"/>
      <c r="N133" s="40">
        <f t="shared" si="24"/>
        <v>0</v>
      </c>
      <c r="O133" s="40" t="s">
        <v>699</v>
      </c>
      <c r="P133" s="40">
        <f>H54</f>
        <v>0</v>
      </c>
      <c r="Q133" s="40"/>
      <c r="R133" s="40"/>
      <c r="S133" s="2"/>
    </row>
    <row r="134" spans="1:19" x14ac:dyDescent="0.25">
      <c r="A134" s="40">
        <f>'Synthèse Horaires'!$I$4</f>
        <v>0</v>
      </c>
      <c r="B134" s="40">
        <f t="shared" ref="B134:B136" si="30">B133</f>
        <v>0</v>
      </c>
      <c r="C134" s="40" t="str">
        <f t="shared" si="20"/>
        <v>NU</v>
      </c>
      <c r="D134" s="40">
        <f>K51</f>
        <v>0</v>
      </c>
      <c r="E134" s="40" t="str">
        <f t="shared" si="18"/>
        <v>Juin</v>
      </c>
      <c r="F134" s="40">
        <f t="shared" si="19"/>
        <v>2026</v>
      </c>
      <c r="G134" s="53">
        <v>0</v>
      </c>
      <c r="H134" s="53">
        <v>0</v>
      </c>
      <c r="M134" s="2"/>
      <c r="N134" s="40">
        <f t="shared" si="24"/>
        <v>0</v>
      </c>
      <c r="O134" s="40" t="s">
        <v>699</v>
      </c>
      <c r="P134" s="40">
        <f>I54</f>
        <v>0</v>
      </c>
      <c r="Q134" s="40"/>
      <c r="R134" s="40"/>
      <c r="S134" s="2"/>
    </row>
    <row r="135" spans="1:19" x14ac:dyDescent="0.25">
      <c r="A135" s="40">
        <f>'Synthèse Horaires'!$I$4</f>
        <v>0</v>
      </c>
      <c r="B135" s="40">
        <f t="shared" si="30"/>
        <v>0</v>
      </c>
      <c r="C135" s="40">
        <f t="shared" si="20"/>
        <v>0</v>
      </c>
      <c r="D135" s="40">
        <f>K52</f>
        <v>0</v>
      </c>
      <c r="E135" s="40" t="str">
        <f t="shared" si="18"/>
        <v>Juin</v>
      </c>
      <c r="F135" s="40">
        <f t="shared" si="19"/>
        <v>2026</v>
      </c>
      <c r="G135" s="53">
        <v>0</v>
      </c>
      <c r="H135" s="53">
        <v>0</v>
      </c>
      <c r="M135" s="2"/>
      <c r="N135" s="40">
        <f t="shared" si="24"/>
        <v>0</v>
      </c>
      <c r="O135" s="40" t="s">
        <v>699</v>
      </c>
      <c r="P135" s="40">
        <f>J54</f>
        <v>0</v>
      </c>
      <c r="Q135" s="40"/>
      <c r="R135" s="40"/>
      <c r="S135" s="2"/>
    </row>
    <row r="136" spans="1:19" x14ac:dyDescent="0.25">
      <c r="A136" s="40">
        <f>'Synthèse Horaires'!$I$4</f>
        <v>0</v>
      </c>
      <c r="B136" s="40">
        <f t="shared" si="30"/>
        <v>0</v>
      </c>
      <c r="C136" s="40">
        <f t="shared" si="20"/>
        <v>0</v>
      </c>
      <c r="D136" s="40">
        <f>K53</f>
        <v>0</v>
      </c>
      <c r="E136" s="40" t="str">
        <f t="shared" si="18"/>
        <v>Juin</v>
      </c>
      <c r="F136" s="40">
        <f t="shared" si="19"/>
        <v>2026</v>
      </c>
      <c r="G136" s="53">
        <v>0</v>
      </c>
      <c r="H136" s="53">
        <v>0</v>
      </c>
      <c r="M136" s="2"/>
      <c r="N136" s="40">
        <f t="shared" si="24"/>
        <v>0</v>
      </c>
      <c r="O136" s="40" t="s">
        <v>699</v>
      </c>
      <c r="P136" s="40">
        <f>K54</f>
        <v>0</v>
      </c>
      <c r="Q136" s="40"/>
      <c r="R136" s="40"/>
      <c r="S136" s="2"/>
    </row>
    <row r="137" spans="1:19" x14ac:dyDescent="0.25">
      <c r="A137" s="40">
        <f>'Synthèse Horaires'!$I$4</f>
        <v>0</v>
      </c>
      <c r="B137" s="40">
        <f>L34</f>
        <v>0</v>
      </c>
      <c r="C137" s="40">
        <f>C132</f>
        <v>23</v>
      </c>
      <c r="D137" s="40">
        <f>L49</f>
        <v>0</v>
      </c>
      <c r="E137" s="40" t="str">
        <f t="shared" si="18"/>
        <v>Juin</v>
      </c>
      <c r="F137" s="40">
        <f t="shared" si="19"/>
        <v>2026</v>
      </c>
      <c r="G137" s="27">
        <f>L39</f>
        <v>0</v>
      </c>
      <c r="H137" s="27">
        <f>L43</f>
        <v>0</v>
      </c>
      <c r="M137" s="2"/>
      <c r="N137" s="40">
        <f t="shared" si="24"/>
        <v>0</v>
      </c>
      <c r="O137" s="40" t="s">
        <v>699</v>
      </c>
      <c r="P137" s="40">
        <f>L54</f>
        <v>0</v>
      </c>
      <c r="Q137" s="40"/>
      <c r="R137" s="40"/>
      <c r="S137" s="2"/>
    </row>
    <row r="138" spans="1:19" x14ac:dyDescent="0.25">
      <c r="A138" s="40">
        <f>'Synthèse Horaires'!$I$4</f>
        <v>0</v>
      </c>
      <c r="B138" s="40">
        <f>B137</f>
        <v>0</v>
      </c>
      <c r="C138" s="40">
        <f t="shared" si="20"/>
        <v>24</v>
      </c>
      <c r="D138" s="40">
        <f>L50</f>
        <v>0</v>
      </c>
      <c r="E138" s="40" t="str">
        <f t="shared" si="18"/>
        <v>Juin</v>
      </c>
      <c r="F138" s="40">
        <f t="shared" si="19"/>
        <v>2026</v>
      </c>
      <c r="G138" s="53">
        <v>0</v>
      </c>
      <c r="H138" s="53">
        <v>0</v>
      </c>
      <c r="M138" s="2"/>
      <c r="N138" s="40">
        <f t="shared" si="24"/>
        <v>0</v>
      </c>
      <c r="O138" s="40" t="s">
        <v>699</v>
      </c>
      <c r="P138" s="40">
        <f>M54</f>
        <v>0</v>
      </c>
      <c r="Q138" s="40"/>
      <c r="R138" s="40"/>
      <c r="S138" s="2"/>
    </row>
    <row r="139" spans="1:19" x14ac:dyDescent="0.25">
      <c r="A139" s="40">
        <f>'Synthèse Horaires'!$I$4</f>
        <v>0</v>
      </c>
      <c r="B139" s="40">
        <f t="shared" ref="B139:B141" si="31">B138</f>
        <v>0</v>
      </c>
      <c r="C139" s="40" t="str">
        <f t="shared" si="20"/>
        <v>NU</v>
      </c>
      <c r="D139" s="40">
        <f>L51</f>
        <v>0</v>
      </c>
      <c r="E139" s="40" t="str">
        <f t="shared" si="18"/>
        <v>Juin</v>
      </c>
      <c r="F139" s="40">
        <f t="shared" si="19"/>
        <v>2026</v>
      </c>
      <c r="G139" s="53">
        <v>0</v>
      </c>
      <c r="H139" s="53">
        <v>0</v>
      </c>
      <c r="M139" s="2"/>
      <c r="N139" s="40">
        <f t="shared" si="24"/>
        <v>0</v>
      </c>
      <c r="O139" s="40" t="s">
        <v>699</v>
      </c>
      <c r="P139" s="40">
        <f>N54</f>
        <v>0</v>
      </c>
      <c r="Q139" s="40"/>
      <c r="R139" s="40"/>
      <c r="S139" s="2"/>
    </row>
    <row r="140" spans="1:19" x14ac:dyDescent="0.25">
      <c r="A140" s="40">
        <f>'Synthèse Horaires'!$I$4</f>
        <v>0</v>
      </c>
      <c r="B140" s="40">
        <f t="shared" si="31"/>
        <v>0</v>
      </c>
      <c r="C140" s="40">
        <f t="shared" si="20"/>
        <v>0</v>
      </c>
      <c r="D140" s="40">
        <f>L52</f>
        <v>0</v>
      </c>
      <c r="E140" s="40" t="str">
        <f t="shared" si="18"/>
        <v>Juin</v>
      </c>
      <c r="F140" s="40">
        <f t="shared" si="19"/>
        <v>2026</v>
      </c>
      <c r="G140" s="53">
        <v>0</v>
      </c>
      <c r="H140" s="53">
        <v>0</v>
      </c>
      <c r="M140" s="2"/>
      <c r="N140" s="40">
        <f t="shared" si="24"/>
        <v>0</v>
      </c>
      <c r="O140" s="40" t="s">
        <v>699</v>
      </c>
      <c r="P140" s="40">
        <f>O54</f>
        <v>0</v>
      </c>
      <c r="Q140" s="40"/>
      <c r="R140" s="40"/>
      <c r="S140" s="2"/>
    </row>
    <row r="141" spans="1:19" x14ac:dyDescent="0.25">
      <c r="A141" s="40">
        <f>'Synthèse Horaires'!$I$4</f>
        <v>0</v>
      </c>
      <c r="B141" s="40">
        <f t="shared" si="31"/>
        <v>0</v>
      </c>
      <c r="C141" s="40">
        <f t="shared" si="20"/>
        <v>0</v>
      </c>
      <c r="D141" s="40">
        <f>L53</f>
        <v>0</v>
      </c>
      <c r="E141" s="40" t="str">
        <f t="shared" si="18"/>
        <v>Juin</v>
      </c>
      <c r="F141" s="40">
        <f t="shared" si="19"/>
        <v>2026</v>
      </c>
      <c r="G141" s="53">
        <v>0</v>
      </c>
      <c r="H141" s="53">
        <v>0</v>
      </c>
      <c r="M141" s="2"/>
      <c r="N141" s="40">
        <f t="shared" si="24"/>
        <v>0</v>
      </c>
      <c r="O141" s="40" t="s">
        <v>699</v>
      </c>
      <c r="P141" s="40">
        <f>P54</f>
        <v>0</v>
      </c>
      <c r="Q141" s="40"/>
      <c r="R141" s="40"/>
      <c r="S141" s="2"/>
    </row>
    <row r="142" spans="1:19" x14ac:dyDescent="0.25">
      <c r="A142" s="40">
        <f>'Synthèse Horaires'!$I$4</f>
        <v>0</v>
      </c>
      <c r="B142" s="40">
        <f>M34</f>
        <v>0</v>
      </c>
      <c r="C142" s="40">
        <f>C137</f>
        <v>23</v>
      </c>
      <c r="D142" s="40">
        <f>M49</f>
        <v>0</v>
      </c>
      <c r="E142" s="40" t="str">
        <f t="shared" si="18"/>
        <v>Juin</v>
      </c>
      <c r="F142" s="40">
        <f t="shared" si="19"/>
        <v>2026</v>
      </c>
      <c r="G142" s="27">
        <f>M39</f>
        <v>0</v>
      </c>
      <c r="H142" s="27">
        <f>M43</f>
        <v>0</v>
      </c>
      <c r="M142" s="2"/>
      <c r="N142" s="40">
        <f t="shared" si="24"/>
        <v>0</v>
      </c>
      <c r="O142" s="40" t="s">
        <v>699</v>
      </c>
      <c r="P142" s="40">
        <f>Q54</f>
        <v>0</v>
      </c>
      <c r="Q142" s="40"/>
      <c r="R142" s="40"/>
      <c r="S142" s="2"/>
    </row>
    <row r="143" spans="1:19" x14ac:dyDescent="0.25">
      <c r="A143" s="40">
        <f>'Synthèse Horaires'!$I$4</f>
        <v>0</v>
      </c>
      <c r="B143" s="40">
        <f>B142</f>
        <v>0</v>
      </c>
      <c r="C143" s="40">
        <f t="shared" si="20"/>
        <v>24</v>
      </c>
      <c r="D143" s="40">
        <f>M50</f>
        <v>0</v>
      </c>
      <c r="E143" s="40" t="str">
        <f t="shared" si="18"/>
        <v>Juin</v>
      </c>
      <c r="F143" s="40">
        <f t="shared" si="19"/>
        <v>2026</v>
      </c>
      <c r="G143" s="53">
        <v>0</v>
      </c>
      <c r="H143" s="53">
        <v>0</v>
      </c>
      <c r="M143" s="2"/>
      <c r="N143" s="40">
        <f t="shared" si="24"/>
        <v>0</v>
      </c>
      <c r="O143" s="40" t="s">
        <v>699</v>
      </c>
      <c r="P143" s="40">
        <f>R54</f>
        <v>0</v>
      </c>
      <c r="Q143" s="40"/>
      <c r="R143" s="40"/>
      <c r="S143" s="2"/>
    </row>
    <row r="144" spans="1:19" x14ac:dyDescent="0.25">
      <c r="A144" s="40">
        <f>'Synthèse Horaires'!$I$4</f>
        <v>0</v>
      </c>
      <c r="B144" s="40">
        <f t="shared" ref="B144:B146" si="32">B143</f>
        <v>0</v>
      </c>
      <c r="C144" s="40" t="str">
        <f t="shared" si="20"/>
        <v>NU</v>
      </c>
      <c r="D144" s="40">
        <f>M51</f>
        <v>0</v>
      </c>
      <c r="E144" s="40" t="str">
        <f t="shared" si="18"/>
        <v>Juin</v>
      </c>
      <c r="F144" s="40">
        <f t="shared" si="19"/>
        <v>2026</v>
      </c>
      <c r="G144" s="53">
        <v>0</v>
      </c>
      <c r="H144" s="53">
        <v>0</v>
      </c>
      <c r="M144" s="2"/>
      <c r="N144" s="40">
        <f t="shared" si="24"/>
        <v>0</v>
      </c>
      <c r="O144" s="40" t="s">
        <v>699</v>
      </c>
      <c r="P144" s="40">
        <f>S54</f>
        <v>0</v>
      </c>
      <c r="Q144" s="40"/>
      <c r="R144" s="40"/>
      <c r="S144" s="2"/>
    </row>
    <row r="145" spans="1:19" x14ac:dyDescent="0.25">
      <c r="A145" s="40">
        <f>'Synthèse Horaires'!$I$4</f>
        <v>0</v>
      </c>
      <c r="B145" s="40">
        <f t="shared" si="32"/>
        <v>0</v>
      </c>
      <c r="C145" s="40">
        <f t="shared" si="20"/>
        <v>0</v>
      </c>
      <c r="D145" s="40">
        <f>M52</f>
        <v>0</v>
      </c>
      <c r="E145" s="40" t="str">
        <f t="shared" si="18"/>
        <v>Juin</v>
      </c>
      <c r="F145" s="40">
        <f t="shared" si="19"/>
        <v>2026</v>
      </c>
      <c r="G145" s="53">
        <v>0</v>
      </c>
      <c r="H145" s="53">
        <v>0</v>
      </c>
      <c r="M145" s="2"/>
      <c r="N145" s="40">
        <f t="shared" si="24"/>
        <v>0</v>
      </c>
      <c r="O145" s="40" t="s">
        <v>699</v>
      </c>
      <c r="P145" s="40">
        <f>T54</f>
        <v>0</v>
      </c>
      <c r="Q145" s="40"/>
      <c r="R145" s="40"/>
      <c r="S145" s="2"/>
    </row>
    <row r="146" spans="1:19" x14ac:dyDescent="0.25">
      <c r="A146" s="40">
        <f>'Synthèse Horaires'!$I$4</f>
        <v>0</v>
      </c>
      <c r="B146" s="40">
        <f t="shared" si="32"/>
        <v>0</v>
      </c>
      <c r="C146" s="40">
        <f t="shared" si="20"/>
        <v>0</v>
      </c>
      <c r="D146" s="40">
        <f>M53</f>
        <v>0</v>
      </c>
      <c r="E146" s="40" t="str">
        <f t="shared" si="18"/>
        <v>Juin</v>
      </c>
      <c r="F146" s="40">
        <f t="shared" si="19"/>
        <v>2026</v>
      </c>
      <c r="G146" s="53">
        <v>0</v>
      </c>
      <c r="H146" s="53">
        <v>0</v>
      </c>
      <c r="M146" s="2"/>
      <c r="N146" s="40">
        <f t="shared" si="24"/>
        <v>0</v>
      </c>
      <c r="O146" s="40" t="s">
        <v>699</v>
      </c>
      <c r="P146" s="40">
        <f>U54</f>
        <v>0</v>
      </c>
      <c r="Q146" s="40"/>
      <c r="R146" s="40"/>
      <c r="S146" s="2"/>
    </row>
    <row r="147" spans="1:19" x14ac:dyDescent="0.25">
      <c r="A147" s="40">
        <f>'Synthèse Horaires'!$I$4</f>
        <v>0</v>
      </c>
      <c r="B147" s="40">
        <f>N34</f>
        <v>0</v>
      </c>
      <c r="C147" s="40">
        <f>C142</f>
        <v>23</v>
      </c>
      <c r="D147" s="40">
        <f>N49</f>
        <v>0</v>
      </c>
      <c r="E147" s="40" t="str">
        <f t="shared" si="18"/>
        <v>Juin</v>
      </c>
      <c r="F147" s="40">
        <f t="shared" si="19"/>
        <v>2026</v>
      </c>
      <c r="G147" s="27">
        <f>N39</f>
        <v>0</v>
      </c>
      <c r="H147" s="27">
        <f>N43</f>
        <v>0</v>
      </c>
      <c r="M147" s="2"/>
      <c r="N147" s="2"/>
      <c r="O147" s="2"/>
      <c r="P147" s="2"/>
      <c r="Q147" s="2"/>
      <c r="R147" s="2"/>
      <c r="S147" s="2"/>
    </row>
    <row r="148" spans="1:19" x14ac:dyDescent="0.25">
      <c r="A148" s="40">
        <f>'Synthèse Horaires'!$I$4</f>
        <v>0</v>
      </c>
      <c r="B148" s="40">
        <f>B147</f>
        <v>0</v>
      </c>
      <c r="C148" s="40">
        <f t="shared" si="20"/>
        <v>24</v>
      </c>
      <c r="D148" s="40">
        <f>N50</f>
        <v>0</v>
      </c>
      <c r="E148" s="40" t="str">
        <f t="shared" si="18"/>
        <v>Juin</v>
      </c>
      <c r="F148" s="40">
        <f t="shared" si="19"/>
        <v>2026</v>
      </c>
      <c r="G148" s="53">
        <v>0</v>
      </c>
      <c r="H148" s="53">
        <v>0</v>
      </c>
    </row>
    <row r="149" spans="1:19" x14ac:dyDescent="0.25">
      <c r="A149" s="40">
        <f>'Synthèse Horaires'!$I$4</f>
        <v>0</v>
      </c>
      <c r="B149" s="40">
        <f t="shared" ref="B149:B151" si="33">B148</f>
        <v>0</v>
      </c>
      <c r="C149" s="40" t="str">
        <f t="shared" si="20"/>
        <v>NU</v>
      </c>
      <c r="D149" s="40">
        <f>N51</f>
        <v>0</v>
      </c>
      <c r="E149" s="40" t="str">
        <f t="shared" si="18"/>
        <v>Juin</v>
      </c>
      <c r="F149" s="40">
        <f t="shared" si="19"/>
        <v>2026</v>
      </c>
      <c r="G149" s="53">
        <v>0</v>
      </c>
      <c r="H149" s="53">
        <v>0</v>
      </c>
    </row>
    <row r="150" spans="1:19" x14ac:dyDescent="0.25">
      <c r="A150" s="40">
        <f>'Synthèse Horaires'!$I$4</f>
        <v>0</v>
      </c>
      <c r="B150" s="40">
        <f t="shared" si="33"/>
        <v>0</v>
      </c>
      <c r="C150" s="40">
        <f t="shared" si="20"/>
        <v>0</v>
      </c>
      <c r="D150" s="40">
        <f>N52</f>
        <v>0</v>
      </c>
      <c r="E150" s="40" t="str">
        <f t="shared" si="18"/>
        <v>Juin</v>
      </c>
      <c r="F150" s="40">
        <f t="shared" si="19"/>
        <v>2026</v>
      </c>
      <c r="G150" s="53">
        <v>0</v>
      </c>
      <c r="H150" s="53">
        <v>0</v>
      </c>
    </row>
    <row r="151" spans="1:19" x14ac:dyDescent="0.25">
      <c r="A151" s="40">
        <f>'Synthèse Horaires'!$I$4</f>
        <v>0</v>
      </c>
      <c r="B151" s="40">
        <f t="shared" si="33"/>
        <v>0</v>
      </c>
      <c r="C151" s="40">
        <f t="shared" si="20"/>
        <v>0</v>
      </c>
      <c r="D151" s="40">
        <f>N53</f>
        <v>0</v>
      </c>
      <c r="E151" s="40" t="str">
        <f t="shared" si="18"/>
        <v>Juin</v>
      </c>
      <c r="F151" s="40">
        <f t="shared" si="19"/>
        <v>2026</v>
      </c>
      <c r="G151" s="53">
        <v>0</v>
      </c>
      <c r="H151" s="53">
        <v>0</v>
      </c>
    </row>
    <row r="152" spans="1:19" x14ac:dyDescent="0.25">
      <c r="A152" s="40">
        <f>'Synthèse Horaires'!$I$4</f>
        <v>0</v>
      </c>
      <c r="B152" s="40">
        <f>O34</f>
        <v>0</v>
      </c>
      <c r="C152" s="40">
        <f>C147</f>
        <v>23</v>
      </c>
      <c r="D152" s="40">
        <f>O49</f>
        <v>0</v>
      </c>
      <c r="E152" s="40" t="str">
        <f t="shared" si="18"/>
        <v>Juin</v>
      </c>
      <c r="F152" s="40">
        <f t="shared" si="19"/>
        <v>2026</v>
      </c>
      <c r="G152" s="27">
        <f>O39</f>
        <v>0</v>
      </c>
      <c r="H152" s="27">
        <f>O43</f>
        <v>0</v>
      </c>
    </row>
    <row r="153" spans="1:19" x14ac:dyDescent="0.25">
      <c r="A153" s="40">
        <f>'Synthèse Horaires'!$I$4</f>
        <v>0</v>
      </c>
      <c r="B153" s="40">
        <f>B152</f>
        <v>0</v>
      </c>
      <c r="C153" s="40">
        <f t="shared" si="20"/>
        <v>24</v>
      </c>
      <c r="D153" s="40">
        <f>O50</f>
        <v>0</v>
      </c>
      <c r="E153" s="40" t="str">
        <f t="shared" ref="E153:E186" si="34">E152</f>
        <v>Juin</v>
      </c>
      <c r="F153" s="40">
        <f t="shared" ref="F153:F186" si="35">F152</f>
        <v>2026</v>
      </c>
      <c r="G153" s="53">
        <v>0</v>
      </c>
      <c r="H153" s="53">
        <v>0</v>
      </c>
    </row>
    <row r="154" spans="1:19" x14ac:dyDescent="0.25">
      <c r="A154" s="40">
        <f>'Synthèse Horaires'!$I$4</f>
        <v>0</v>
      </c>
      <c r="B154" s="40">
        <f t="shared" ref="B154:B156" si="36">B153</f>
        <v>0</v>
      </c>
      <c r="C154" s="40" t="str">
        <f t="shared" si="20"/>
        <v>NU</v>
      </c>
      <c r="D154" s="40">
        <f>O51</f>
        <v>0</v>
      </c>
      <c r="E154" s="40" t="str">
        <f t="shared" si="34"/>
        <v>Juin</v>
      </c>
      <c r="F154" s="40">
        <f t="shared" si="35"/>
        <v>2026</v>
      </c>
      <c r="G154" s="53">
        <v>0</v>
      </c>
      <c r="H154" s="53">
        <v>0</v>
      </c>
    </row>
    <row r="155" spans="1:19" x14ac:dyDescent="0.25">
      <c r="A155" s="40">
        <f>'Synthèse Horaires'!$I$4</f>
        <v>0</v>
      </c>
      <c r="B155" s="40">
        <f t="shared" si="36"/>
        <v>0</v>
      </c>
      <c r="C155" s="40">
        <f t="shared" si="20"/>
        <v>0</v>
      </c>
      <c r="D155" s="40">
        <f>O52</f>
        <v>0</v>
      </c>
      <c r="E155" s="40" t="str">
        <f t="shared" si="34"/>
        <v>Juin</v>
      </c>
      <c r="F155" s="40">
        <f t="shared" si="35"/>
        <v>2026</v>
      </c>
      <c r="G155" s="53">
        <v>0</v>
      </c>
      <c r="H155" s="53">
        <v>0</v>
      </c>
    </row>
    <row r="156" spans="1:19" x14ac:dyDescent="0.25">
      <c r="A156" s="40">
        <f>'Synthèse Horaires'!$I$4</f>
        <v>0</v>
      </c>
      <c r="B156" s="40">
        <f t="shared" si="36"/>
        <v>0</v>
      </c>
      <c r="C156" s="40">
        <f t="shared" si="20"/>
        <v>0</v>
      </c>
      <c r="D156" s="40">
        <f>O53</f>
        <v>0</v>
      </c>
      <c r="E156" s="40" t="str">
        <f t="shared" si="34"/>
        <v>Juin</v>
      </c>
      <c r="F156" s="40">
        <f t="shared" si="35"/>
        <v>2026</v>
      </c>
      <c r="G156" s="53">
        <v>0</v>
      </c>
      <c r="H156" s="53">
        <v>0</v>
      </c>
    </row>
    <row r="157" spans="1:19" x14ac:dyDescent="0.25">
      <c r="A157" s="40">
        <f>'Synthèse Horaires'!$I$4</f>
        <v>0</v>
      </c>
      <c r="B157" s="40">
        <f>P34</f>
        <v>0</v>
      </c>
      <c r="C157" s="40">
        <f>C152</f>
        <v>23</v>
      </c>
      <c r="D157" s="40">
        <f>P49</f>
        <v>0</v>
      </c>
      <c r="E157" s="40" t="str">
        <f t="shared" si="34"/>
        <v>Juin</v>
      </c>
      <c r="F157" s="40">
        <f t="shared" si="35"/>
        <v>2026</v>
      </c>
      <c r="G157" s="27">
        <f>P39</f>
        <v>0</v>
      </c>
      <c r="H157" s="27">
        <f>P43</f>
        <v>0</v>
      </c>
    </row>
    <row r="158" spans="1:19" x14ac:dyDescent="0.25">
      <c r="A158" s="40">
        <f>'Synthèse Horaires'!$I$4</f>
        <v>0</v>
      </c>
      <c r="B158" s="40">
        <f>B157</f>
        <v>0</v>
      </c>
      <c r="C158" s="40">
        <f t="shared" si="20"/>
        <v>24</v>
      </c>
      <c r="D158" s="40">
        <f>P50</f>
        <v>0</v>
      </c>
      <c r="E158" s="40" t="str">
        <f t="shared" si="34"/>
        <v>Juin</v>
      </c>
      <c r="F158" s="40">
        <f t="shared" si="35"/>
        <v>2026</v>
      </c>
      <c r="G158" s="53">
        <v>0</v>
      </c>
      <c r="H158" s="53">
        <v>0</v>
      </c>
    </row>
    <row r="159" spans="1:19" x14ac:dyDescent="0.25">
      <c r="A159" s="40">
        <f>'Synthèse Horaires'!$I$4</f>
        <v>0</v>
      </c>
      <c r="B159" s="40">
        <f t="shared" ref="B159:B161" si="37">B158</f>
        <v>0</v>
      </c>
      <c r="C159" s="40" t="str">
        <f t="shared" ref="C159:C161" si="38">C154</f>
        <v>NU</v>
      </c>
      <c r="D159" s="40">
        <f>P51</f>
        <v>0</v>
      </c>
      <c r="E159" s="40" t="str">
        <f t="shared" si="34"/>
        <v>Juin</v>
      </c>
      <c r="F159" s="40">
        <f t="shared" si="35"/>
        <v>2026</v>
      </c>
      <c r="G159" s="53">
        <v>0</v>
      </c>
      <c r="H159" s="53">
        <v>0</v>
      </c>
    </row>
    <row r="160" spans="1:19" x14ac:dyDescent="0.25">
      <c r="A160" s="40">
        <f>'Synthèse Horaires'!$I$4</f>
        <v>0</v>
      </c>
      <c r="B160" s="40">
        <f t="shared" si="37"/>
        <v>0</v>
      </c>
      <c r="C160" s="40">
        <f t="shared" si="38"/>
        <v>0</v>
      </c>
      <c r="D160" s="40">
        <f>P52</f>
        <v>0</v>
      </c>
      <c r="E160" s="40" t="str">
        <f t="shared" si="34"/>
        <v>Juin</v>
      </c>
      <c r="F160" s="40">
        <f t="shared" si="35"/>
        <v>2026</v>
      </c>
      <c r="G160" s="53">
        <v>0</v>
      </c>
      <c r="H160" s="53">
        <v>0</v>
      </c>
    </row>
    <row r="161" spans="1:8" x14ac:dyDescent="0.25">
      <c r="A161" s="40">
        <f>'Synthèse Horaires'!$I$4</f>
        <v>0</v>
      </c>
      <c r="B161" s="40">
        <f t="shared" si="37"/>
        <v>0</v>
      </c>
      <c r="C161" s="40">
        <f t="shared" si="38"/>
        <v>0</v>
      </c>
      <c r="D161" s="40">
        <f>P53</f>
        <v>0</v>
      </c>
      <c r="E161" s="40" t="str">
        <f t="shared" si="34"/>
        <v>Juin</v>
      </c>
      <c r="F161" s="40">
        <f t="shared" si="35"/>
        <v>2026</v>
      </c>
      <c r="G161" s="53">
        <v>0</v>
      </c>
      <c r="H161" s="53">
        <v>0</v>
      </c>
    </row>
    <row r="162" spans="1:8" x14ac:dyDescent="0.25">
      <c r="A162" s="40">
        <f>'Synthèse Horaires'!$I$4</f>
        <v>0</v>
      </c>
      <c r="B162" s="40">
        <f>Q34</f>
        <v>0</v>
      </c>
      <c r="C162" s="40">
        <f>C157</f>
        <v>23</v>
      </c>
      <c r="D162" s="40">
        <f>Q49</f>
        <v>0</v>
      </c>
      <c r="E162" s="40" t="str">
        <f t="shared" si="34"/>
        <v>Juin</v>
      </c>
      <c r="F162" s="40">
        <f t="shared" si="35"/>
        <v>2026</v>
      </c>
      <c r="G162" s="27">
        <f>Q39</f>
        <v>0</v>
      </c>
      <c r="H162" s="27">
        <f>Q43</f>
        <v>0</v>
      </c>
    </row>
    <row r="163" spans="1:8" x14ac:dyDescent="0.25">
      <c r="A163" s="40">
        <f>'Synthèse Horaires'!$I$4</f>
        <v>0</v>
      </c>
      <c r="B163" s="40">
        <f>B162</f>
        <v>0</v>
      </c>
      <c r="C163" s="40">
        <f t="shared" ref="C163:C166" si="39">C158</f>
        <v>24</v>
      </c>
      <c r="D163" s="40">
        <f>Q50</f>
        <v>0</v>
      </c>
      <c r="E163" s="40" t="str">
        <f t="shared" si="34"/>
        <v>Juin</v>
      </c>
      <c r="F163" s="40">
        <f t="shared" si="35"/>
        <v>2026</v>
      </c>
      <c r="G163" s="53">
        <v>0</v>
      </c>
      <c r="H163" s="53">
        <v>0</v>
      </c>
    </row>
    <row r="164" spans="1:8" x14ac:dyDescent="0.25">
      <c r="A164" s="40">
        <f>'Synthèse Horaires'!$I$4</f>
        <v>0</v>
      </c>
      <c r="B164" s="40">
        <f t="shared" ref="B164:B166" si="40">B163</f>
        <v>0</v>
      </c>
      <c r="C164" s="40" t="str">
        <f t="shared" si="39"/>
        <v>NU</v>
      </c>
      <c r="D164" s="40">
        <f>Q51</f>
        <v>0</v>
      </c>
      <c r="E164" s="40" t="str">
        <f t="shared" si="34"/>
        <v>Juin</v>
      </c>
      <c r="F164" s="40">
        <f t="shared" si="35"/>
        <v>2026</v>
      </c>
      <c r="G164" s="53">
        <v>0</v>
      </c>
      <c r="H164" s="53">
        <v>0</v>
      </c>
    </row>
    <row r="165" spans="1:8" x14ac:dyDescent="0.25">
      <c r="A165" s="40">
        <f>'Synthèse Horaires'!$I$4</f>
        <v>0</v>
      </c>
      <c r="B165" s="40">
        <f t="shared" si="40"/>
        <v>0</v>
      </c>
      <c r="C165" s="40">
        <f t="shared" si="39"/>
        <v>0</v>
      </c>
      <c r="D165" s="40">
        <f>Q52</f>
        <v>0</v>
      </c>
      <c r="E165" s="40" t="str">
        <f t="shared" si="34"/>
        <v>Juin</v>
      </c>
      <c r="F165" s="40">
        <f t="shared" si="35"/>
        <v>2026</v>
      </c>
      <c r="G165" s="53">
        <v>0</v>
      </c>
      <c r="H165" s="53">
        <v>0</v>
      </c>
    </row>
    <row r="166" spans="1:8" x14ac:dyDescent="0.25">
      <c r="A166" s="40">
        <f>'Synthèse Horaires'!$I$4</f>
        <v>0</v>
      </c>
      <c r="B166" s="40">
        <f t="shared" si="40"/>
        <v>0</v>
      </c>
      <c r="C166" s="40">
        <f t="shared" si="39"/>
        <v>0</v>
      </c>
      <c r="D166" s="40">
        <f>Q53</f>
        <v>0</v>
      </c>
      <c r="E166" s="40" t="str">
        <f t="shared" si="34"/>
        <v>Juin</v>
      </c>
      <c r="F166" s="40">
        <f t="shared" si="35"/>
        <v>2026</v>
      </c>
      <c r="G166" s="53">
        <v>0</v>
      </c>
      <c r="H166" s="53">
        <v>0</v>
      </c>
    </row>
    <row r="167" spans="1:8" x14ac:dyDescent="0.25">
      <c r="A167" s="40">
        <f>'Synthèse Horaires'!$I$4</f>
        <v>0</v>
      </c>
      <c r="B167" s="40">
        <f>R34</f>
        <v>0</v>
      </c>
      <c r="C167" s="40">
        <f>C162</f>
        <v>23</v>
      </c>
      <c r="D167" s="40">
        <f>R49</f>
        <v>0</v>
      </c>
      <c r="E167" s="40" t="str">
        <f t="shared" si="34"/>
        <v>Juin</v>
      </c>
      <c r="F167" s="40">
        <f t="shared" si="35"/>
        <v>2026</v>
      </c>
      <c r="G167" s="27">
        <f>R39</f>
        <v>0</v>
      </c>
      <c r="H167" s="27">
        <f>R43</f>
        <v>0</v>
      </c>
    </row>
    <row r="168" spans="1:8" x14ac:dyDescent="0.25">
      <c r="A168" s="40">
        <f>'Synthèse Horaires'!$I$4</f>
        <v>0</v>
      </c>
      <c r="B168" s="40">
        <f>B167</f>
        <v>0</v>
      </c>
      <c r="C168" s="40">
        <f t="shared" ref="C168:C171" si="41">C163</f>
        <v>24</v>
      </c>
      <c r="D168" s="40">
        <f>R50</f>
        <v>0</v>
      </c>
      <c r="E168" s="40" t="str">
        <f t="shared" si="34"/>
        <v>Juin</v>
      </c>
      <c r="F168" s="40">
        <f t="shared" si="35"/>
        <v>2026</v>
      </c>
      <c r="G168" s="53">
        <v>0</v>
      </c>
      <c r="H168" s="53">
        <v>0</v>
      </c>
    </row>
    <row r="169" spans="1:8" x14ac:dyDescent="0.25">
      <c r="A169" s="40">
        <f>'Synthèse Horaires'!$I$4</f>
        <v>0</v>
      </c>
      <c r="B169" s="40">
        <f t="shared" ref="B169:B171" si="42">B168</f>
        <v>0</v>
      </c>
      <c r="C169" s="40" t="str">
        <f t="shared" si="41"/>
        <v>NU</v>
      </c>
      <c r="D169" s="40">
        <f>R51</f>
        <v>0</v>
      </c>
      <c r="E169" s="40" t="str">
        <f t="shared" si="34"/>
        <v>Juin</v>
      </c>
      <c r="F169" s="40">
        <f t="shared" si="35"/>
        <v>2026</v>
      </c>
      <c r="G169" s="53">
        <v>0</v>
      </c>
      <c r="H169" s="53">
        <v>0</v>
      </c>
    </row>
    <row r="170" spans="1:8" x14ac:dyDescent="0.25">
      <c r="A170" s="40">
        <f>'Synthèse Horaires'!$I$4</f>
        <v>0</v>
      </c>
      <c r="B170" s="40">
        <f t="shared" si="42"/>
        <v>0</v>
      </c>
      <c r="C170" s="40">
        <f t="shared" si="41"/>
        <v>0</v>
      </c>
      <c r="D170" s="40">
        <f>R52</f>
        <v>0</v>
      </c>
      <c r="E170" s="40" t="str">
        <f t="shared" si="34"/>
        <v>Juin</v>
      </c>
      <c r="F170" s="40">
        <f t="shared" si="35"/>
        <v>2026</v>
      </c>
      <c r="G170" s="53">
        <v>0</v>
      </c>
      <c r="H170" s="53">
        <v>0</v>
      </c>
    </row>
    <row r="171" spans="1:8" x14ac:dyDescent="0.25">
      <c r="A171" s="40">
        <f>'Synthèse Horaires'!$I$4</f>
        <v>0</v>
      </c>
      <c r="B171" s="40">
        <f t="shared" si="42"/>
        <v>0</v>
      </c>
      <c r="C171" s="40">
        <f t="shared" si="41"/>
        <v>0</v>
      </c>
      <c r="D171" s="40">
        <f>R53</f>
        <v>0</v>
      </c>
      <c r="E171" s="40" t="str">
        <f t="shared" si="34"/>
        <v>Juin</v>
      </c>
      <c r="F171" s="40">
        <f t="shared" si="35"/>
        <v>2026</v>
      </c>
      <c r="G171" s="53">
        <v>0</v>
      </c>
      <c r="H171" s="53">
        <v>0</v>
      </c>
    </row>
    <row r="172" spans="1:8" x14ac:dyDescent="0.25">
      <c r="A172" s="40">
        <f>'Synthèse Horaires'!$I$4</f>
        <v>0</v>
      </c>
      <c r="B172" s="40">
        <f>S34</f>
        <v>0</v>
      </c>
      <c r="C172" s="40">
        <f>C167</f>
        <v>23</v>
      </c>
      <c r="D172" s="40">
        <f>S49</f>
        <v>0</v>
      </c>
      <c r="E172" s="40" t="str">
        <f t="shared" si="34"/>
        <v>Juin</v>
      </c>
      <c r="F172" s="40">
        <f t="shared" si="35"/>
        <v>2026</v>
      </c>
      <c r="G172" s="27">
        <f>S39</f>
        <v>0</v>
      </c>
      <c r="H172" s="27">
        <f>S43</f>
        <v>0</v>
      </c>
    </row>
    <row r="173" spans="1:8" x14ac:dyDescent="0.25">
      <c r="A173" s="40">
        <f>'Synthèse Horaires'!$I$4</f>
        <v>0</v>
      </c>
      <c r="B173" s="40">
        <f>B172</f>
        <v>0</v>
      </c>
      <c r="C173" s="40">
        <f t="shared" ref="C173:C176" si="43">C168</f>
        <v>24</v>
      </c>
      <c r="D173" s="40">
        <f>S50</f>
        <v>0</v>
      </c>
      <c r="E173" s="40" t="str">
        <f t="shared" si="34"/>
        <v>Juin</v>
      </c>
      <c r="F173" s="40">
        <f t="shared" si="35"/>
        <v>2026</v>
      </c>
      <c r="G173" s="53">
        <v>0</v>
      </c>
      <c r="H173" s="53">
        <v>0</v>
      </c>
    </row>
    <row r="174" spans="1:8" x14ac:dyDescent="0.25">
      <c r="A174" s="40">
        <f>'Synthèse Horaires'!$I$4</f>
        <v>0</v>
      </c>
      <c r="B174" s="40">
        <f t="shared" ref="B174:B176" si="44">B173</f>
        <v>0</v>
      </c>
      <c r="C174" s="40" t="str">
        <f t="shared" si="43"/>
        <v>NU</v>
      </c>
      <c r="D174" s="40">
        <f>S51</f>
        <v>0</v>
      </c>
      <c r="E174" s="40" t="str">
        <f t="shared" si="34"/>
        <v>Juin</v>
      </c>
      <c r="F174" s="40">
        <f t="shared" si="35"/>
        <v>2026</v>
      </c>
      <c r="G174" s="53">
        <v>0</v>
      </c>
      <c r="H174" s="53">
        <v>0</v>
      </c>
    </row>
    <row r="175" spans="1:8" x14ac:dyDescent="0.25">
      <c r="A175" s="40">
        <f>'Synthèse Horaires'!$I$4</f>
        <v>0</v>
      </c>
      <c r="B175" s="40">
        <f t="shared" si="44"/>
        <v>0</v>
      </c>
      <c r="C175" s="40">
        <f t="shared" si="43"/>
        <v>0</v>
      </c>
      <c r="D175" s="40">
        <f>S52</f>
        <v>0</v>
      </c>
      <c r="E175" s="40" t="str">
        <f t="shared" si="34"/>
        <v>Juin</v>
      </c>
      <c r="F175" s="40">
        <f t="shared" si="35"/>
        <v>2026</v>
      </c>
      <c r="G175" s="53">
        <v>0</v>
      </c>
      <c r="H175" s="53">
        <v>0</v>
      </c>
    </row>
    <row r="176" spans="1:8" x14ac:dyDescent="0.25">
      <c r="A176" s="40">
        <f>'Synthèse Horaires'!$I$4</f>
        <v>0</v>
      </c>
      <c r="B176" s="40">
        <f t="shared" si="44"/>
        <v>0</v>
      </c>
      <c r="C176" s="40">
        <f t="shared" si="43"/>
        <v>0</v>
      </c>
      <c r="D176" s="40">
        <f>S53</f>
        <v>0</v>
      </c>
      <c r="E176" s="40" t="str">
        <f t="shared" si="34"/>
        <v>Juin</v>
      </c>
      <c r="F176" s="40">
        <f t="shared" si="35"/>
        <v>2026</v>
      </c>
      <c r="G176" s="53">
        <v>0</v>
      </c>
      <c r="H176" s="53">
        <v>0</v>
      </c>
    </row>
    <row r="177" spans="1:8" x14ac:dyDescent="0.25">
      <c r="A177" s="40">
        <f>'Synthèse Horaires'!$I$4</f>
        <v>0</v>
      </c>
      <c r="B177" s="40">
        <f>T34</f>
        <v>0</v>
      </c>
      <c r="C177" s="40">
        <f>C172</f>
        <v>23</v>
      </c>
      <c r="D177" s="40">
        <f>T49</f>
        <v>0</v>
      </c>
      <c r="E177" s="40" t="str">
        <f t="shared" si="34"/>
        <v>Juin</v>
      </c>
      <c r="F177" s="40">
        <f t="shared" si="35"/>
        <v>2026</v>
      </c>
      <c r="G177" s="27">
        <f>T39</f>
        <v>0</v>
      </c>
      <c r="H177" s="27">
        <f>T43</f>
        <v>0</v>
      </c>
    </row>
    <row r="178" spans="1:8" x14ac:dyDescent="0.25">
      <c r="A178" s="40">
        <f>'Synthèse Horaires'!$I$4</f>
        <v>0</v>
      </c>
      <c r="B178" s="40">
        <f>B177</f>
        <v>0</v>
      </c>
      <c r="C178" s="40">
        <f t="shared" ref="C178:C181" si="45">C173</f>
        <v>24</v>
      </c>
      <c r="D178" s="40">
        <f>T50</f>
        <v>0</v>
      </c>
      <c r="E178" s="40" t="str">
        <f t="shared" si="34"/>
        <v>Juin</v>
      </c>
      <c r="F178" s="40">
        <f t="shared" si="35"/>
        <v>2026</v>
      </c>
      <c r="G178" s="53">
        <v>0</v>
      </c>
      <c r="H178" s="53">
        <v>0</v>
      </c>
    </row>
    <row r="179" spans="1:8" x14ac:dyDescent="0.25">
      <c r="A179" s="40">
        <f>'Synthèse Horaires'!$I$4</f>
        <v>0</v>
      </c>
      <c r="B179" s="40">
        <f t="shared" ref="B179:B181" si="46">B178</f>
        <v>0</v>
      </c>
      <c r="C179" s="40" t="str">
        <f t="shared" si="45"/>
        <v>NU</v>
      </c>
      <c r="D179" s="40">
        <f>T51</f>
        <v>0</v>
      </c>
      <c r="E179" s="40" t="str">
        <f t="shared" si="34"/>
        <v>Juin</v>
      </c>
      <c r="F179" s="40">
        <f t="shared" si="35"/>
        <v>2026</v>
      </c>
      <c r="G179" s="53">
        <v>0</v>
      </c>
      <c r="H179" s="53">
        <v>0</v>
      </c>
    </row>
    <row r="180" spans="1:8" x14ac:dyDescent="0.25">
      <c r="A180" s="40">
        <f>'Synthèse Horaires'!$I$4</f>
        <v>0</v>
      </c>
      <c r="B180" s="40">
        <f t="shared" si="46"/>
        <v>0</v>
      </c>
      <c r="C180" s="40">
        <f t="shared" si="45"/>
        <v>0</v>
      </c>
      <c r="D180" s="40">
        <f>T52</f>
        <v>0</v>
      </c>
      <c r="E180" s="40" t="str">
        <f t="shared" si="34"/>
        <v>Juin</v>
      </c>
      <c r="F180" s="40">
        <f t="shared" si="35"/>
        <v>2026</v>
      </c>
      <c r="G180" s="53">
        <v>0</v>
      </c>
      <c r="H180" s="53">
        <v>0</v>
      </c>
    </row>
    <row r="181" spans="1:8" x14ac:dyDescent="0.25">
      <c r="A181" s="40">
        <f>'Synthèse Horaires'!$I$4</f>
        <v>0</v>
      </c>
      <c r="B181" s="40">
        <f t="shared" si="46"/>
        <v>0</v>
      </c>
      <c r="C181" s="40">
        <f t="shared" si="45"/>
        <v>0</v>
      </c>
      <c r="D181" s="40">
        <f>T53</f>
        <v>0</v>
      </c>
      <c r="E181" s="40" t="str">
        <f t="shared" si="34"/>
        <v>Juin</v>
      </c>
      <c r="F181" s="40">
        <f t="shared" si="35"/>
        <v>2026</v>
      </c>
      <c r="G181" s="53">
        <v>0</v>
      </c>
      <c r="H181" s="53">
        <v>0</v>
      </c>
    </row>
    <row r="182" spans="1:8" x14ac:dyDescent="0.25">
      <c r="A182" s="40">
        <f>'Synthèse Horaires'!$I$4</f>
        <v>0</v>
      </c>
      <c r="B182" s="40">
        <f>U34</f>
        <v>0</v>
      </c>
      <c r="C182" s="40">
        <f>C177</f>
        <v>23</v>
      </c>
      <c r="D182" s="40">
        <f>U49</f>
        <v>0</v>
      </c>
      <c r="E182" s="40" t="str">
        <f t="shared" si="34"/>
        <v>Juin</v>
      </c>
      <c r="F182" s="40">
        <f t="shared" si="35"/>
        <v>2026</v>
      </c>
      <c r="G182" s="27">
        <f>U39</f>
        <v>0</v>
      </c>
      <c r="H182" s="27">
        <f>U43</f>
        <v>0</v>
      </c>
    </row>
    <row r="183" spans="1:8" x14ac:dyDescent="0.25">
      <c r="A183" s="40">
        <f>'Synthèse Horaires'!$I$4</f>
        <v>0</v>
      </c>
      <c r="B183" s="40">
        <f>B182</f>
        <v>0</v>
      </c>
      <c r="C183" s="40">
        <f>C178</f>
        <v>24</v>
      </c>
      <c r="D183" s="40">
        <f>U50</f>
        <v>0</v>
      </c>
      <c r="E183" s="40" t="str">
        <f t="shared" si="34"/>
        <v>Juin</v>
      </c>
      <c r="F183" s="40">
        <f t="shared" si="35"/>
        <v>2026</v>
      </c>
      <c r="G183" s="53">
        <v>0</v>
      </c>
      <c r="H183" s="53">
        <v>0</v>
      </c>
    </row>
    <row r="184" spans="1:8" x14ac:dyDescent="0.25">
      <c r="A184" s="40">
        <f>'Synthèse Horaires'!$I$4</f>
        <v>0</v>
      </c>
      <c r="B184" s="40">
        <f t="shared" ref="B184:B186" si="47">B183</f>
        <v>0</v>
      </c>
      <c r="C184" s="40" t="str">
        <f>C179</f>
        <v>NU</v>
      </c>
      <c r="D184" s="40">
        <f>U51</f>
        <v>0</v>
      </c>
      <c r="E184" s="40" t="str">
        <f t="shared" si="34"/>
        <v>Juin</v>
      </c>
      <c r="F184" s="40">
        <f t="shared" si="35"/>
        <v>2026</v>
      </c>
      <c r="G184" s="53">
        <v>0</v>
      </c>
      <c r="H184" s="53">
        <v>0</v>
      </c>
    </row>
    <row r="185" spans="1:8" x14ac:dyDescent="0.25">
      <c r="A185" s="40">
        <f>'Synthèse Horaires'!$I$4</f>
        <v>0</v>
      </c>
      <c r="B185" s="40">
        <f t="shared" si="47"/>
        <v>0</v>
      </c>
      <c r="C185" s="40">
        <f>C180</f>
        <v>0</v>
      </c>
      <c r="D185" s="40">
        <f>U52</f>
        <v>0</v>
      </c>
      <c r="E185" s="40" t="str">
        <f t="shared" si="34"/>
        <v>Juin</v>
      </c>
      <c r="F185" s="40">
        <f t="shared" si="35"/>
        <v>2026</v>
      </c>
      <c r="G185" s="53">
        <v>0</v>
      </c>
      <c r="H185" s="53">
        <v>0</v>
      </c>
    </row>
    <row r="186" spans="1:8" x14ac:dyDescent="0.25">
      <c r="A186" s="135">
        <f>'Synthèse Horaires'!$I$4</f>
        <v>0</v>
      </c>
      <c r="B186" s="135">
        <f t="shared" si="47"/>
        <v>0</v>
      </c>
      <c r="C186" s="135">
        <f>C181</f>
        <v>0</v>
      </c>
      <c r="D186" s="135">
        <f>U53</f>
        <v>0</v>
      </c>
      <c r="E186" s="40" t="str">
        <f t="shared" si="34"/>
        <v>Juin</v>
      </c>
      <c r="F186" s="40">
        <f t="shared" si="35"/>
        <v>2026</v>
      </c>
      <c r="G186" s="53">
        <v>0</v>
      </c>
      <c r="H186" s="53">
        <v>0</v>
      </c>
    </row>
  </sheetData>
  <sheetProtection algorithmName="SHA-512" hashValue="Qc9caPR+w3PUnZqPfJOkOlgElZdRtOhqBwFbsz9CJsyvhTtV46K/IFy+UyqhON94p8qZTitl80mwOt6ejGi7CA==" saltValue="Jvbafe8guIPXpN+++US+kQ==" spinCount="100000" sheet="1" objects="1" scenarios="1"/>
  <mergeCells count="14">
    <mergeCell ref="A56:A82"/>
    <mergeCell ref="A84:C84"/>
    <mergeCell ref="V8:V27"/>
    <mergeCell ref="A5:C5"/>
    <mergeCell ref="D5:F5"/>
    <mergeCell ref="A29:C29"/>
    <mergeCell ref="A8:A27"/>
    <mergeCell ref="D8:D27"/>
    <mergeCell ref="G8:G27"/>
    <mergeCell ref="J8:J27"/>
    <mergeCell ref="P8:P27"/>
    <mergeCell ref="S8:S27"/>
    <mergeCell ref="M8:M27"/>
    <mergeCell ref="M84:O84"/>
  </mergeCells>
  <pageMargins left="0.25" right="0.25" top="0.75" bottom="0.75" header="0.3" footer="0.3"/>
  <pageSetup paperSize="9" scale="59" orientation="landscape"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5">
    <tabColor rgb="FFFFC000"/>
  </sheetPr>
  <dimension ref="A1:AT340"/>
  <sheetViews>
    <sheetView zoomScaleNormal="100" workbookViewId="0">
      <pane ySplit="12" topLeftCell="A13" activePane="bottomLeft" state="frozen"/>
      <selection pane="bottomLeft" activeCell="C37" sqref="C37"/>
    </sheetView>
  </sheetViews>
  <sheetFormatPr baseColWidth="10" defaultRowHeight="15" outlineLevelCol="1" x14ac:dyDescent="0.25"/>
  <cols>
    <col min="1" max="1" width="22.7109375" customWidth="1"/>
    <col min="2" max="2" width="12.28515625" customWidth="1"/>
    <col min="3" max="3" width="22.42578125" bestFit="1" customWidth="1"/>
    <col min="4" max="4" width="12.42578125" hidden="1" customWidth="1" outlineLevel="1"/>
    <col min="5" max="5" width="15.140625" hidden="1" customWidth="1" outlineLevel="1"/>
    <col min="6" max="6" width="14.5703125" hidden="1" customWidth="1" outlineLevel="1"/>
    <col min="7" max="9" width="17" hidden="1" customWidth="1" outlineLevel="1"/>
    <col min="10" max="10" width="11" hidden="1" customWidth="1" outlineLevel="1"/>
    <col min="11" max="11" width="14.140625" hidden="1" customWidth="1" outlineLevel="1"/>
    <col min="12" max="12" width="11.42578125" hidden="1" customWidth="1" outlineLevel="1"/>
    <col min="13" max="13" width="11" hidden="1" customWidth="1" outlineLevel="1"/>
    <col min="14" max="14" width="11.85546875" hidden="1" customWidth="1" outlineLevel="1"/>
    <col min="15" max="16" width="12.5703125" hidden="1" customWidth="1" outlineLevel="1"/>
    <col min="17" max="17" width="11" hidden="1" customWidth="1" outlineLevel="1"/>
    <col min="18" max="18" width="12" hidden="1" customWidth="1" outlineLevel="1"/>
    <col min="19" max="19" width="13.5703125" hidden="1" customWidth="1" outlineLevel="1"/>
    <col min="20" max="20" width="18.42578125" hidden="1" customWidth="1" outlineLevel="1"/>
    <col min="21" max="21" width="11" hidden="1" customWidth="1" outlineLevel="1"/>
    <col min="22" max="22" width="12.28515625" hidden="1" customWidth="1" outlineLevel="1"/>
    <col min="23" max="23" width="13" hidden="1" customWidth="1" outlineLevel="1"/>
    <col min="24" max="27" width="11" hidden="1" customWidth="1" outlineLevel="1"/>
    <col min="28" max="45" width="11.42578125" hidden="1" customWidth="1" outlineLevel="1"/>
    <col min="46" max="46" width="11.42578125" collapsed="1"/>
  </cols>
  <sheetData>
    <row r="1" spans="1:45" x14ac:dyDescent="0.25">
      <c r="A1" s="9" t="s">
        <v>56</v>
      </c>
      <c r="K1" s="4" t="s">
        <v>276</v>
      </c>
    </row>
    <row r="2" spans="1:45" x14ac:dyDescent="0.25">
      <c r="A2" t="s">
        <v>82</v>
      </c>
      <c r="D2" s="11"/>
      <c r="K2" t="s">
        <v>274</v>
      </c>
      <c r="L2" t="s">
        <v>275</v>
      </c>
      <c r="O2" s="185" t="s">
        <v>444</v>
      </c>
    </row>
    <row r="3" spans="1:45" x14ac:dyDescent="0.25">
      <c r="A3" t="s">
        <v>221</v>
      </c>
      <c r="D3" s="18"/>
      <c r="F3" s="10" t="s">
        <v>83</v>
      </c>
      <c r="G3" s="12">
        <v>46173</v>
      </c>
      <c r="H3" s="6" t="s">
        <v>88</v>
      </c>
      <c r="I3" s="13">
        <v>46538</v>
      </c>
      <c r="K3" t="s">
        <v>135</v>
      </c>
      <c r="L3" s="32">
        <v>23</v>
      </c>
      <c r="O3" s="186">
        <v>25</v>
      </c>
    </row>
    <row r="4" spans="1:45" x14ac:dyDescent="0.25">
      <c r="B4" t="s">
        <v>70</v>
      </c>
      <c r="E4" t="s">
        <v>75</v>
      </c>
      <c r="G4" s="11">
        <v>0</v>
      </c>
      <c r="K4" t="s">
        <v>137</v>
      </c>
      <c r="L4" s="32">
        <v>24</v>
      </c>
      <c r="O4" s="186">
        <v>26</v>
      </c>
    </row>
    <row r="5" spans="1:45" x14ac:dyDescent="0.25">
      <c r="B5" s="10" t="s">
        <v>65</v>
      </c>
      <c r="C5" s="11">
        <v>365</v>
      </c>
      <c r="E5" t="s">
        <v>76</v>
      </c>
      <c r="G5" s="11">
        <v>35</v>
      </c>
      <c r="K5" t="s">
        <v>138</v>
      </c>
      <c r="L5" s="32" t="s">
        <v>802</v>
      </c>
      <c r="O5" s="186">
        <v>27</v>
      </c>
    </row>
    <row r="6" spans="1:45" x14ac:dyDescent="0.25">
      <c r="B6" s="10" t="s">
        <v>66</v>
      </c>
      <c r="C6" s="11">
        <v>104</v>
      </c>
      <c r="E6" t="s">
        <v>77</v>
      </c>
      <c r="G6" s="11">
        <v>4</v>
      </c>
      <c r="K6" t="s">
        <v>139</v>
      </c>
      <c r="L6" s="32" t="s">
        <v>802</v>
      </c>
      <c r="O6" s="186">
        <v>28</v>
      </c>
    </row>
    <row r="7" spans="1:45" x14ac:dyDescent="0.25">
      <c r="B7" s="10" t="s">
        <v>67</v>
      </c>
      <c r="C7" s="11">
        <v>7</v>
      </c>
      <c r="E7" t="s">
        <v>78</v>
      </c>
      <c r="G7" s="11">
        <v>0.8</v>
      </c>
      <c r="K7" t="s">
        <v>140</v>
      </c>
      <c r="L7" s="32" t="s">
        <v>802</v>
      </c>
      <c r="M7" t="s">
        <v>445</v>
      </c>
      <c r="O7" s="186">
        <v>29</v>
      </c>
    </row>
    <row r="8" spans="1:45" x14ac:dyDescent="0.25">
      <c r="B8" s="10" t="s">
        <v>68</v>
      </c>
      <c r="C8" s="11">
        <v>25</v>
      </c>
      <c r="E8" t="s">
        <v>79</v>
      </c>
      <c r="G8" s="11">
        <v>-0.8</v>
      </c>
      <c r="K8" s="10" t="s">
        <v>397</v>
      </c>
      <c r="L8" s="134">
        <v>46203</v>
      </c>
    </row>
    <row r="9" spans="1:45" x14ac:dyDescent="0.25">
      <c r="B9" s="10" t="s">
        <v>69</v>
      </c>
      <c r="C9" s="5">
        <f>C5-SUM(C6:C8)</f>
        <v>229</v>
      </c>
      <c r="E9" t="s">
        <v>81</v>
      </c>
      <c r="G9" s="11">
        <v>2</v>
      </c>
      <c r="K9" s="10" t="s">
        <v>429</v>
      </c>
      <c r="L9" s="134">
        <v>46187</v>
      </c>
      <c r="AQ9" t="s">
        <v>407</v>
      </c>
    </row>
    <row r="10" spans="1:45" x14ac:dyDescent="0.25">
      <c r="E10" t="s">
        <v>80</v>
      </c>
      <c r="G10" s="11">
        <v>3</v>
      </c>
      <c r="K10" s="10" t="s">
        <v>430</v>
      </c>
      <c r="L10" s="174">
        <f>(I3-L9)/7</f>
        <v>50.142857142857146</v>
      </c>
      <c r="AQ10" t="s">
        <v>408</v>
      </c>
    </row>
    <row r="11" spans="1:45" ht="15.75" thickBot="1" x14ac:dyDescent="0.3">
      <c r="E11" s="328" t="s">
        <v>60</v>
      </c>
      <c r="F11" s="329"/>
      <c r="AQ11" t="s">
        <v>406</v>
      </c>
    </row>
    <row r="12" spans="1:45" ht="52.5" customHeight="1" thickBot="1" x14ac:dyDescent="0.3">
      <c r="B12" s="7" t="s">
        <v>19</v>
      </c>
      <c r="C12" s="8" t="s">
        <v>20</v>
      </c>
      <c r="D12" s="239" t="s">
        <v>62</v>
      </c>
      <c r="E12" s="240" t="s">
        <v>71</v>
      </c>
      <c r="F12" s="241" t="s">
        <v>72</v>
      </c>
      <c r="G12" s="239" t="s">
        <v>61</v>
      </c>
      <c r="H12" s="242" t="s">
        <v>73</v>
      </c>
      <c r="I12" s="242" t="s">
        <v>74</v>
      </c>
      <c r="J12" s="242" t="s">
        <v>63</v>
      </c>
      <c r="K12" s="242" t="s">
        <v>84</v>
      </c>
      <c r="L12" s="242" t="s">
        <v>85</v>
      </c>
      <c r="M12" s="242" t="s">
        <v>86</v>
      </c>
      <c r="N12" s="242" t="s">
        <v>87</v>
      </c>
      <c r="O12" s="243" t="s">
        <v>91</v>
      </c>
      <c r="P12" s="243" t="s">
        <v>92</v>
      </c>
      <c r="Q12" s="243" t="s">
        <v>89</v>
      </c>
      <c r="R12" s="243" t="s">
        <v>90</v>
      </c>
      <c r="S12" s="239" t="s">
        <v>339</v>
      </c>
      <c r="T12" s="244" t="s">
        <v>93</v>
      </c>
      <c r="U12" s="242" t="s">
        <v>99</v>
      </c>
      <c r="V12" s="242" t="s">
        <v>100</v>
      </c>
      <c r="W12" s="242" t="s">
        <v>101</v>
      </c>
      <c r="X12" s="245" t="s">
        <v>160</v>
      </c>
      <c r="Y12" s="246" t="s">
        <v>304</v>
      </c>
      <c r="Z12" s="247" t="s">
        <v>303</v>
      </c>
      <c r="AA12" s="248" t="s">
        <v>305</v>
      </c>
      <c r="AB12" s="249" t="s">
        <v>400</v>
      </c>
      <c r="AC12" s="249" t="s">
        <v>401</v>
      </c>
      <c r="AD12" s="249" t="s">
        <v>402</v>
      </c>
      <c r="AE12" s="250" t="s">
        <v>410</v>
      </c>
      <c r="AF12" s="251" t="s">
        <v>411</v>
      </c>
      <c r="AG12" s="250" t="s">
        <v>412</v>
      </c>
      <c r="AH12" s="251" t="s">
        <v>413</v>
      </c>
      <c r="AI12" s="252" t="s">
        <v>414</v>
      </c>
      <c r="AJ12" s="252" t="s">
        <v>415</v>
      </c>
      <c r="AK12" s="253" t="s">
        <v>490</v>
      </c>
      <c r="AL12" s="253" t="s">
        <v>491</v>
      </c>
      <c r="AQ12" s="260" t="s">
        <v>273</v>
      </c>
      <c r="AR12" s="260" t="s">
        <v>679</v>
      </c>
      <c r="AS12" s="260" t="s">
        <v>409</v>
      </c>
    </row>
    <row r="13" spans="1:45" x14ac:dyDescent="0.25">
      <c r="B13" s="17">
        <v>100000001</v>
      </c>
      <c r="C13" s="3" t="s">
        <v>21</v>
      </c>
      <c r="D13" s="200">
        <v>41218</v>
      </c>
      <c r="E13">
        <v>35</v>
      </c>
      <c r="G13" t="s">
        <v>273</v>
      </c>
      <c r="H13" s="203">
        <f t="shared" ref="H13:H76" si="0">ROUNDUP((($C$9/5)*E13)+($G$4*(E13/$G$5))+IF(E13=20,$G$10,(IF(E13=25,$G$9,(IF(E13=35,$G$6,IF(E13=39,$G$7,(IF(E13=41,$G$8,($G$6*(E13/$G$5)))))))))),0)</f>
        <v>1607</v>
      </c>
      <c r="I13" s="6">
        <f t="shared" ref="I13:I76" si="1">F13*2</f>
        <v>0</v>
      </c>
      <c r="J13" s="200">
        <f>'Synthèse Horaires'!$C$5</f>
        <v>46023</v>
      </c>
      <c r="K13" s="6" t="str">
        <f t="shared" ref="K13:K76" si="2">IF(N(D13)&lt;N($G$3),"oui","non")</f>
        <v>oui</v>
      </c>
      <c r="L13" s="6" t="str">
        <f>IF(N(D13)&gt;N($G$3),"oui","non")</f>
        <v>non</v>
      </c>
      <c r="M13" s="204">
        <f>IF(G13="Employé",(IF(K13="oui",H13,"non")),"non")</f>
        <v>1607</v>
      </c>
      <c r="N13" s="204">
        <f t="shared" ref="N13:N76" si="3">IF(G13="Employé",(IF(L13="oui",(H13*(($G$3+365)-D13+1)/365),0)))</f>
        <v>0</v>
      </c>
      <c r="O13" s="204" t="str">
        <f t="shared" ref="O13:O76" si="4">IF(G13="Cadre",(IF(K13="oui",F13,0)),"non")</f>
        <v>non</v>
      </c>
      <c r="P13" s="6" t="b">
        <f t="shared" ref="P13:P76" si="5">IF(G13="Cadre",(IF(L13="oui",((((($G$3+365)-D13+1)*F13)/365)),0)))</f>
        <v>0</v>
      </c>
      <c r="Q13" s="6">
        <f>IF(O13="non",0,O13*2)</f>
        <v>0</v>
      </c>
      <c r="R13" s="6">
        <f>IF(ISERROR(P13),0,P13*2)</f>
        <v>0</v>
      </c>
      <c r="T13" s="205" t="s">
        <v>196</v>
      </c>
      <c r="U13">
        <f t="shared" ref="U13:U76" ca="1" si="6">TODAY()-D13</f>
        <v>4963</v>
      </c>
      <c r="V13">
        <f t="shared" ref="V13:V76" ca="1" si="7">IF(G13="Employé",IF(U13&gt;9125,3,IF(U13&gt;7300,2,IF(U13&gt;5475,1,))))</f>
        <v>0</v>
      </c>
      <c r="W13" t="b">
        <f t="shared" ref="W13:W76" si="8">IF(G13="Cadre",IF(U13&gt;3650,2,IF(U13&gt;1825,1,)))</f>
        <v>0</v>
      </c>
      <c r="X13" s="6" t="str">
        <f t="shared" ref="X13:X76" si="9">IF(G13="Employé",IF(E13&lt;$G$5,E13,"non"),"non")</f>
        <v>non</v>
      </c>
      <c r="Y13">
        <f>IF(AND(G13="Employé",N13=0),M13,N13)</f>
        <v>1607</v>
      </c>
      <c r="Z13" t="b">
        <f>IF(AND(G13="Cadre",P13=0),O13,P13)</f>
        <v>0</v>
      </c>
      <c r="AA13" s="206">
        <f>(IF(Y13=FALSE(),(Z13+AB13),(AD13)))+AF13+AH13+AI13</f>
        <v>1607</v>
      </c>
      <c r="AB13">
        <f>IF(AND(L13="oui",G13="Cadre"),(30*(Z13/F13)),0)</f>
        <v>0</v>
      </c>
      <c r="AC13">
        <f>IF(AND(G13="Employé",L13="oui"),(30*(Y13/H13)),0)</f>
        <v>0</v>
      </c>
      <c r="AD13">
        <f>Y13+(AC13*(E13/6))</f>
        <v>1607</v>
      </c>
      <c r="AE13">
        <f>IFERROR(((VLOOKUP(B13,AQ:AS,2,0)-30)*-1),0)</f>
        <v>0</v>
      </c>
      <c r="AF13">
        <f t="shared" ref="AF13:AF76" si="10">IF(AND(G13="Employé",L13="oui"),0,(AE13*(E13/5)))</f>
        <v>0</v>
      </c>
      <c r="AG13">
        <f>IFERROR(((VLOOKUP(B13,AQ:AS,2,0)-30)*-1),0)</f>
        <v>0</v>
      </c>
      <c r="AH13">
        <f>IF(G13="Cadre",AG13,0)</f>
        <v>0</v>
      </c>
      <c r="AK13" s="205">
        <v>29703</v>
      </c>
      <c r="AL13" t="s">
        <v>492</v>
      </c>
      <c r="AQ13">
        <v>100000001</v>
      </c>
      <c r="AR13">
        <v>30</v>
      </c>
      <c r="AS13">
        <v>0</v>
      </c>
    </row>
    <row r="14" spans="1:45" x14ac:dyDescent="0.25">
      <c r="B14" s="17">
        <v>100000002</v>
      </c>
      <c r="C14" s="3" t="s">
        <v>22</v>
      </c>
      <c r="D14" s="200">
        <v>41263</v>
      </c>
      <c r="E14">
        <v>35</v>
      </c>
      <c r="G14" t="s">
        <v>273</v>
      </c>
      <c r="H14" s="203">
        <f t="shared" si="0"/>
        <v>1607</v>
      </c>
      <c r="I14" s="6">
        <f t="shared" si="1"/>
        <v>0</v>
      </c>
      <c r="J14" s="200">
        <f>'Synthèse Horaires'!$C$5</f>
        <v>46023</v>
      </c>
      <c r="K14" s="6" t="str">
        <f t="shared" si="2"/>
        <v>oui</v>
      </c>
      <c r="L14" s="6" t="str">
        <f t="shared" ref="L14:L76" si="11">IF(N(D14)&gt;N($G$3),"oui","non")</f>
        <v>non</v>
      </c>
      <c r="M14" s="204">
        <f t="shared" ref="M14:M76" si="12">IF(G14="Employé",(IF(K14="oui",H14,"non")),"non")</f>
        <v>1607</v>
      </c>
      <c r="N14" s="204">
        <f t="shared" si="3"/>
        <v>0</v>
      </c>
      <c r="O14" s="204" t="str">
        <f t="shared" si="4"/>
        <v>non</v>
      </c>
      <c r="P14" s="6" t="b">
        <f t="shared" si="5"/>
        <v>0</v>
      </c>
      <c r="Q14" s="6">
        <f t="shared" ref="Q14:Q77" si="13">IF(O14="non",0,O14*2)</f>
        <v>0</v>
      </c>
      <c r="R14" s="6">
        <f t="shared" ref="R14:R77" si="14">IF(ISERROR(P14),0,P14*2)</f>
        <v>0</v>
      </c>
      <c r="T14" s="205" t="s">
        <v>196</v>
      </c>
      <c r="U14">
        <f t="shared" ca="1" si="6"/>
        <v>4918</v>
      </c>
      <c r="V14">
        <f t="shared" ca="1" si="7"/>
        <v>0</v>
      </c>
      <c r="W14" t="b">
        <f t="shared" si="8"/>
        <v>0</v>
      </c>
      <c r="X14" s="6" t="str">
        <f t="shared" si="9"/>
        <v>non</v>
      </c>
      <c r="Y14">
        <f>IF(AND(G14="Employé",N14=0),M14,N14)</f>
        <v>1607</v>
      </c>
      <c r="Z14" t="b">
        <f t="shared" ref="Z14:Z76" si="15">IF(AND(G14="Cadre",P14=0),O14,P14)</f>
        <v>0</v>
      </c>
      <c r="AA14" s="206">
        <f t="shared" ref="AA14:AA77" si="16">(IF(Y14=FALSE(),(Z14+AB14),(AD14)))+AF14+AH14+AI14</f>
        <v>1607</v>
      </c>
      <c r="AB14">
        <f>IF(AND(L14="oui",G14="Cadre"),(30*(Z14/F14)),0)</f>
        <v>0</v>
      </c>
      <c r="AC14">
        <f>IF(AND(G14="Employé",L14="oui"),(30*(Y14/H14)),0)</f>
        <v>0</v>
      </c>
      <c r="AD14">
        <f>Y14+(AC14*(E14/6))</f>
        <v>1607</v>
      </c>
      <c r="AE14">
        <f t="shared" ref="AE14:AE77" si="17">IFERROR(((VLOOKUP(B14,AQ:AS,2,0)-30)*-1),0)</f>
        <v>0</v>
      </c>
      <c r="AF14">
        <f t="shared" si="10"/>
        <v>0</v>
      </c>
      <c r="AG14">
        <f t="shared" ref="AG14:AG77" si="18">IFERROR(((VLOOKUP(B14,AQ:AS,2,0)-30)*-1),0)</f>
        <v>0</v>
      </c>
      <c r="AH14">
        <f t="shared" ref="AH14:AH52" si="19">IF(G14="Cadre",AG14,0)</f>
        <v>0</v>
      </c>
      <c r="AK14" s="205">
        <v>32063</v>
      </c>
      <c r="AL14" t="s">
        <v>514</v>
      </c>
      <c r="AQ14">
        <v>100000002</v>
      </c>
      <c r="AR14">
        <v>30</v>
      </c>
      <c r="AS14">
        <v>0</v>
      </c>
    </row>
    <row r="15" spans="1:45" x14ac:dyDescent="0.25">
      <c r="B15" s="17">
        <v>6000000017</v>
      </c>
      <c r="C15" s="3" t="s">
        <v>604</v>
      </c>
      <c r="D15" s="200">
        <v>45453</v>
      </c>
      <c r="E15">
        <v>35</v>
      </c>
      <c r="F15">
        <v>0</v>
      </c>
      <c r="G15" t="s">
        <v>273</v>
      </c>
      <c r="H15" s="203">
        <f t="shared" si="0"/>
        <v>1607</v>
      </c>
      <c r="I15" s="6">
        <f t="shared" si="1"/>
        <v>0</v>
      </c>
      <c r="J15" s="200">
        <f>'Synthèse Horaires'!$C$5</f>
        <v>46023</v>
      </c>
      <c r="K15" s="6" t="str">
        <f t="shared" si="2"/>
        <v>oui</v>
      </c>
      <c r="L15" s="6" t="str">
        <f t="shared" si="11"/>
        <v>non</v>
      </c>
      <c r="M15" s="204">
        <f t="shared" si="12"/>
        <v>1607</v>
      </c>
      <c r="N15" s="204">
        <f t="shared" si="3"/>
        <v>0</v>
      </c>
      <c r="O15" s="204" t="str">
        <f t="shared" si="4"/>
        <v>non</v>
      </c>
      <c r="P15" s="6" t="b">
        <f t="shared" si="5"/>
        <v>0</v>
      </c>
      <c r="Q15" s="6">
        <f t="shared" si="13"/>
        <v>0</v>
      </c>
      <c r="R15" s="6">
        <f t="shared" si="14"/>
        <v>0</v>
      </c>
      <c r="T15" s="205" t="s">
        <v>473</v>
      </c>
      <c r="U15">
        <f t="shared" ca="1" si="6"/>
        <v>728</v>
      </c>
      <c r="V15">
        <f t="shared" ca="1" si="7"/>
        <v>0</v>
      </c>
      <c r="W15" t="b">
        <f t="shared" si="8"/>
        <v>0</v>
      </c>
      <c r="X15" s="6" t="str">
        <f t="shared" si="9"/>
        <v>non</v>
      </c>
      <c r="Y15">
        <f t="shared" ref="Y15:Y76" si="20">IF(AND(G15="Employé",N15=0),M15,N15)</f>
        <v>1607</v>
      </c>
      <c r="Z15" t="b">
        <f t="shared" si="15"/>
        <v>0</v>
      </c>
      <c r="AA15" s="206">
        <f t="shared" si="16"/>
        <v>1607</v>
      </c>
      <c r="AB15">
        <f t="shared" ref="AB15" si="21">IF(AND(L15="oui",G15="Cadre"),(30*(Z15/F15)),0)</f>
        <v>0</v>
      </c>
      <c r="AC15">
        <f>IF(AND(G15="Employé",L15="oui"),(30*(Y15/H15)),0)</f>
        <v>0</v>
      </c>
      <c r="AD15">
        <f>Y15+(AC15*(E15/6))</f>
        <v>1607</v>
      </c>
      <c r="AE15">
        <f t="shared" si="17"/>
        <v>0</v>
      </c>
      <c r="AF15">
        <f t="shared" si="10"/>
        <v>0</v>
      </c>
      <c r="AG15">
        <f t="shared" si="18"/>
        <v>0</v>
      </c>
      <c r="AH15">
        <f t="shared" si="19"/>
        <v>0</v>
      </c>
      <c r="AK15" s="205">
        <v>37624</v>
      </c>
      <c r="AL15" t="s">
        <v>508</v>
      </c>
      <c r="AQ15">
        <v>100000008</v>
      </c>
      <c r="AR15">
        <v>30</v>
      </c>
      <c r="AS15">
        <v>0</v>
      </c>
    </row>
    <row r="16" spans="1:45" x14ac:dyDescent="0.25">
      <c r="B16" s="283">
        <v>600000037</v>
      </c>
      <c r="C16" s="284" t="s">
        <v>779</v>
      </c>
      <c r="D16" s="282">
        <v>46195</v>
      </c>
      <c r="E16" s="285">
        <v>7</v>
      </c>
      <c r="F16" s="285">
        <v>0</v>
      </c>
      <c r="G16" s="285" t="s">
        <v>273</v>
      </c>
      <c r="H16" s="203">
        <f t="shared" si="0"/>
        <v>322</v>
      </c>
      <c r="I16" s="6">
        <f t="shared" si="1"/>
        <v>0</v>
      </c>
      <c r="J16" s="200">
        <f>'Synthèse Horaires'!$C$5</f>
        <v>46023</v>
      </c>
      <c r="K16" s="6" t="str">
        <f t="shared" si="2"/>
        <v>non</v>
      </c>
      <c r="L16" s="6" t="str">
        <f t="shared" si="11"/>
        <v>oui</v>
      </c>
      <c r="M16" s="204" t="str">
        <f t="shared" si="12"/>
        <v>non</v>
      </c>
      <c r="N16" s="204">
        <f t="shared" si="3"/>
        <v>303.47397260273971</v>
      </c>
      <c r="O16" s="204" t="str">
        <f t="shared" si="4"/>
        <v>non</v>
      </c>
      <c r="P16" s="6" t="b">
        <f t="shared" si="5"/>
        <v>0</v>
      </c>
      <c r="Q16" s="6">
        <f t="shared" si="13"/>
        <v>0</v>
      </c>
      <c r="R16" s="6">
        <f t="shared" si="14"/>
        <v>0</v>
      </c>
      <c r="S16" t="s">
        <v>341</v>
      </c>
      <c r="T16" s="205" t="s">
        <v>189</v>
      </c>
      <c r="U16">
        <f t="shared" ca="1" si="6"/>
        <v>-14</v>
      </c>
      <c r="V16">
        <f t="shared" ca="1" si="7"/>
        <v>0</v>
      </c>
      <c r="W16" t="b">
        <f t="shared" si="8"/>
        <v>0</v>
      </c>
      <c r="X16" s="6">
        <f t="shared" si="9"/>
        <v>7</v>
      </c>
      <c r="Y16">
        <f t="shared" si="20"/>
        <v>303.47397260273971</v>
      </c>
      <c r="Z16" t="b">
        <f t="shared" si="15"/>
        <v>0</v>
      </c>
      <c r="AA16" s="206">
        <f>(IF(Y16=FALSE(),(Z16+AB16),(AD16)))+AF16+AH16+AI16</f>
        <v>336.46027397260275</v>
      </c>
      <c r="AB16">
        <f t="shared" ref="AB16:AB79" si="22">IF(AND(L16="oui",G16="Cadre"),(30*(Z16/F16)),0)</f>
        <v>0</v>
      </c>
      <c r="AC16">
        <f t="shared" ref="AC16:AC79" si="23">IF(AND(G16="Employé",L16="oui"),(30*(Y16/H16)),0)</f>
        <v>28.273972602739722</v>
      </c>
      <c r="AD16">
        <f t="shared" ref="AD16:AD79" si="24">Y16+(AC16*(E16/6))</f>
        <v>336.46027397260275</v>
      </c>
      <c r="AE16">
        <f t="shared" si="17"/>
        <v>0</v>
      </c>
      <c r="AF16">
        <f>IF(AND(G16="Employé",L16="oui"),0,(AE16*(E16/5)))</f>
        <v>0</v>
      </c>
      <c r="AG16">
        <f>IFERROR(((VLOOKUP(B16,AQ:AS,2,0)-30)*-1),0)</f>
        <v>0</v>
      </c>
      <c r="AH16">
        <f>IF(G16="Cadre",AG16,0)</f>
        <v>0</v>
      </c>
      <c r="AK16" s="205">
        <v>39484</v>
      </c>
      <c r="AL16" t="s">
        <v>590</v>
      </c>
      <c r="AQ16">
        <v>100000011</v>
      </c>
      <c r="AR16">
        <v>30</v>
      </c>
      <c r="AS16">
        <v>0</v>
      </c>
    </row>
    <row r="17" spans="2:45" x14ac:dyDescent="0.25">
      <c r="B17" s="283">
        <v>5000000039</v>
      </c>
      <c r="C17" s="284" t="s">
        <v>749</v>
      </c>
      <c r="D17" s="282">
        <v>45923</v>
      </c>
      <c r="E17" s="285">
        <v>35</v>
      </c>
      <c r="F17" s="285">
        <v>0</v>
      </c>
      <c r="G17" s="285" t="s">
        <v>273</v>
      </c>
      <c r="H17" s="203">
        <f t="shared" si="0"/>
        <v>1607</v>
      </c>
      <c r="I17" s="6">
        <f t="shared" si="1"/>
        <v>0</v>
      </c>
      <c r="J17" s="200">
        <f>'Synthèse Horaires'!$C$5</f>
        <v>46023</v>
      </c>
      <c r="K17" s="6" t="str">
        <f t="shared" si="2"/>
        <v>oui</v>
      </c>
      <c r="L17" s="6" t="str">
        <f t="shared" si="11"/>
        <v>non</v>
      </c>
      <c r="M17" s="204">
        <f t="shared" si="12"/>
        <v>1607</v>
      </c>
      <c r="N17" s="204">
        <f t="shared" si="3"/>
        <v>0</v>
      </c>
      <c r="O17" s="204" t="str">
        <f t="shared" si="4"/>
        <v>non</v>
      </c>
      <c r="P17" s="6" t="b">
        <f t="shared" si="5"/>
        <v>0</v>
      </c>
      <c r="Q17" s="6">
        <f t="shared" si="13"/>
        <v>0</v>
      </c>
      <c r="R17" s="6">
        <f t="shared" si="14"/>
        <v>0</v>
      </c>
      <c r="T17" s="205" t="s">
        <v>458</v>
      </c>
      <c r="U17">
        <f t="shared" ca="1" si="6"/>
        <v>258</v>
      </c>
      <c r="V17">
        <f t="shared" ca="1" si="7"/>
        <v>0</v>
      </c>
      <c r="W17" t="b">
        <f t="shared" si="8"/>
        <v>0</v>
      </c>
      <c r="X17" s="6" t="str">
        <f t="shared" si="9"/>
        <v>non</v>
      </c>
      <c r="Y17">
        <f t="shared" si="20"/>
        <v>1607</v>
      </c>
      <c r="Z17" t="b">
        <f t="shared" si="15"/>
        <v>0</v>
      </c>
      <c r="AA17" s="206">
        <f>(IF(Y17=FALSE(),(Z17+AB17),(AD17)))+AF17+AH17+AI17</f>
        <v>1677</v>
      </c>
      <c r="AB17">
        <f t="shared" si="22"/>
        <v>0</v>
      </c>
      <c r="AC17">
        <f t="shared" si="23"/>
        <v>0</v>
      </c>
      <c r="AD17">
        <f t="shared" si="24"/>
        <v>1607</v>
      </c>
      <c r="AE17">
        <f t="shared" si="17"/>
        <v>10</v>
      </c>
      <c r="AF17">
        <f t="shared" si="10"/>
        <v>70</v>
      </c>
      <c r="AG17">
        <f t="shared" si="18"/>
        <v>10</v>
      </c>
      <c r="AH17">
        <f t="shared" si="19"/>
        <v>0</v>
      </c>
      <c r="AK17" s="205">
        <v>37970</v>
      </c>
      <c r="AL17" t="s">
        <v>509</v>
      </c>
      <c r="AQ17">
        <v>100000020</v>
      </c>
      <c r="AR17">
        <v>29</v>
      </c>
      <c r="AS17">
        <v>1</v>
      </c>
    </row>
    <row r="18" spans="2:45" x14ac:dyDescent="0.25">
      <c r="B18" s="283">
        <v>3000000072</v>
      </c>
      <c r="C18" s="284" t="s">
        <v>789</v>
      </c>
      <c r="D18" s="282">
        <v>46113</v>
      </c>
      <c r="E18" s="285">
        <v>35</v>
      </c>
      <c r="F18" s="285">
        <v>0</v>
      </c>
      <c r="G18" s="285" t="s">
        <v>273</v>
      </c>
      <c r="H18" s="203">
        <f t="shared" si="0"/>
        <v>1607</v>
      </c>
      <c r="I18" s="6">
        <f t="shared" si="1"/>
        <v>0</v>
      </c>
      <c r="J18" s="200">
        <f>'Synthèse Horaires'!$C$5</f>
        <v>46023</v>
      </c>
      <c r="K18" s="6" t="str">
        <f t="shared" si="2"/>
        <v>oui</v>
      </c>
      <c r="L18" s="6" t="str">
        <f t="shared" si="11"/>
        <v>non</v>
      </c>
      <c r="M18" s="204">
        <f t="shared" si="12"/>
        <v>1607</v>
      </c>
      <c r="N18" s="204">
        <f t="shared" si="3"/>
        <v>0</v>
      </c>
      <c r="O18" s="204" t="str">
        <f t="shared" si="4"/>
        <v>non</v>
      </c>
      <c r="P18" s="6" t="b">
        <f t="shared" si="5"/>
        <v>0</v>
      </c>
      <c r="Q18" s="6">
        <f t="shared" si="13"/>
        <v>0</v>
      </c>
      <c r="R18" s="6">
        <f t="shared" si="14"/>
        <v>0</v>
      </c>
      <c r="T18" s="205" t="s">
        <v>465</v>
      </c>
      <c r="U18">
        <f t="shared" ca="1" si="6"/>
        <v>68</v>
      </c>
      <c r="V18">
        <f t="shared" ca="1" si="7"/>
        <v>0</v>
      </c>
      <c r="W18" t="b">
        <f t="shared" si="8"/>
        <v>0</v>
      </c>
      <c r="X18" s="6" t="str">
        <f t="shared" si="9"/>
        <v>non</v>
      </c>
      <c r="Y18">
        <f t="shared" si="20"/>
        <v>1607</v>
      </c>
      <c r="Z18" t="b">
        <f t="shared" si="15"/>
        <v>0</v>
      </c>
      <c r="AA18" s="206">
        <f t="shared" si="16"/>
        <v>1782</v>
      </c>
      <c r="AB18">
        <f t="shared" si="22"/>
        <v>0</v>
      </c>
      <c r="AC18">
        <f t="shared" si="23"/>
        <v>0</v>
      </c>
      <c r="AD18">
        <f t="shared" si="24"/>
        <v>1607</v>
      </c>
      <c r="AE18">
        <f t="shared" si="17"/>
        <v>25</v>
      </c>
      <c r="AF18">
        <f t="shared" si="10"/>
        <v>175</v>
      </c>
      <c r="AG18">
        <f t="shared" si="18"/>
        <v>25</v>
      </c>
      <c r="AH18">
        <f t="shared" si="19"/>
        <v>0</v>
      </c>
      <c r="AK18" s="205">
        <v>38335</v>
      </c>
      <c r="AL18" t="s">
        <v>633</v>
      </c>
      <c r="AQ18">
        <v>200000006</v>
      </c>
      <c r="AR18">
        <v>29</v>
      </c>
      <c r="AS18">
        <v>1</v>
      </c>
    </row>
    <row r="19" spans="2:45" x14ac:dyDescent="0.25">
      <c r="B19" s="17">
        <v>100000008</v>
      </c>
      <c r="C19" s="3" t="s">
        <v>23</v>
      </c>
      <c r="D19" s="200">
        <v>35285</v>
      </c>
      <c r="E19">
        <v>38</v>
      </c>
      <c r="G19" t="s">
        <v>273</v>
      </c>
      <c r="H19" s="203">
        <f t="shared" si="0"/>
        <v>1745</v>
      </c>
      <c r="I19" s="6">
        <f t="shared" si="1"/>
        <v>0</v>
      </c>
      <c r="J19" s="200">
        <f>'Synthèse Horaires'!$C$5</f>
        <v>46023</v>
      </c>
      <c r="K19" s="6" t="str">
        <f t="shared" si="2"/>
        <v>oui</v>
      </c>
      <c r="L19" s="6" t="str">
        <f t="shared" si="11"/>
        <v>non</v>
      </c>
      <c r="M19" s="204">
        <f t="shared" si="12"/>
        <v>1745</v>
      </c>
      <c r="N19" s="204">
        <f t="shared" si="3"/>
        <v>0</v>
      </c>
      <c r="O19" s="204" t="str">
        <f t="shared" si="4"/>
        <v>non</v>
      </c>
      <c r="P19" s="6" t="b">
        <f t="shared" si="5"/>
        <v>0</v>
      </c>
      <c r="Q19" s="6">
        <f t="shared" si="13"/>
        <v>0</v>
      </c>
      <c r="R19" s="6">
        <f t="shared" si="14"/>
        <v>0</v>
      </c>
      <c r="T19" s="205" t="s">
        <v>196</v>
      </c>
      <c r="U19">
        <f t="shared" ca="1" si="6"/>
        <v>10896</v>
      </c>
      <c r="V19">
        <f t="shared" ca="1" si="7"/>
        <v>3</v>
      </c>
      <c r="W19" t="b">
        <f t="shared" si="8"/>
        <v>0</v>
      </c>
      <c r="X19" s="6" t="str">
        <f t="shared" si="9"/>
        <v>non</v>
      </c>
      <c r="Y19">
        <f t="shared" si="20"/>
        <v>1745</v>
      </c>
      <c r="Z19" t="b">
        <f t="shared" si="15"/>
        <v>0</v>
      </c>
      <c r="AA19" s="206">
        <f t="shared" si="16"/>
        <v>1745</v>
      </c>
      <c r="AB19">
        <f t="shared" si="22"/>
        <v>0</v>
      </c>
      <c r="AC19">
        <f t="shared" si="23"/>
        <v>0</v>
      </c>
      <c r="AD19">
        <f t="shared" si="24"/>
        <v>1745</v>
      </c>
      <c r="AE19">
        <f t="shared" si="17"/>
        <v>0</v>
      </c>
      <c r="AF19">
        <f t="shared" si="10"/>
        <v>0</v>
      </c>
      <c r="AG19">
        <f t="shared" si="18"/>
        <v>0</v>
      </c>
      <c r="AH19">
        <f t="shared" si="19"/>
        <v>0</v>
      </c>
      <c r="AK19" s="205">
        <v>26244</v>
      </c>
      <c r="AL19" t="s">
        <v>575</v>
      </c>
      <c r="AQ19">
        <v>200000008</v>
      </c>
      <c r="AR19">
        <v>30</v>
      </c>
      <c r="AS19">
        <v>0</v>
      </c>
    </row>
    <row r="20" spans="2:45" x14ac:dyDescent="0.25">
      <c r="B20" s="17">
        <v>200000039</v>
      </c>
      <c r="C20" s="3" t="s">
        <v>718</v>
      </c>
      <c r="D20" s="200">
        <v>45474</v>
      </c>
      <c r="E20">
        <v>35</v>
      </c>
      <c r="F20">
        <v>0</v>
      </c>
      <c r="G20" t="s">
        <v>273</v>
      </c>
      <c r="H20" s="203">
        <f t="shared" si="0"/>
        <v>1607</v>
      </c>
      <c r="I20" s="6">
        <f t="shared" si="1"/>
        <v>0</v>
      </c>
      <c r="J20" s="200">
        <f>'Synthèse Horaires'!$C$5</f>
        <v>46023</v>
      </c>
      <c r="K20" s="6" t="str">
        <f t="shared" si="2"/>
        <v>oui</v>
      </c>
      <c r="L20" s="6" t="str">
        <f t="shared" si="11"/>
        <v>non</v>
      </c>
      <c r="M20" s="204">
        <f t="shared" si="12"/>
        <v>1607</v>
      </c>
      <c r="N20" s="204">
        <f t="shared" si="3"/>
        <v>0</v>
      </c>
      <c r="O20" s="204" t="str">
        <f t="shared" si="4"/>
        <v>non</v>
      </c>
      <c r="P20" s="6" t="b">
        <f t="shared" si="5"/>
        <v>0</v>
      </c>
      <c r="Q20" s="6">
        <f t="shared" si="13"/>
        <v>0</v>
      </c>
      <c r="R20" s="6">
        <f t="shared" si="14"/>
        <v>0</v>
      </c>
      <c r="T20" s="205" t="s">
        <v>404</v>
      </c>
      <c r="U20">
        <f t="shared" ca="1" si="6"/>
        <v>707</v>
      </c>
      <c r="V20">
        <f t="shared" ca="1" si="7"/>
        <v>0</v>
      </c>
      <c r="W20" t="b">
        <f t="shared" si="8"/>
        <v>0</v>
      </c>
      <c r="X20" s="6" t="str">
        <f t="shared" si="9"/>
        <v>non</v>
      </c>
      <c r="Y20">
        <f t="shared" si="20"/>
        <v>1607</v>
      </c>
      <c r="Z20" t="b">
        <f t="shared" si="15"/>
        <v>0</v>
      </c>
      <c r="AA20" s="206">
        <f t="shared" si="16"/>
        <v>1607</v>
      </c>
      <c r="AB20">
        <f t="shared" si="22"/>
        <v>0</v>
      </c>
      <c r="AC20">
        <f t="shared" si="23"/>
        <v>0</v>
      </c>
      <c r="AD20">
        <f t="shared" si="24"/>
        <v>1607</v>
      </c>
      <c r="AE20">
        <f t="shared" si="17"/>
        <v>0</v>
      </c>
      <c r="AF20">
        <f>IF(AND(G20="Employé",L20="oui"),0,(AE20*(E20/5)))</f>
        <v>0</v>
      </c>
      <c r="AG20">
        <f t="shared" si="18"/>
        <v>0</v>
      </c>
      <c r="AH20">
        <f t="shared" si="19"/>
        <v>0</v>
      </c>
      <c r="AK20" s="205">
        <v>35811</v>
      </c>
      <c r="AL20" t="s">
        <v>569</v>
      </c>
      <c r="AQ20">
        <v>200000011</v>
      </c>
      <c r="AR20">
        <v>30</v>
      </c>
      <c r="AS20">
        <v>0</v>
      </c>
    </row>
    <row r="21" spans="2:45" x14ac:dyDescent="0.25">
      <c r="B21" s="17">
        <v>1200000031</v>
      </c>
      <c r="C21" s="3" t="s">
        <v>542</v>
      </c>
      <c r="D21" s="200">
        <v>44186</v>
      </c>
      <c r="E21">
        <v>35</v>
      </c>
      <c r="G21" t="s">
        <v>273</v>
      </c>
      <c r="H21" s="203">
        <f t="shared" si="0"/>
        <v>1607</v>
      </c>
      <c r="I21" s="6">
        <f t="shared" si="1"/>
        <v>0</v>
      </c>
      <c r="J21" s="200">
        <f>'Synthèse Horaires'!$C$5</f>
        <v>46023</v>
      </c>
      <c r="K21" s="6" t="str">
        <f t="shared" si="2"/>
        <v>oui</v>
      </c>
      <c r="L21" s="6" t="str">
        <f t="shared" si="11"/>
        <v>non</v>
      </c>
      <c r="M21" s="204">
        <f t="shared" si="12"/>
        <v>1607</v>
      </c>
      <c r="N21" s="204">
        <f t="shared" si="3"/>
        <v>0</v>
      </c>
      <c r="O21" s="204" t="str">
        <f t="shared" si="4"/>
        <v>non</v>
      </c>
      <c r="P21" s="6" t="b">
        <f t="shared" si="5"/>
        <v>0</v>
      </c>
      <c r="Q21" s="6">
        <f t="shared" si="13"/>
        <v>0</v>
      </c>
      <c r="R21" s="6">
        <f t="shared" si="14"/>
        <v>0</v>
      </c>
      <c r="T21" s="205" t="s">
        <v>195</v>
      </c>
      <c r="U21">
        <f t="shared" ca="1" si="6"/>
        <v>1995</v>
      </c>
      <c r="V21">
        <f t="shared" ca="1" si="7"/>
        <v>0</v>
      </c>
      <c r="W21" t="b">
        <f t="shared" si="8"/>
        <v>0</v>
      </c>
      <c r="X21" s="6" t="str">
        <f t="shared" si="9"/>
        <v>non</v>
      </c>
      <c r="Y21">
        <f t="shared" si="20"/>
        <v>1607</v>
      </c>
      <c r="Z21" t="b">
        <f t="shared" si="15"/>
        <v>0</v>
      </c>
      <c r="AA21" s="206">
        <f t="shared" si="16"/>
        <v>1607</v>
      </c>
      <c r="AB21">
        <f t="shared" si="22"/>
        <v>0</v>
      </c>
      <c r="AC21">
        <f t="shared" si="23"/>
        <v>0</v>
      </c>
      <c r="AD21">
        <f t="shared" si="24"/>
        <v>1607</v>
      </c>
      <c r="AE21">
        <f t="shared" si="17"/>
        <v>0</v>
      </c>
      <c r="AF21">
        <f>IF(AND(G21="Employé",L21="oui"),0,(AE21*(E21/5)))</f>
        <v>0</v>
      </c>
      <c r="AG21">
        <f t="shared" si="18"/>
        <v>0</v>
      </c>
      <c r="AH21">
        <f t="shared" si="19"/>
        <v>0</v>
      </c>
      <c r="AK21" s="205">
        <v>35140</v>
      </c>
      <c r="AL21" t="s">
        <v>574</v>
      </c>
      <c r="AQ21">
        <v>200000030</v>
      </c>
      <c r="AR21">
        <v>47</v>
      </c>
      <c r="AS21">
        <v>0</v>
      </c>
    </row>
    <row r="22" spans="2:45" x14ac:dyDescent="0.25">
      <c r="B22" s="17">
        <v>100000011</v>
      </c>
      <c r="C22" s="3" t="s">
        <v>24</v>
      </c>
      <c r="D22" s="200">
        <v>42472</v>
      </c>
      <c r="E22">
        <v>35</v>
      </c>
      <c r="G22" t="s">
        <v>273</v>
      </c>
      <c r="H22" s="203">
        <f t="shared" si="0"/>
        <v>1607</v>
      </c>
      <c r="I22" s="6">
        <f t="shared" si="1"/>
        <v>0</v>
      </c>
      <c r="J22" s="200">
        <f>'Synthèse Horaires'!$C$5</f>
        <v>46023</v>
      </c>
      <c r="K22" s="6" t="str">
        <f t="shared" si="2"/>
        <v>oui</v>
      </c>
      <c r="L22" s="6" t="str">
        <f t="shared" si="11"/>
        <v>non</v>
      </c>
      <c r="M22" s="204">
        <f t="shared" si="12"/>
        <v>1607</v>
      </c>
      <c r="N22" s="204">
        <f t="shared" si="3"/>
        <v>0</v>
      </c>
      <c r="O22" s="204" t="str">
        <f t="shared" si="4"/>
        <v>non</v>
      </c>
      <c r="P22" s="6" t="b">
        <f t="shared" si="5"/>
        <v>0</v>
      </c>
      <c r="Q22" s="6">
        <f t="shared" si="13"/>
        <v>0</v>
      </c>
      <c r="R22" s="6">
        <f t="shared" si="14"/>
        <v>0</v>
      </c>
      <c r="T22" s="205" t="s">
        <v>196</v>
      </c>
      <c r="U22">
        <f t="shared" ca="1" si="6"/>
        <v>3709</v>
      </c>
      <c r="V22">
        <f t="shared" ca="1" si="7"/>
        <v>0</v>
      </c>
      <c r="W22" t="b">
        <f t="shared" si="8"/>
        <v>0</v>
      </c>
      <c r="X22" s="6" t="str">
        <f t="shared" si="9"/>
        <v>non</v>
      </c>
      <c r="Y22">
        <f t="shared" si="20"/>
        <v>1607</v>
      </c>
      <c r="Z22" t="b">
        <f t="shared" si="15"/>
        <v>0</v>
      </c>
      <c r="AA22" s="206">
        <f t="shared" si="16"/>
        <v>1607</v>
      </c>
      <c r="AB22">
        <f t="shared" si="22"/>
        <v>0</v>
      </c>
      <c r="AC22">
        <f t="shared" si="23"/>
        <v>0</v>
      </c>
      <c r="AD22">
        <f t="shared" si="24"/>
        <v>1607</v>
      </c>
      <c r="AE22">
        <f t="shared" si="17"/>
        <v>0</v>
      </c>
      <c r="AF22">
        <f>IF(AND(G22="Employé",L22="oui"),0,(AE22*(E22/5)))</f>
        <v>0</v>
      </c>
      <c r="AG22">
        <f t="shared" si="18"/>
        <v>0</v>
      </c>
      <c r="AH22">
        <f t="shared" si="19"/>
        <v>0</v>
      </c>
      <c r="AK22" s="205">
        <v>31784</v>
      </c>
      <c r="AL22" t="s">
        <v>494</v>
      </c>
      <c r="AQ22">
        <v>200000034</v>
      </c>
      <c r="AR22">
        <v>27</v>
      </c>
      <c r="AS22">
        <v>3</v>
      </c>
    </row>
    <row r="23" spans="2:45" x14ac:dyDescent="0.25">
      <c r="B23" s="17">
        <v>8000000007</v>
      </c>
      <c r="C23" s="3" t="s">
        <v>640</v>
      </c>
      <c r="D23" s="200">
        <v>44767</v>
      </c>
      <c r="E23">
        <v>35</v>
      </c>
      <c r="F23">
        <v>0</v>
      </c>
      <c r="G23" t="s">
        <v>273</v>
      </c>
      <c r="H23" s="203">
        <f t="shared" si="0"/>
        <v>1607</v>
      </c>
      <c r="I23" s="6">
        <f t="shared" si="1"/>
        <v>0</v>
      </c>
      <c r="J23" s="200">
        <f>'Synthèse Horaires'!$C$5</f>
        <v>46023</v>
      </c>
      <c r="K23" s="6" t="str">
        <f t="shared" si="2"/>
        <v>oui</v>
      </c>
      <c r="L23" s="6" t="str">
        <f t="shared" si="11"/>
        <v>non</v>
      </c>
      <c r="M23" s="204">
        <f t="shared" si="12"/>
        <v>1607</v>
      </c>
      <c r="N23" s="204">
        <f t="shared" si="3"/>
        <v>0</v>
      </c>
      <c r="O23" s="204" t="str">
        <f t="shared" si="4"/>
        <v>non</v>
      </c>
      <c r="P23" s="6" t="b">
        <f t="shared" si="5"/>
        <v>0</v>
      </c>
      <c r="Q23" s="6">
        <f t="shared" si="13"/>
        <v>0</v>
      </c>
      <c r="R23" s="6">
        <f t="shared" si="14"/>
        <v>0</v>
      </c>
      <c r="T23" s="205" t="s">
        <v>608</v>
      </c>
      <c r="U23">
        <f t="shared" ca="1" si="6"/>
        <v>1414</v>
      </c>
      <c r="V23">
        <f t="shared" ca="1" si="7"/>
        <v>0</v>
      </c>
      <c r="W23" t="b">
        <f t="shared" si="8"/>
        <v>0</v>
      </c>
      <c r="X23" s="6" t="str">
        <f t="shared" si="9"/>
        <v>non</v>
      </c>
      <c r="Y23">
        <f t="shared" si="20"/>
        <v>1607</v>
      </c>
      <c r="Z23" t="b">
        <f t="shared" si="15"/>
        <v>0</v>
      </c>
      <c r="AA23" s="206">
        <f t="shared" si="16"/>
        <v>1607</v>
      </c>
      <c r="AB23">
        <f t="shared" si="22"/>
        <v>0</v>
      </c>
      <c r="AC23">
        <f t="shared" si="23"/>
        <v>0</v>
      </c>
      <c r="AD23">
        <f t="shared" si="24"/>
        <v>1607</v>
      </c>
      <c r="AE23">
        <f t="shared" si="17"/>
        <v>0</v>
      </c>
      <c r="AF23">
        <f t="shared" si="10"/>
        <v>0</v>
      </c>
      <c r="AG23">
        <f t="shared" si="18"/>
        <v>0</v>
      </c>
      <c r="AH23">
        <f t="shared" si="19"/>
        <v>0</v>
      </c>
      <c r="AK23" s="205">
        <v>37061</v>
      </c>
      <c r="AL23" t="s">
        <v>509</v>
      </c>
      <c r="AQ23">
        <v>200000037</v>
      </c>
      <c r="AR23">
        <v>30</v>
      </c>
      <c r="AS23">
        <v>0</v>
      </c>
    </row>
    <row r="24" spans="2:45" x14ac:dyDescent="0.25">
      <c r="B24" s="283">
        <v>400000025</v>
      </c>
      <c r="C24" s="284" t="s">
        <v>752</v>
      </c>
      <c r="D24" s="282">
        <v>45875</v>
      </c>
      <c r="E24" s="285">
        <v>35</v>
      </c>
      <c r="F24" s="285">
        <v>0</v>
      </c>
      <c r="G24" s="285" t="s">
        <v>273</v>
      </c>
      <c r="H24" s="203">
        <f t="shared" si="0"/>
        <v>1607</v>
      </c>
      <c r="I24" s="6">
        <f t="shared" si="1"/>
        <v>0</v>
      </c>
      <c r="J24" s="200">
        <f>'Synthèse Horaires'!$C$5</f>
        <v>46023</v>
      </c>
      <c r="K24" s="6" t="str">
        <f t="shared" si="2"/>
        <v>oui</v>
      </c>
      <c r="L24" s="6" t="str">
        <f t="shared" si="11"/>
        <v>non</v>
      </c>
      <c r="M24" s="204">
        <f t="shared" si="12"/>
        <v>1607</v>
      </c>
      <c r="N24" s="204">
        <f t="shared" si="3"/>
        <v>0</v>
      </c>
      <c r="O24" s="204" t="str">
        <f t="shared" si="4"/>
        <v>non</v>
      </c>
      <c r="P24" s="6" t="b">
        <f t="shared" si="5"/>
        <v>0</v>
      </c>
      <c r="Q24" s="6">
        <f t="shared" si="13"/>
        <v>0</v>
      </c>
      <c r="R24" s="6">
        <f t="shared" si="14"/>
        <v>0</v>
      </c>
      <c r="T24" s="205" t="s">
        <v>189</v>
      </c>
      <c r="U24">
        <f t="shared" ca="1" si="6"/>
        <v>306</v>
      </c>
      <c r="V24">
        <f t="shared" ca="1" si="7"/>
        <v>0</v>
      </c>
      <c r="W24" t="b">
        <f t="shared" si="8"/>
        <v>0</v>
      </c>
      <c r="X24" s="6" t="str">
        <f t="shared" si="9"/>
        <v>non</v>
      </c>
      <c r="Y24">
        <f t="shared" si="20"/>
        <v>1607</v>
      </c>
      <c r="Z24" t="b">
        <f t="shared" si="15"/>
        <v>0</v>
      </c>
      <c r="AA24" s="206">
        <f t="shared" si="16"/>
        <v>1642</v>
      </c>
      <c r="AB24">
        <f t="shared" si="22"/>
        <v>0</v>
      </c>
      <c r="AC24">
        <f t="shared" si="23"/>
        <v>0</v>
      </c>
      <c r="AD24">
        <f t="shared" si="24"/>
        <v>1607</v>
      </c>
      <c r="AE24">
        <f t="shared" si="17"/>
        <v>5</v>
      </c>
      <c r="AF24">
        <f t="shared" si="10"/>
        <v>35</v>
      </c>
      <c r="AG24">
        <f t="shared" si="18"/>
        <v>5</v>
      </c>
      <c r="AH24">
        <f t="shared" si="19"/>
        <v>0</v>
      </c>
      <c r="AK24" s="205">
        <v>39006</v>
      </c>
      <c r="AL24" t="s">
        <v>506</v>
      </c>
      <c r="AQ24">
        <v>300000002</v>
      </c>
      <c r="AR24">
        <v>30</v>
      </c>
      <c r="AS24">
        <v>0</v>
      </c>
    </row>
    <row r="25" spans="2:45" x14ac:dyDescent="0.25">
      <c r="B25" s="283">
        <v>600000040</v>
      </c>
      <c r="C25" s="284" t="s">
        <v>780</v>
      </c>
      <c r="D25" s="282">
        <v>46097</v>
      </c>
      <c r="E25" s="285">
        <v>0</v>
      </c>
      <c r="F25" s="285">
        <v>228</v>
      </c>
      <c r="G25" s="285" t="s">
        <v>102</v>
      </c>
      <c r="H25" s="203">
        <f t="shared" si="0"/>
        <v>0</v>
      </c>
      <c r="I25" s="6">
        <f t="shared" si="1"/>
        <v>456</v>
      </c>
      <c r="J25" s="200">
        <f>'Synthèse Horaires'!$C$5</f>
        <v>46023</v>
      </c>
      <c r="K25" s="6" t="str">
        <f t="shared" si="2"/>
        <v>oui</v>
      </c>
      <c r="L25" s="6" t="str">
        <f t="shared" si="11"/>
        <v>non</v>
      </c>
      <c r="M25" s="204" t="str">
        <f t="shared" si="12"/>
        <v>non</v>
      </c>
      <c r="N25" s="204" t="b">
        <f t="shared" si="3"/>
        <v>0</v>
      </c>
      <c r="O25" s="204">
        <f t="shared" si="4"/>
        <v>228</v>
      </c>
      <c r="P25" s="6">
        <f t="shared" si="5"/>
        <v>0</v>
      </c>
      <c r="Q25" s="6">
        <f t="shared" si="13"/>
        <v>456</v>
      </c>
      <c r="R25" s="6">
        <f t="shared" si="14"/>
        <v>0</v>
      </c>
      <c r="S25" t="s">
        <v>342</v>
      </c>
      <c r="T25" s="205" t="s">
        <v>194</v>
      </c>
      <c r="U25">
        <f t="shared" ca="1" si="6"/>
        <v>84</v>
      </c>
      <c r="V25" t="b">
        <f t="shared" si="7"/>
        <v>0</v>
      </c>
      <c r="W25">
        <f t="shared" ca="1" si="8"/>
        <v>0</v>
      </c>
      <c r="X25" s="6" t="str">
        <f t="shared" si="9"/>
        <v>non</v>
      </c>
      <c r="Y25" t="b">
        <f t="shared" si="20"/>
        <v>0</v>
      </c>
      <c r="Z25">
        <f t="shared" si="15"/>
        <v>228</v>
      </c>
      <c r="AA25" s="206">
        <f t="shared" si="16"/>
        <v>251</v>
      </c>
      <c r="AB25">
        <f t="shared" si="22"/>
        <v>0</v>
      </c>
      <c r="AC25">
        <f t="shared" si="23"/>
        <v>0</v>
      </c>
      <c r="AD25">
        <f t="shared" si="24"/>
        <v>0</v>
      </c>
      <c r="AE25">
        <f t="shared" si="17"/>
        <v>23</v>
      </c>
      <c r="AF25">
        <f t="shared" si="10"/>
        <v>0</v>
      </c>
      <c r="AG25">
        <f t="shared" si="18"/>
        <v>23</v>
      </c>
      <c r="AH25">
        <f t="shared" si="19"/>
        <v>23</v>
      </c>
      <c r="AK25" s="205">
        <v>32760</v>
      </c>
      <c r="AL25" t="s">
        <v>781</v>
      </c>
      <c r="AQ25">
        <v>300000003</v>
      </c>
      <c r="AR25">
        <v>30</v>
      </c>
      <c r="AS25">
        <v>0</v>
      </c>
    </row>
    <row r="26" spans="2:45" x14ac:dyDescent="0.25">
      <c r="B26" s="17">
        <v>3000000002</v>
      </c>
      <c r="C26" s="3" t="s">
        <v>466</v>
      </c>
      <c r="D26" s="200">
        <v>39778</v>
      </c>
      <c r="F26">
        <v>218</v>
      </c>
      <c r="G26" t="s">
        <v>102</v>
      </c>
      <c r="H26" s="203">
        <f t="shared" si="0"/>
        <v>0</v>
      </c>
      <c r="I26" s="6">
        <f t="shared" si="1"/>
        <v>436</v>
      </c>
      <c r="J26" s="200">
        <f>'Synthèse Horaires'!$C$5</f>
        <v>46023</v>
      </c>
      <c r="K26" s="6" t="str">
        <f t="shared" si="2"/>
        <v>oui</v>
      </c>
      <c r="L26" s="6" t="str">
        <f t="shared" si="11"/>
        <v>non</v>
      </c>
      <c r="M26" s="204" t="str">
        <f t="shared" si="12"/>
        <v>non</v>
      </c>
      <c r="N26" s="204" t="b">
        <f t="shared" si="3"/>
        <v>0</v>
      </c>
      <c r="O26" s="204">
        <f t="shared" si="4"/>
        <v>218</v>
      </c>
      <c r="P26" s="6">
        <f t="shared" si="5"/>
        <v>0</v>
      </c>
      <c r="Q26" s="6">
        <f t="shared" si="13"/>
        <v>436</v>
      </c>
      <c r="R26" s="6">
        <f t="shared" si="14"/>
        <v>0</v>
      </c>
      <c r="T26" s="205" t="s">
        <v>465</v>
      </c>
      <c r="U26">
        <f t="shared" ca="1" si="6"/>
        <v>6403</v>
      </c>
      <c r="V26" t="b">
        <f t="shared" si="7"/>
        <v>0</v>
      </c>
      <c r="W26">
        <f t="shared" ca="1" si="8"/>
        <v>2</v>
      </c>
      <c r="X26" s="6" t="str">
        <f t="shared" si="9"/>
        <v>non</v>
      </c>
      <c r="Y26" t="b">
        <f t="shared" si="20"/>
        <v>0</v>
      </c>
      <c r="Z26">
        <f t="shared" si="15"/>
        <v>218</v>
      </c>
      <c r="AA26" s="206">
        <f t="shared" si="16"/>
        <v>218</v>
      </c>
      <c r="AB26">
        <f t="shared" si="22"/>
        <v>0</v>
      </c>
      <c r="AC26">
        <f t="shared" si="23"/>
        <v>0</v>
      </c>
      <c r="AD26">
        <f t="shared" si="24"/>
        <v>0</v>
      </c>
      <c r="AE26">
        <f t="shared" si="17"/>
        <v>0</v>
      </c>
      <c r="AF26">
        <f t="shared" si="10"/>
        <v>0</v>
      </c>
      <c r="AG26">
        <f t="shared" si="18"/>
        <v>0</v>
      </c>
      <c r="AH26">
        <f t="shared" si="19"/>
        <v>0</v>
      </c>
      <c r="AK26" s="205">
        <v>31410</v>
      </c>
      <c r="AL26" t="s">
        <v>495</v>
      </c>
      <c r="AQ26">
        <v>300000009</v>
      </c>
      <c r="AR26">
        <v>30</v>
      </c>
      <c r="AS26">
        <v>0</v>
      </c>
    </row>
    <row r="27" spans="2:45" x14ac:dyDescent="0.25">
      <c r="B27" s="17">
        <v>200000006</v>
      </c>
      <c r="C27" s="3" t="s">
        <v>25</v>
      </c>
      <c r="D27" s="200">
        <v>41445</v>
      </c>
      <c r="E27">
        <v>35</v>
      </c>
      <c r="G27" t="s">
        <v>273</v>
      </c>
      <c r="H27" s="203">
        <f t="shared" si="0"/>
        <v>1607</v>
      </c>
      <c r="I27" s="6">
        <f t="shared" si="1"/>
        <v>0</v>
      </c>
      <c r="J27" s="200">
        <f>'Synthèse Horaires'!$C$5</f>
        <v>46023</v>
      </c>
      <c r="K27" s="6" t="str">
        <f t="shared" si="2"/>
        <v>oui</v>
      </c>
      <c r="L27" s="6" t="str">
        <f t="shared" si="11"/>
        <v>non</v>
      </c>
      <c r="M27" s="204">
        <f t="shared" si="12"/>
        <v>1607</v>
      </c>
      <c r="N27" s="204">
        <f t="shared" si="3"/>
        <v>0</v>
      </c>
      <c r="O27" s="204" t="str">
        <f t="shared" si="4"/>
        <v>non</v>
      </c>
      <c r="P27" s="6" t="b">
        <f t="shared" si="5"/>
        <v>0</v>
      </c>
      <c r="Q27" s="6">
        <f t="shared" si="13"/>
        <v>0</v>
      </c>
      <c r="R27" s="6">
        <f t="shared" si="14"/>
        <v>0</v>
      </c>
      <c r="T27" s="205" t="s">
        <v>404</v>
      </c>
      <c r="U27">
        <f t="shared" ca="1" si="6"/>
        <v>4736</v>
      </c>
      <c r="V27">
        <f t="shared" ca="1" si="7"/>
        <v>0</v>
      </c>
      <c r="W27" t="b">
        <f t="shared" si="8"/>
        <v>0</v>
      </c>
      <c r="X27" s="6" t="str">
        <f t="shared" si="9"/>
        <v>non</v>
      </c>
      <c r="Y27">
        <f t="shared" si="20"/>
        <v>1607</v>
      </c>
      <c r="Z27" t="b">
        <f t="shared" si="15"/>
        <v>0</v>
      </c>
      <c r="AA27" s="206">
        <f t="shared" si="16"/>
        <v>1614</v>
      </c>
      <c r="AB27">
        <f t="shared" si="22"/>
        <v>0</v>
      </c>
      <c r="AC27">
        <f t="shared" si="23"/>
        <v>0</v>
      </c>
      <c r="AD27">
        <f t="shared" si="24"/>
        <v>1607</v>
      </c>
      <c r="AE27">
        <f t="shared" si="17"/>
        <v>1</v>
      </c>
      <c r="AF27">
        <f t="shared" si="10"/>
        <v>7</v>
      </c>
      <c r="AG27">
        <f t="shared" si="18"/>
        <v>1</v>
      </c>
      <c r="AH27">
        <f t="shared" si="19"/>
        <v>0</v>
      </c>
      <c r="AK27" s="205">
        <v>33547</v>
      </c>
      <c r="AL27" t="s">
        <v>576</v>
      </c>
      <c r="AQ27">
        <v>300000011</v>
      </c>
      <c r="AR27">
        <v>30</v>
      </c>
      <c r="AS27">
        <v>0</v>
      </c>
    </row>
    <row r="28" spans="2:45" x14ac:dyDescent="0.25">
      <c r="B28" s="17">
        <v>800000021</v>
      </c>
      <c r="C28" s="3" t="s">
        <v>677</v>
      </c>
      <c r="D28" s="200">
        <v>45103</v>
      </c>
      <c r="E28">
        <v>35</v>
      </c>
      <c r="F28">
        <v>0</v>
      </c>
      <c r="G28" t="s">
        <v>273</v>
      </c>
      <c r="H28" s="203">
        <f t="shared" si="0"/>
        <v>1607</v>
      </c>
      <c r="I28" s="6">
        <f t="shared" si="1"/>
        <v>0</v>
      </c>
      <c r="J28" s="200">
        <f>'Synthèse Horaires'!$C$5</f>
        <v>46023</v>
      </c>
      <c r="K28" s="6" t="str">
        <f t="shared" si="2"/>
        <v>oui</v>
      </c>
      <c r="L28" s="6" t="str">
        <f t="shared" si="11"/>
        <v>non</v>
      </c>
      <c r="M28" s="204">
        <f t="shared" si="12"/>
        <v>1607</v>
      </c>
      <c r="N28" s="204">
        <f t="shared" si="3"/>
        <v>0</v>
      </c>
      <c r="O28" s="204" t="str">
        <f t="shared" si="4"/>
        <v>non</v>
      </c>
      <c r="P28" s="6" t="b">
        <f t="shared" si="5"/>
        <v>0</v>
      </c>
      <c r="Q28" s="6">
        <f t="shared" si="13"/>
        <v>0</v>
      </c>
      <c r="R28" s="6">
        <f t="shared" si="14"/>
        <v>0</v>
      </c>
      <c r="T28" s="205" t="s">
        <v>192</v>
      </c>
      <c r="U28">
        <f t="shared" ca="1" si="6"/>
        <v>1078</v>
      </c>
      <c r="V28">
        <f t="shared" ca="1" si="7"/>
        <v>0</v>
      </c>
      <c r="W28" t="b">
        <f t="shared" si="8"/>
        <v>0</v>
      </c>
      <c r="X28" s="6" t="str">
        <f t="shared" si="9"/>
        <v>non</v>
      </c>
      <c r="Y28">
        <f t="shared" si="20"/>
        <v>1607</v>
      </c>
      <c r="Z28" t="b">
        <f t="shared" si="15"/>
        <v>0</v>
      </c>
      <c r="AA28" s="206">
        <f t="shared" si="16"/>
        <v>1607</v>
      </c>
      <c r="AB28">
        <f t="shared" si="22"/>
        <v>0</v>
      </c>
      <c r="AC28">
        <f t="shared" si="23"/>
        <v>0</v>
      </c>
      <c r="AD28">
        <f t="shared" si="24"/>
        <v>1607</v>
      </c>
      <c r="AE28">
        <f t="shared" si="17"/>
        <v>0</v>
      </c>
      <c r="AF28">
        <f t="shared" si="10"/>
        <v>0</v>
      </c>
      <c r="AG28">
        <f t="shared" si="18"/>
        <v>0</v>
      </c>
      <c r="AH28">
        <f t="shared" si="19"/>
        <v>0</v>
      </c>
      <c r="AK28" s="205">
        <v>35113</v>
      </c>
      <c r="AL28" t="s">
        <v>514</v>
      </c>
      <c r="AQ28">
        <v>300000018</v>
      </c>
      <c r="AR28">
        <v>30</v>
      </c>
      <c r="AS28">
        <v>0</v>
      </c>
    </row>
    <row r="29" spans="2:45" x14ac:dyDescent="0.25">
      <c r="B29" s="17">
        <v>200000008</v>
      </c>
      <c r="C29" s="3" t="s">
        <v>26</v>
      </c>
      <c r="D29" s="200">
        <v>41386</v>
      </c>
      <c r="E29">
        <v>35</v>
      </c>
      <c r="G29" t="s">
        <v>273</v>
      </c>
      <c r="H29" s="203">
        <f t="shared" si="0"/>
        <v>1607</v>
      </c>
      <c r="I29" s="6">
        <f t="shared" si="1"/>
        <v>0</v>
      </c>
      <c r="J29" s="200">
        <f>'Synthèse Horaires'!$C$5</f>
        <v>46023</v>
      </c>
      <c r="K29" s="6" t="str">
        <f t="shared" si="2"/>
        <v>oui</v>
      </c>
      <c r="L29" s="6" t="str">
        <f t="shared" si="11"/>
        <v>non</v>
      </c>
      <c r="M29" s="204">
        <f t="shared" si="12"/>
        <v>1607</v>
      </c>
      <c r="N29" s="204">
        <f t="shared" si="3"/>
        <v>0</v>
      </c>
      <c r="O29" s="204" t="str">
        <f t="shared" si="4"/>
        <v>non</v>
      </c>
      <c r="P29" s="6" t="b">
        <f t="shared" si="5"/>
        <v>0</v>
      </c>
      <c r="Q29" s="6">
        <f t="shared" si="13"/>
        <v>0</v>
      </c>
      <c r="R29" s="6">
        <f t="shared" si="14"/>
        <v>0</v>
      </c>
      <c r="T29" s="205" t="s">
        <v>404</v>
      </c>
      <c r="U29">
        <f t="shared" ca="1" si="6"/>
        <v>4795</v>
      </c>
      <c r="V29">
        <f t="shared" ca="1" si="7"/>
        <v>0</v>
      </c>
      <c r="W29" t="b">
        <f t="shared" si="8"/>
        <v>0</v>
      </c>
      <c r="X29" s="6" t="str">
        <f t="shared" si="9"/>
        <v>non</v>
      </c>
      <c r="Y29">
        <f t="shared" si="20"/>
        <v>1607</v>
      </c>
      <c r="Z29" t="b">
        <f t="shared" si="15"/>
        <v>0</v>
      </c>
      <c r="AA29" s="206">
        <f t="shared" si="16"/>
        <v>1607</v>
      </c>
      <c r="AB29">
        <f t="shared" si="22"/>
        <v>0</v>
      </c>
      <c r="AC29">
        <f t="shared" si="23"/>
        <v>0</v>
      </c>
      <c r="AD29">
        <f t="shared" si="24"/>
        <v>1607</v>
      </c>
      <c r="AE29">
        <f t="shared" si="17"/>
        <v>0</v>
      </c>
      <c r="AF29">
        <f t="shared" si="10"/>
        <v>0</v>
      </c>
      <c r="AG29">
        <f t="shared" si="18"/>
        <v>0</v>
      </c>
      <c r="AH29">
        <f t="shared" si="19"/>
        <v>0</v>
      </c>
      <c r="AK29" s="205">
        <v>27126</v>
      </c>
      <c r="AL29" t="s">
        <v>577</v>
      </c>
      <c r="AQ29">
        <v>300000026</v>
      </c>
      <c r="AR29">
        <v>32</v>
      </c>
      <c r="AS29">
        <v>0</v>
      </c>
    </row>
    <row r="30" spans="2:45" x14ac:dyDescent="0.25">
      <c r="B30" s="283">
        <v>200000045</v>
      </c>
      <c r="C30" s="284" t="s">
        <v>768</v>
      </c>
      <c r="D30" s="282">
        <v>46000</v>
      </c>
      <c r="E30" s="285">
        <v>35</v>
      </c>
      <c r="F30" s="285">
        <v>0</v>
      </c>
      <c r="G30" s="285" t="s">
        <v>273</v>
      </c>
      <c r="H30" s="203">
        <f t="shared" si="0"/>
        <v>1607</v>
      </c>
      <c r="I30" s="6">
        <f t="shared" si="1"/>
        <v>0</v>
      </c>
      <c r="J30" s="200">
        <f>'Synthèse Horaires'!$C$5</f>
        <v>46023</v>
      </c>
      <c r="K30" s="6" t="str">
        <f t="shared" si="2"/>
        <v>oui</v>
      </c>
      <c r="L30" s="6" t="str">
        <f t="shared" si="11"/>
        <v>non</v>
      </c>
      <c r="M30" s="204">
        <f t="shared" si="12"/>
        <v>1607</v>
      </c>
      <c r="N30" s="204">
        <f t="shared" si="3"/>
        <v>0</v>
      </c>
      <c r="O30" s="204" t="str">
        <f t="shared" si="4"/>
        <v>non</v>
      </c>
      <c r="P30" s="6" t="b">
        <f t="shared" si="5"/>
        <v>0</v>
      </c>
      <c r="Q30" s="6">
        <f t="shared" si="13"/>
        <v>0</v>
      </c>
      <c r="R30" s="6">
        <f t="shared" si="14"/>
        <v>0</v>
      </c>
      <c r="T30" s="205" t="s">
        <v>404</v>
      </c>
      <c r="U30">
        <f t="shared" ca="1" si="6"/>
        <v>181</v>
      </c>
      <c r="V30">
        <f t="shared" ca="1" si="7"/>
        <v>0</v>
      </c>
      <c r="W30" t="b">
        <f t="shared" si="8"/>
        <v>0</v>
      </c>
      <c r="X30" s="6" t="str">
        <f t="shared" si="9"/>
        <v>non</v>
      </c>
      <c r="Y30">
        <f t="shared" si="20"/>
        <v>1607</v>
      </c>
      <c r="Z30" t="b">
        <f t="shared" si="15"/>
        <v>0</v>
      </c>
      <c r="AA30" s="206">
        <f t="shared" si="16"/>
        <v>1712</v>
      </c>
      <c r="AB30">
        <f t="shared" si="22"/>
        <v>0</v>
      </c>
      <c r="AC30">
        <f t="shared" si="23"/>
        <v>0</v>
      </c>
      <c r="AD30">
        <f t="shared" si="24"/>
        <v>1607</v>
      </c>
      <c r="AE30">
        <f t="shared" si="17"/>
        <v>15</v>
      </c>
      <c r="AF30">
        <f t="shared" si="10"/>
        <v>105</v>
      </c>
      <c r="AG30">
        <f t="shared" si="18"/>
        <v>15</v>
      </c>
      <c r="AH30">
        <f t="shared" si="19"/>
        <v>0</v>
      </c>
      <c r="AK30" s="205">
        <v>34546</v>
      </c>
      <c r="AL30" t="s">
        <v>509</v>
      </c>
      <c r="AQ30">
        <v>300000034</v>
      </c>
      <c r="AR30">
        <v>30</v>
      </c>
      <c r="AS30">
        <v>0</v>
      </c>
    </row>
    <row r="31" spans="2:45" x14ac:dyDescent="0.25">
      <c r="B31" s="17">
        <v>2100000001</v>
      </c>
      <c r="C31" s="3" t="s">
        <v>662</v>
      </c>
      <c r="D31" s="200">
        <v>44858</v>
      </c>
      <c r="E31">
        <v>35</v>
      </c>
      <c r="F31">
        <v>0</v>
      </c>
      <c r="G31" t="s">
        <v>273</v>
      </c>
      <c r="H31" s="203">
        <f t="shared" si="0"/>
        <v>1607</v>
      </c>
      <c r="I31" s="6">
        <f t="shared" si="1"/>
        <v>0</v>
      </c>
      <c r="J31" s="200">
        <f>'Synthèse Horaires'!$C$5</f>
        <v>46023</v>
      </c>
      <c r="K31" s="6" t="str">
        <f t="shared" si="2"/>
        <v>oui</v>
      </c>
      <c r="L31" s="6" t="str">
        <f t="shared" si="11"/>
        <v>non</v>
      </c>
      <c r="M31" s="204">
        <f t="shared" si="12"/>
        <v>1607</v>
      </c>
      <c r="N31" s="204">
        <f t="shared" si="3"/>
        <v>0</v>
      </c>
      <c r="O31" s="204" t="str">
        <f t="shared" si="4"/>
        <v>non</v>
      </c>
      <c r="P31" s="6" t="b">
        <f t="shared" si="5"/>
        <v>0</v>
      </c>
      <c r="Q31" s="6">
        <f t="shared" si="13"/>
        <v>0</v>
      </c>
      <c r="R31" s="6">
        <f t="shared" si="14"/>
        <v>0</v>
      </c>
      <c r="T31" s="205" t="s">
        <v>607</v>
      </c>
      <c r="U31">
        <f t="shared" ca="1" si="6"/>
        <v>1323</v>
      </c>
      <c r="V31">
        <f t="shared" ca="1" si="7"/>
        <v>0</v>
      </c>
      <c r="W31" t="b">
        <f t="shared" si="8"/>
        <v>0</v>
      </c>
      <c r="X31" s="6" t="str">
        <f t="shared" si="9"/>
        <v>non</v>
      </c>
      <c r="Y31">
        <f t="shared" si="20"/>
        <v>1607</v>
      </c>
      <c r="Z31" t="b">
        <f t="shared" si="15"/>
        <v>0</v>
      </c>
      <c r="AA31" s="206">
        <f t="shared" si="16"/>
        <v>1607</v>
      </c>
      <c r="AB31">
        <f t="shared" si="22"/>
        <v>0</v>
      </c>
      <c r="AC31">
        <f t="shared" si="23"/>
        <v>0</v>
      </c>
      <c r="AD31">
        <f t="shared" si="24"/>
        <v>1607</v>
      </c>
      <c r="AE31">
        <f t="shared" si="17"/>
        <v>0</v>
      </c>
      <c r="AF31">
        <f t="shared" si="10"/>
        <v>0</v>
      </c>
      <c r="AG31">
        <f t="shared" si="18"/>
        <v>0</v>
      </c>
      <c r="AH31">
        <f t="shared" si="19"/>
        <v>0</v>
      </c>
      <c r="AK31" s="205">
        <v>36628</v>
      </c>
      <c r="AL31" t="s">
        <v>657</v>
      </c>
      <c r="AQ31">
        <v>400000001</v>
      </c>
      <c r="AR31">
        <v>30</v>
      </c>
      <c r="AS31">
        <v>0</v>
      </c>
    </row>
    <row r="32" spans="2:45" x14ac:dyDescent="0.25">
      <c r="B32" s="17">
        <v>1000000061</v>
      </c>
      <c r="C32" s="3" t="s">
        <v>728</v>
      </c>
      <c r="D32" s="200">
        <v>45572</v>
      </c>
      <c r="E32">
        <v>35</v>
      </c>
      <c r="F32">
        <v>0</v>
      </c>
      <c r="G32" t="s">
        <v>273</v>
      </c>
      <c r="H32" s="203">
        <f t="shared" si="0"/>
        <v>1607</v>
      </c>
      <c r="I32" s="6">
        <f t="shared" si="1"/>
        <v>0</v>
      </c>
      <c r="J32" s="200">
        <f>'Synthèse Horaires'!$C$5</f>
        <v>46023</v>
      </c>
      <c r="K32" s="6" t="str">
        <f t="shared" si="2"/>
        <v>oui</v>
      </c>
      <c r="L32" s="6" t="str">
        <f t="shared" si="11"/>
        <v>non</v>
      </c>
      <c r="M32" s="204">
        <f t="shared" si="12"/>
        <v>1607</v>
      </c>
      <c r="N32" s="204">
        <f t="shared" si="3"/>
        <v>0</v>
      </c>
      <c r="O32" s="204" t="str">
        <f t="shared" si="4"/>
        <v>non</v>
      </c>
      <c r="P32" s="6" t="b">
        <f t="shared" si="5"/>
        <v>0</v>
      </c>
      <c r="Q32" s="6">
        <f t="shared" si="13"/>
        <v>0</v>
      </c>
      <c r="R32" s="6">
        <f t="shared" si="14"/>
        <v>0</v>
      </c>
      <c r="T32" s="205" t="s">
        <v>193</v>
      </c>
      <c r="U32">
        <f t="shared" ca="1" si="6"/>
        <v>609</v>
      </c>
      <c r="V32">
        <f t="shared" ca="1" si="7"/>
        <v>0</v>
      </c>
      <c r="W32" t="b">
        <f t="shared" si="8"/>
        <v>0</v>
      </c>
      <c r="X32" s="6" t="str">
        <f t="shared" si="9"/>
        <v>non</v>
      </c>
      <c r="Y32">
        <f t="shared" si="20"/>
        <v>1607</v>
      </c>
      <c r="Z32" t="b">
        <f t="shared" si="15"/>
        <v>0</v>
      </c>
      <c r="AA32" s="206">
        <f t="shared" si="16"/>
        <v>1607</v>
      </c>
      <c r="AB32">
        <f t="shared" si="22"/>
        <v>0</v>
      </c>
      <c r="AC32">
        <f t="shared" si="23"/>
        <v>0</v>
      </c>
      <c r="AD32">
        <f t="shared" si="24"/>
        <v>1607</v>
      </c>
      <c r="AE32">
        <f t="shared" si="17"/>
        <v>0</v>
      </c>
      <c r="AF32">
        <f t="shared" si="10"/>
        <v>0</v>
      </c>
      <c r="AG32">
        <f t="shared" si="18"/>
        <v>0</v>
      </c>
      <c r="AH32">
        <f t="shared" si="19"/>
        <v>0</v>
      </c>
      <c r="AK32" s="205">
        <v>37720</v>
      </c>
      <c r="AL32" t="s">
        <v>509</v>
      </c>
      <c r="AQ32">
        <v>400000006</v>
      </c>
      <c r="AR32">
        <v>30</v>
      </c>
      <c r="AS32">
        <v>0</v>
      </c>
    </row>
    <row r="33" spans="2:45" x14ac:dyDescent="0.25">
      <c r="B33" s="17">
        <v>300000002</v>
      </c>
      <c r="C33" s="3" t="s">
        <v>27</v>
      </c>
      <c r="D33" s="200">
        <v>41059</v>
      </c>
      <c r="E33">
        <v>35</v>
      </c>
      <c r="G33" t="s">
        <v>273</v>
      </c>
      <c r="H33" s="203">
        <f t="shared" si="0"/>
        <v>1607</v>
      </c>
      <c r="I33" s="6">
        <f t="shared" si="1"/>
        <v>0</v>
      </c>
      <c r="J33" s="200">
        <f>'Synthèse Horaires'!$C$5</f>
        <v>46023</v>
      </c>
      <c r="K33" s="6" t="str">
        <f t="shared" si="2"/>
        <v>oui</v>
      </c>
      <c r="L33" s="6" t="str">
        <f t="shared" si="11"/>
        <v>non</v>
      </c>
      <c r="M33" s="204">
        <f t="shared" si="12"/>
        <v>1607</v>
      </c>
      <c r="N33" s="204">
        <f t="shared" si="3"/>
        <v>0</v>
      </c>
      <c r="O33" s="204" t="str">
        <f t="shared" si="4"/>
        <v>non</v>
      </c>
      <c r="P33" s="6" t="b">
        <f t="shared" si="5"/>
        <v>0</v>
      </c>
      <c r="Q33" s="6">
        <f t="shared" si="13"/>
        <v>0</v>
      </c>
      <c r="R33" s="6">
        <f t="shared" si="14"/>
        <v>0</v>
      </c>
      <c r="T33" s="205" t="s">
        <v>188</v>
      </c>
      <c r="U33">
        <f t="shared" ca="1" si="6"/>
        <v>5122</v>
      </c>
      <c r="V33">
        <f t="shared" ca="1" si="7"/>
        <v>0</v>
      </c>
      <c r="W33" t="b">
        <f t="shared" si="8"/>
        <v>0</v>
      </c>
      <c r="X33" s="6" t="str">
        <f t="shared" si="9"/>
        <v>non</v>
      </c>
      <c r="Y33">
        <f t="shared" si="20"/>
        <v>1607</v>
      </c>
      <c r="Z33" t="b">
        <f t="shared" si="15"/>
        <v>0</v>
      </c>
      <c r="AA33" s="206">
        <f t="shared" si="16"/>
        <v>1607</v>
      </c>
      <c r="AB33">
        <f t="shared" si="22"/>
        <v>0</v>
      </c>
      <c r="AC33">
        <f t="shared" si="23"/>
        <v>0</v>
      </c>
      <c r="AD33">
        <f t="shared" si="24"/>
        <v>1607</v>
      </c>
      <c r="AE33">
        <f t="shared" si="17"/>
        <v>0</v>
      </c>
      <c r="AF33">
        <f t="shared" si="10"/>
        <v>0</v>
      </c>
      <c r="AG33">
        <f t="shared" si="18"/>
        <v>0</v>
      </c>
      <c r="AH33">
        <f t="shared" si="19"/>
        <v>0</v>
      </c>
      <c r="AK33" s="205">
        <v>29550</v>
      </c>
      <c r="AL33" t="s">
        <v>506</v>
      </c>
      <c r="AQ33">
        <v>400000009</v>
      </c>
      <c r="AR33">
        <v>48</v>
      </c>
      <c r="AS33">
        <v>0</v>
      </c>
    </row>
    <row r="34" spans="2:45" x14ac:dyDescent="0.25">
      <c r="B34" s="17">
        <v>300000003</v>
      </c>
      <c r="C34" s="3" t="s">
        <v>28</v>
      </c>
      <c r="D34" s="200">
        <v>36641</v>
      </c>
      <c r="F34">
        <v>218</v>
      </c>
      <c r="G34" t="s">
        <v>102</v>
      </c>
      <c r="H34" s="203">
        <f t="shared" si="0"/>
        <v>0</v>
      </c>
      <c r="I34" s="6">
        <f t="shared" si="1"/>
        <v>436</v>
      </c>
      <c r="J34" s="200">
        <f>'Synthèse Horaires'!$C$5</f>
        <v>46023</v>
      </c>
      <c r="K34" s="6" t="str">
        <f t="shared" si="2"/>
        <v>oui</v>
      </c>
      <c r="L34" s="6" t="str">
        <f t="shared" si="11"/>
        <v>non</v>
      </c>
      <c r="M34" s="204" t="str">
        <f t="shared" si="12"/>
        <v>non</v>
      </c>
      <c r="N34" s="204" t="b">
        <f t="shared" si="3"/>
        <v>0</v>
      </c>
      <c r="O34" s="204">
        <f t="shared" si="4"/>
        <v>218</v>
      </c>
      <c r="P34" s="6">
        <f t="shared" si="5"/>
        <v>0</v>
      </c>
      <c r="Q34" s="6">
        <f t="shared" si="13"/>
        <v>436</v>
      </c>
      <c r="R34" s="6">
        <f t="shared" si="14"/>
        <v>0</v>
      </c>
      <c r="T34" s="205" t="s">
        <v>188</v>
      </c>
      <c r="U34">
        <f t="shared" ca="1" si="6"/>
        <v>9540</v>
      </c>
      <c r="V34" t="b">
        <f t="shared" si="7"/>
        <v>0</v>
      </c>
      <c r="W34">
        <f t="shared" ca="1" si="8"/>
        <v>2</v>
      </c>
      <c r="X34" s="6" t="str">
        <f t="shared" si="9"/>
        <v>non</v>
      </c>
      <c r="Y34" t="b">
        <f t="shared" si="20"/>
        <v>0</v>
      </c>
      <c r="Z34">
        <f t="shared" si="15"/>
        <v>218</v>
      </c>
      <c r="AA34" s="206">
        <f t="shared" si="16"/>
        <v>218</v>
      </c>
      <c r="AB34">
        <f t="shared" si="22"/>
        <v>0</v>
      </c>
      <c r="AC34">
        <f t="shared" si="23"/>
        <v>0</v>
      </c>
      <c r="AD34">
        <f t="shared" si="24"/>
        <v>0</v>
      </c>
      <c r="AE34">
        <f t="shared" si="17"/>
        <v>0</v>
      </c>
      <c r="AF34">
        <f t="shared" si="10"/>
        <v>0</v>
      </c>
      <c r="AG34">
        <f t="shared" si="18"/>
        <v>0</v>
      </c>
      <c r="AH34">
        <f t="shared" si="19"/>
        <v>0</v>
      </c>
      <c r="AK34" s="205">
        <v>27914</v>
      </c>
      <c r="AL34" t="s">
        <v>495</v>
      </c>
      <c r="AQ34">
        <v>400000010</v>
      </c>
      <c r="AR34">
        <v>27</v>
      </c>
      <c r="AS34">
        <v>3</v>
      </c>
    </row>
    <row r="35" spans="2:45" x14ac:dyDescent="0.25">
      <c r="B35" s="17">
        <v>600000034</v>
      </c>
      <c r="C35" s="3" t="s">
        <v>719</v>
      </c>
      <c r="D35" s="200">
        <v>45505</v>
      </c>
      <c r="E35">
        <v>35</v>
      </c>
      <c r="F35">
        <v>0</v>
      </c>
      <c r="G35" t="s">
        <v>273</v>
      </c>
      <c r="H35" s="203">
        <f t="shared" si="0"/>
        <v>1607</v>
      </c>
      <c r="I35" s="6">
        <f t="shared" si="1"/>
        <v>0</v>
      </c>
      <c r="J35" s="200">
        <f>'Synthèse Horaires'!$C$5</f>
        <v>46023</v>
      </c>
      <c r="K35" s="6" t="str">
        <f t="shared" si="2"/>
        <v>oui</v>
      </c>
      <c r="L35" s="6" t="str">
        <f t="shared" si="11"/>
        <v>non</v>
      </c>
      <c r="M35" s="204">
        <f t="shared" si="12"/>
        <v>1607</v>
      </c>
      <c r="N35" s="204">
        <f t="shared" si="3"/>
        <v>0</v>
      </c>
      <c r="O35" s="204" t="str">
        <f t="shared" si="4"/>
        <v>non</v>
      </c>
      <c r="P35" s="6" t="b">
        <f t="shared" si="5"/>
        <v>0</v>
      </c>
      <c r="Q35" s="6">
        <f t="shared" si="13"/>
        <v>0</v>
      </c>
      <c r="R35" s="6">
        <f t="shared" si="14"/>
        <v>0</v>
      </c>
      <c r="T35" s="205" t="s">
        <v>194</v>
      </c>
      <c r="U35">
        <f t="shared" ca="1" si="6"/>
        <v>676</v>
      </c>
      <c r="V35">
        <f t="shared" ca="1" si="7"/>
        <v>0</v>
      </c>
      <c r="W35" t="b">
        <f t="shared" si="8"/>
        <v>0</v>
      </c>
      <c r="X35" s="6" t="str">
        <f t="shared" si="9"/>
        <v>non</v>
      </c>
      <c r="Y35">
        <f t="shared" si="20"/>
        <v>1607</v>
      </c>
      <c r="Z35" t="b">
        <f t="shared" si="15"/>
        <v>0</v>
      </c>
      <c r="AA35" s="206">
        <f t="shared" si="16"/>
        <v>1607</v>
      </c>
      <c r="AB35">
        <f t="shared" si="22"/>
        <v>0</v>
      </c>
      <c r="AC35">
        <f t="shared" si="23"/>
        <v>0</v>
      </c>
      <c r="AD35">
        <f t="shared" si="24"/>
        <v>1607</v>
      </c>
      <c r="AE35">
        <f t="shared" si="17"/>
        <v>0</v>
      </c>
      <c r="AF35">
        <f t="shared" si="10"/>
        <v>0</v>
      </c>
      <c r="AG35">
        <f t="shared" si="18"/>
        <v>0</v>
      </c>
      <c r="AH35">
        <f t="shared" si="19"/>
        <v>0</v>
      </c>
      <c r="AK35" s="205">
        <v>36413</v>
      </c>
      <c r="AL35" t="s">
        <v>509</v>
      </c>
      <c r="AQ35">
        <v>400000014</v>
      </c>
      <c r="AR35">
        <v>30</v>
      </c>
      <c r="AS35">
        <v>0</v>
      </c>
    </row>
    <row r="36" spans="2:45" x14ac:dyDescent="0.25">
      <c r="B36" s="17">
        <v>3000000050</v>
      </c>
      <c r="C36" s="3" t="s">
        <v>674</v>
      </c>
      <c r="D36" s="200">
        <v>44949</v>
      </c>
      <c r="E36">
        <v>35</v>
      </c>
      <c r="F36">
        <v>0</v>
      </c>
      <c r="G36" t="s">
        <v>273</v>
      </c>
      <c r="H36" s="203">
        <f t="shared" si="0"/>
        <v>1607</v>
      </c>
      <c r="I36" s="6">
        <f t="shared" si="1"/>
        <v>0</v>
      </c>
      <c r="J36" s="200">
        <f>'Synthèse Horaires'!$C$5</f>
        <v>46023</v>
      </c>
      <c r="K36" s="6" t="str">
        <f t="shared" si="2"/>
        <v>oui</v>
      </c>
      <c r="L36" s="6" t="str">
        <f t="shared" si="11"/>
        <v>non</v>
      </c>
      <c r="M36" s="204">
        <f t="shared" si="12"/>
        <v>1607</v>
      </c>
      <c r="N36" s="204">
        <f t="shared" si="3"/>
        <v>0</v>
      </c>
      <c r="O36" s="204" t="str">
        <f t="shared" si="4"/>
        <v>non</v>
      </c>
      <c r="P36" s="6" t="b">
        <f t="shared" si="5"/>
        <v>0</v>
      </c>
      <c r="Q36" s="6">
        <f t="shared" si="13"/>
        <v>0</v>
      </c>
      <c r="R36" s="6">
        <f t="shared" si="14"/>
        <v>0</v>
      </c>
      <c r="T36" s="205" t="s">
        <v>465</v>
      </c>
      <c r="U36">
        <f t="shared" ca="1" si="6"/>
        <v>1232</v>
      </c>
      <c r="V36">
        <f t="shared" ca="1" si="7"/>
        <v>0</v>
      </c>
      <c r="W36" t="b">
        <f t="shared" si="8"/>
        <v>0</v>
      </c>
      <c r="X36" s="6" t="str">
        <f t="shared" si="9"/>
        <v>non</v>
      </c>
      <c r="Y36">
        <f t="shared" si="20"/>
        <v>1607</v>
      </c>
      <c r="Z36" t="b">
        <f t="shared" si="15"/>
        <v>0</v>
      </c>
      <c r="AA36" s="206">
        <f>(IF(Y36=FALSE(),(Z36+AB36),(AD36)))+AF36+AH36+AI36</f>
        <v>1677</v>
      </c>
      <c r="AB36">
        <f t="shared" si="22"/>
        <v>0</v>
      </c>
      <c r="AC36">
        <f t="shared" si="23"/>
        <v>0</v>
      </c>
      <c r="AD36">
        <f t="shared" si="24"/>
        <v>1607</v>
      </c>
      <c r="AE36">
        <f t="shared" si="17"/>
        <v>10</v>
      </c>
      <c r="AF36">
        <f t="shared" si="10"/>
        <v>70</v>
      </c>
      <c r="AG36">
        <f t="shared" si="18"/>
        <v>10</v>
      </c>
      <c r="AH36">
        <f t="shared" si="19"/>
        <v>0</v>
      </c>
      <c r="AK36" s="205">
        <v>33967</v>
      </c>
      <c r="AL36" t="s">
        <v>492</v>
      </c>
      <c r="AQ36">
        <v>400000022</v>
      </c>
      <c r="AR36">
        <v>30</v>
      </c>
      <c r="AS36">
        <v>0</v>
      </c>
    </row>
    <row r="37" spans="2:45" x14ac:dyDescent="0.25">
      <c r="B37" s="17">
        <v>300000026</v>
      </c>
      <c r="C37" s="3" t="s">
        <v>533</v>
      </c>
      <c r="D37" s="200">
        <v>44088</v>
      </c>
      <c r="E37">
        <v>25</v>
      </c>
      <c r="F37">
        <v>0</v>
      </c>
      <c r="G37" t="s">
        <v>273</v>
      </c>
      <c r="H37" s="203">
        <f t="shared" si="0"/>
        <v>1147</v>
      </c>
      <c r="I37" s="6">
        <f t="shared" si="1"/>
        <v>0</v>
      </c>
      <c r="J37" s="200">
        <f>'Synthèse Horaires'!$C$5</f>
        <v>46023</v>
      </c>
      <c r="K37" s="6" t="str">
        <f t="shared" si="2"/>
        <v>oui</v>
      </c>
      <c r="L37" s="6" t="str">
        <f t="shared" si="11"/>
        <v>non</v>
      </c>
      <c r="M37" s="204">
        <f t="shared" si="12"/>
        <v>1147</v>
      </c>
      <c r="N37" s="204">
        <f t="shared" si="3"/>
        <v>0</v>
      </c>
      <c r="O37" s="204" t="str">
        <f t="shared" si="4"/>
        <v>non</v>
      </c>
      <c r="P37" s="6" t="b">
        <f t="shared" si="5"/>
        <v>0</v>
      </c>
      <c r="Q37" s="6">
        <f t="shared" si="13"/>
        <v>0</v>
      </c>
      <c r="R37" s="6">
        <f t="shared" si="14"/>
        <v>0</v>
      </c>
      <c r="T37" s="205" t="s">
        <v>188</v>
      </c>
      <c r="U37">
        <f t="shared" ca="1" si="6"/>
        <v>2093</v>
      </c>
      <c r="V37">
        <f t="shared" ca="1" si="7"/>
        <v>0</v>
      </c>
      <c r="W37" t="b">
        <f t="shared" si="8"/>
        <v>0</v>
      </c>
      <c r="X37" s="6">
        <f t="shared" si="9"/>
        <v>25</v>
      </c>
      <c r="Y37">
        <f t="shared" si="20"/>
        <v>1147</v>
      </c>
      <c r="Z37" t="b">
        <f t="shared" si="15"/>
        <v>0</v>
      </c>
      <c r="AA37" s="206">
        <f t="shared" si="16"/>
        <v>1137</v>
      </c>
      <c r="AB37">
        <f t="shared" si="22"/>
        <v>0</v>
      </c>
      <c r="AC37">
        <f t="shared" si="23"/>
        <v>0</v>
      </c>
      <c r="AD37">
        <f t="shared" si="24"/>
        <v>1147</v>
      </c>
      <c r="AE37">
        <f t="shared" si="17"/>
        <v>-2</v>
      </c>
      <c r="AF37">
        <f t="shared" si="10"/>
        <v>-10</v>
      </c>
      <c r="AG37">
        <f t="shared" si="18"/>
        <v>-2</v>
      </c>
      <c r="AH37">
        <f t="shared" si="19"/>
        <v>0</v>
      </c>
      <c r="AK37" s="205">
        <v>36374</v>
      </c>
      <c r="AL37" t="s">
        <v>514</v>
      </c>
      <c r="AQ37">
        <v>400000024</v>
      </c>
      <c r="AR37">
        <v>11</v>
      </c>
      <c r="AS37">
        <v>13</v>
      </c>
    </row>
    <row r="38" spans="2:45" x14ac:dyDescent="0.25">
      <c r="B38" s="17">
        <v>500000030</v>
      </c>
      <c r="C38" s="3" t="s">
        <v>708</v>
      </c>
      <c r="D38" s="200">
        <v>45433</v>
      </c>
      <c r="E38">
        <v>35</v>
      </c>
      <c r="F38">
        <v>0</v>
      </c>
      <c r="G38" t="s">
        <v>273</v>
      </c>
      <c r="H38" s="203">
        <f t="shared" si="0"/>
        <v>1607</v>
      </c>
      <c r="I38" s="6">
        <f t="shared" si="1"/>
        <v>0</v>
      </c>
      <c r="J38" s="200">
        <f>'Synthèse Horaires'!$C$5</f>
        <v>46023</v>
      </c>
      <c r="K38" s="6" t="str">
        <f t="shared" si="2"/>
        <v>oui</v>
      </c>
      <c r="L38" s="6" t="str">
        <f t="shared" si="11"/>
        <v>non</v>
      </c>
      <c r="M38" s="204">
        <f t="shared" si="12"/>
        <v>1607</v>
      </c>
      <c r="N38" s="204">
        <f t="shared" si="3"/>
        <v>0</v>
      </c>
      <c r="O38" s="204" t="str">
        <f t="shared" si="4"/>
        <v>non</v>
      </c>
      <c r="P38" s="6" t="b">
        <f t="shared" si="5"/>
        <v>0</v>
      </c>
      <c r="Q38" s="6">
        <f t="shared" si="13"/>
        <v>0</v>
      </c>
      <c r="R38" s="6">
        <f t="shared" si="14"/>
        <v>0</v>
      </c>
      <c r="T38" s="205" t="s">
        <v>197</v>
      </c>
      <c r="U38">
        <f t="shared" ca="1" si="6"/>
        <v>748</v>
      </c>
      <c r="V38">
        <f t="shared" ca="1" si="7"/>
        <v>0</v>
      </c>
      <c r="W38" t="b">
        <f t="shared" si="8"/>
        <v>0</v>
      </c>
      <c r="X38" s="6" t="str">
        <f t="shared" si="9"/>
        <v>non</v>
      </c>
      <c r="Y38">
        <f t="shared" si="20"/>
        <v>1607</v>
      </c>
      <c r="Z38" t="b">
        <f t="shared" si="15"/>
        <v>0</v>
      </c>
      <c r="AA38" s="206">
        <f>(IF(Y38=FALSE(),(Z38+AB38),(AD38)))+AF38+AH38+AI38</f>
        <v>1607</v>
      </c>
      <c r="AB38">
        <f t="shared" si="22"/>
        <v>0</v>
      </c>
      <c r="AC38">
        <f>IF(AND(G38="Employé",L38="oui"),(30*(Y38/H38)),0)</f>
        <v>0</v>
      </c>
      <c r="AD38">
        <f t="shared" si="24"/>
        <v>1607</v>
      </c>
      <c r="AE38">
        <f t="shared" si="17"/>
        <v>0</v>
      </c>
      <c r="AF38">
        <f t="shared" si="10"/>
        <v>0</v>
      </c>
      <c r="AG38">
        <f t="shared" si="18"/>
        <v>0</v>
      </c>
      <c r="AH38">
        <f t="shared" si="19"/>
        <v>0</v>
      </c>
      <c r="AK38" s="205">
        <v>28944</v>
      </c>
      <c r="AL38" t="s">
        <v>709</v>
      </c>
      <c r="AQ38">
        <v>500000001</v>
      </c>
      <c r="AR38">
        <v>30</v>
      </c>
      <c r="AS38">
        <v>0</v>
      </c>
    </row>
    <row r="39" spans="2:45" x14ac:dyDescent="0.25">
      <c r="B39" s="17">
        <v>3000000007</v>
      </c>
      <c r="C39" s="3" t="s">
        <v>467</v>
      </c>
      <c r="D39" s="200">
        <v>30721</v>
      </c>
      <c r="E39">
        <v>35</v>
      </c>
      <c r="G39" t="s">
        <v>273</v>
      </c>
      <c r="H39" s="203">
        <f t="shared" si="0"/>
        <v>1607</v>
      </c>
      <c r="I39" s="6">
        <f t="shared" si="1"/>
        <v>0</v>
      </c>
      <c r="J39" s="200">
        <f>'Synthèse Horaires'!$C$5</f>
        <v>46023</v>
      </c>
      <c r="K39" s="6" t="str">
        <f t="shared" si="2"/>
        <v>oui</v>
      </c>
      <c r="L39" s="6" t="str">
        <f t="shared" si="11"/>
        <v>non</v>
      </c>
      <c r="M39" s="204">
        <f t="shared" si="12"/>
        <v>1607</v>
      </c>
      <c r="N39" s="204">
        <f t="shared" si="3"/>
        <v>0</v>
      </c>
      <c r="O39" s="204" t="str">
        <f t="shared" si="4"/>
        <v>non</v>
      </c>
      <c r="P39" s="6" t="b">
        <f t="shared" si="5"/>
        <v>0</v>
      </c>
      <c r="Q39" s="6">
        <f t="shared" si="13"/>
        <v>0</v>
      </c>
      <c r="R39" s="6">
        <f t="shared" si="14"/>
        <v>0</v>
      </c>
      <c r="T39" s="205" t="s">
        <v>465</v>
      </c>
      <c r="U39">
        <f t="shared" ca="1" si="6"/>
        <v>15460</v>
      </c>
      <c r="V39">
        <f t="shared" ca="1" si="7"/>
        <v>3</v>
      </c>
      <c r="W39" t="b">
        <f t="shared" si="8"/>
        <v>0</v>
      </c>
      <c r="X39" s="6" t="str">
        <f t="shared" si="9"/>
        <v>non</v>
      </c>
      <c r="Y39">
        <f t="shared" si="20"/>
        <v>1607</v>
      </c>
      <c r="Z39" t="b">
        <f t="shared" si="15"/>
        <v>0</v>
      </c>
      <c r="AA39" s="206">
        <f t="shared" si="16"/>
        <v>1607</v>
      </c>
      <c r="AB39">
        <f t="shared" si="22"/>
        <v>0</v>
      </c>
      <c r="AC39">
        <f t="shared" si="23"/>
        <v>0</v>
      </c>
      <c r="AD39">
        <f t="shared" si="24"/>
        <v>1607</v>
      </c>
      <c r="AE39">
        <f t="shared" si="17"/>
        <v>0</v>
      </c>
      <c r="AF39">
        <f t="shared" si="10"/>
        <v>0</v>
      </c>
      <c r="AG39">
        <f t="shared" si="18"/>
        <v>0</v>
      </c>
      <c r="AH39">
        <f t="shared" si="19"/>
        <v>0</v>
      </c>
      <c r="AK39" s="205">
        <v>23130</v>
      </c>
      <c r="AL39" t="s">
        <v>573</v>
      </c>
      <c r="AQ39">
        <v>500000002</v>
      </c>
      <c r="AR39">
        <v>30</v>
      </c>
      <c r="AS39">
        <v>0</v>
      </c>
    </row>
    <row r="40" spans="2:45" x14ac:dyDescent="0.25">
      <c r="B40" s="17">
        <v>300000009</v>
      </c>
      <c r="C40" s="3" t="s">
        <v>29</v>
      </c>
      <c r="D40" s="200">
        <v>42492</v>
      </c>
      <c r="E40">
        <v>35</v>
      </c>
      <c r="G40" t="s">
        <v>273</v>
      </c>
      <c r="H40" s="203">
        <f t="shared" si="0"/>
        <v>1607</v>
      </c>
      <c r="I40" s="6">
        <f t="shared" si="1"/>
        <v>0</v>
      </c>
      <c r="J40" s="200">
        <f>'Synthèse Horaires'!$C$5</f>
        <v>46023</v>
      </c>
      <c r="K40" s="6" t="str">
        <f t="shared" si="2"/>
        <v>oui</v>
      </c>
      <c r="L40" s="6" t="str">
        <f t="shared" si="11"/>
        <v>non</v>
      </c>
      <c r="M40" s="204">
        <f t="shared" si="12"/>
        <v>1607</v>
      </c>
      <c r="N40" s="204">
        <f t="shared" si="3"/>
        <v>0</v>
      </c>
      <c r="O40" s="204" t="str">
        <f t="shared" si="4"/>
        <v>non</v>
      </c>
      <c r="P40" s="6" t="b">
        <f t="shared" si="5"/>
        <v>0</v>
      </c>
      <c r="Q40" s="6">
        <f t="shared" si="13"/>
        <v>0</v>
      </c>
      <c r="R40" s="6">
        <f t="shared" si="14"/>
        <v>0</v>
      </c>
      <c r="T40" s="205" t="s">
        <v>188</v>
      </c>
      <c r="U40">
        <f t="shared" ca="1" si="6"/>
        <v>3689</v>
      </c>
      <c r="V40">
        <f t="shared" ca="1" si="7"/>
        <v>0</v>
      </c>
      <c r="W40" t="b">
        <f t="shared" si="8"/>
        <v>0</v>
      </c>
      <c r="X40" s="6" t="str">
        <f t="shared" si="9"/>
        <v>non</v>
      </c>
      <c r="Y40">
        <f t="shared" si="20"/>
        <v>1607</v>
      </c>
      <c r="Z40" t="b">
        <f t="shared" si="15"/>
        <v>0</v>
      </c>
      <c r="AA40" s="206">
        <f t="shared" si="16"/>
        <v>1607</v>
      </c>
      <c r="AB40">
        <f t="shared" si="22"/>
        <v>0</v>
      </c>
      <c r="AC40">
        <f t="shared" si="23"/>
        <v>0</v>
      </c>
      <c r="AD40">
        <f t="shared" si="24"/>
        <v>1607</v>
      </c>
      <c r="AE40">
        <f t="shared" si="17"/>
        <v>0</v>
      </c>
      <c r="AF40">
        <f t="shared" si="10"/>
        <v>0</v>
      </c>
      <c r="AG40">
        <f t="shared" si="18"/>
        <v>0</v>
      </c>
      <c r="AH40">
        <f t="shared" si="19"/>
        <v>0</v>
      </c>
      <c r="AK40" s="205">
        <v>35334</v>
      </c>
      <c r="AL40" t="s">
        <v>508</v>
      </c>
      <c r="AQ40">
        <v>500000013</v>
      </c>
      <c r="AR40">
        <v>30</v>
      </c>
      <c r="AS40">
        <v>0</v>
      </c>
    </row>
    <row r="41" spans="2:45" x14ac:dyDescent="0.25">
      <c r="B41" s="17">
        <v>400000001</v>
      </c>
      <c r="C41" s="3" t="s">
        <v>30</v>
      </c>
      <c r="D41" s="200">
        <v>39090</v>
      </c>
      <c r="E41">
        <v>39</v>
      </c>
      <c r="G41" t="s">
        <v>273</v>
      </c>
      <c r="H41" s="203">
        <f t="shared" si="0"/>
        <v>1787</v>
      </c>
      <c r="I41" s="6">
        <f t="shared" si="1"/>
        <v>0</v>
      </c>
      <c r="J41" s="200">
        <f>'Synthèse Horaires'!$C$5</f>
        <v>46023</v>
      </c>
      <c r="K41" s="6" t="str">
        <f t="shared" si="2"/>
        <v>oui</v>
      </c>
      <c r="L41" s="6" t="str">
        <f t="shared" si="11"/>
        <v>non</v>
      </c>
      <c r="M41" s="204">
        <f t="shared" si="12"/>
        <v>1787</v>
      </c>
      <c r="N41" s="204">
        <f t="shared" si="3"/>
        <v>0</v>
      </c>
      <c r="O41" s="204" t="str">
        <f t="shared" si="4"/>
        <v>non</v>
      </c>
      <c r="P41" s="6" t="b">
        <f t="shared" si="5"/>
        <v>0</v>
      </c>
      <c r="Q41" s="6">
        <f t="shared" si="13"/>
        <v>0</v>
      </c>
      <c r="R41" s="6">
        <f t="shared" si="14"/>
        <v>0</v>
      </c>
      <c r="T41" s="205" t="s">
        <v>189</v>
      </c>
      <c r="U41">
        <f t="shared" ca="1" si="6"/>
        <v>7091</v>
      </c>
      <c r="V41">
        <f t="shared" ca="1" si="7"/>
        <v>1</v>
      </c>
      <c r="W41" t="b">
        <f t="shared" si="8"/>
        <v>0</v>
      </c>
      <c r="X41" s="6" t="str">
        <f t="shared" si="9"/>
        <v>non</v>
      </c>
      <c r="Y41">
        <f t="shared" si="20"/>
        <v>1787</v>
      </c>
      <c r="Z41" t="b">
        <f t="shared" si="15"/>
        <v>0</v>
      </c>
      <c r="AA41" s="206">
        <f t="shared" si="16"/>
        <v>1787</v>
      </c>
      <c r="AB41">
        <f t="shared" si="22"/>
        <v>0</v>
      </c>
      <c r="AC41">
        <f t="shared" si="23"/>
        <v>0</v>
      </c>
      <c r="AD41">
        <f t="shared" si="24"/>
        <v>1787</v>
      </c>
      <c r="AE41">
        <f t="shared" si="17"/>
        <v>0</v>
      </c>
      <c r="AF41">
        <f t="shared" si="10"/>
        <v>0</v>
      </c>
      <c r="AG41">
        <f t="shared" si="18"/>
        <v>0</v>
      </c>
      <c r="AH41">
        <f t="shared" si="19"/>
        <v>0</v>
      </c>
      <c r="AK41" s="205">
        <v>29379</v>
      </c>
      <c r="AL41" t="s">
        <v>506</v>
      </c>
      <c r="AQ41">
        <v>500000019</v>
      </c>
      <c r="AR41">
        <v>30</v>
      </c>
      <c r="AS41">
        <v>0</v>
      </c>
    </row>
    <row r="42" spans="2:45" x14ac:dyDescent="0.25">
      <c r="B42" s="283">
        <v>400000028</v>
      </c>
      <c r="C42" s="284" t="s">
        <v>801</v>
      </c>
      <c r="D42" s="282">
        <v>46174</v>
      </c>
      <c r="E42" s="285">
        <v>35</v>
      </c>
      <c r="F42" s="285">
        <v>0</v>
      </c>
      <c r="G42" s="285" t="s">
        <v>273</v>
      </c>
      <c r="H42" s="203">
        <f t="shared" si="0"/>
        <v>1607</v>
      </c>
      <c r="I42" s="6">
        <f t="shared" si="1"/>
        <v>0</v>
      </c>
      <c r="J42" s="200">
        <f>'Synthèse Horaires'!$C$5</f>
        <v>46023</v>
      </c>
      <c r="K42" s="6" t="str">
        <f t="shared" si="2"/>
        <v>non</v>
      </c>
      <c r="L42" s="6" t="str">
        <f t="shared" si="11"/>
        <v>oui</v>
      </c>
      <c r="M42" s="204" t="str">
        <f t="shared" si="12"/>
        <v>non</v>
      </c>
      <c r="N42" s="204">
        <f t="shared" si="3"/>
        <v>1607</v>
      </c>
      <c r="O42" s="204" t="str">
        <f t="shared" si="4"/>
        <v>non</v>
      </c>
      <c r="P42" s="6" t="b">
        <f t="shared" si="5"/>
        <v>0</v>
      </c>
      <c r="Q42" s="6">
        <f t="shared" si="13"/>
        <v>0</v>
      </c>
      <c r="R42" s="6">
        <f t="shared" si="14"/>
        <v>0</v>
      </c>
      <c r="T42" s="205" t="s">
        <v>189</v>
      </c>
      <c r="U42">
        <f t="shared" ca="1" si="6"/>
        <v>7</v>
      </c>
      <c r="V42">
        <f t="shared" ca="1" si="7"/>
        <v>0</v>
      </c>
      <c r="W42" t="b">
        <f t="shared" si="8"/>
        <v>0</v>
      </c>
      <c r="X42" s="6" t="str">
        <f t="shared" si="9"/>
        <v>non</v>
      </c>
      <c r="Y42">
        <f>IF(AND(G42="Employé",N42=0),M42,N42)</f>
        <v>1607</v>
      </c>
      <c r="Z42" t="b">
        <f t="shared" si="15"/>
        <v>0</v>
      </c>
      <c r="AA42" s="206">
        <f>(IF(Y42=FALSE(),(Z42+AB42),(AD42)))+AF42+AH42+AI42</f>
        <v>1782</v>
      </c>
      <c r="AB42">
        <f t="shared" si="22"/>
        <v>0</v>
      </c>
      <c r="AC42">
        <f t="shared" si="23"/>
        <v>30</v>
      </c>
      <c r="AD42">
        <f t="shared" si="24"/>
        <v>1782</v>
      </c>
      <c r="AE42">
        <f>IFERROR(((VLOOKUP(B42,AQ:AS,2,0)-30)*-1),0)</f>
        <v>29</v>
      </c>
      <c r="AF42">
        <f t="shared" si="10"/>
        <v>0</v>
      </c>
      <c r="AG42">
        <f t="shared" si="18"/>
        <v>29</v>
      </c>
      <c r="AH42">
        <f t="shared" si="19"/>
        <v>0</v>
      </c>
      <c r="AK42" s="205">
        <v>31499</v>
      </c>
      <c r="AL42" t="s">
        <v>514</v>
      </c>
      <c r="AQ42">
        <v>500000024</v>
      </c>
      <c r="AR42">
        <v>30</v>
      </c>
      <c r="AS42">
        <v>0</v>
      </c>
    </row>
    <row r="43" spans="2:45" x14ac:dyDescent="0.25">
      <c r="B43" s="283">
        <v>500000033</v>
      </c>
      <c r="C43" s="284" t="s">
        <v>795</v>
      </c>
      <c r="D43" s="282">
        <v>46153</v>
      </c>
      <c r="E43" s="285">
        <v>35</v>
      </c>
      <c r="F43" s="285">
        <v>0</v>
      </c>
      <c r="G43" s="285" t="s">
        <v>273</v>
      </c>
      <c r="H43" s="203">
        <f t="shared" si="0"/>
        <v>1607</v>
      </c>
      <c r="I43" s="6">
        <f t="shared" si="1"/>
        <v>0</v>
      </c>
      <c r="J43" s="200">
        <f>'Synthèse Horaires'!$C$5</f>
        <v>46023</v>
      </c>
      <c r="K43" s="6" t="str">
        <f t="shared" si="2"/>
        <v>oui</v>
      </c>
      <c r="L43" s="6" t="str">
        <f t="shared" si="11"/>
        <v>non</v>
      </c>
      <c r="M43" s="204">
        <f t="shared" si="12"/>
        <v>1607</v>
      </c>
      <c r="N43" s="204">
        <f t="shared" si="3"/>
        <v>0</v>
      </c>
      <c r="O43" s="204" t="str">
        <f t="shared" si="4"/>
        <v>non</v>
      </c>
      <c r="P43" s="6" t="b">
        <f t="shared" si="5"/>
        <v>0</v>
      </c>
      <c r="Q43" s="6">
        <f t="shared" si="13"/>
        <v>0</v>
      </c>
      <c r="R43" s="6">
        <f t="shared" si="14"/>
        <v>0</v>
      </c>
      <c r="T43" s="205" t="s">
        <v>197</v>
      </c>
      <c r="U43">
        <f t="shared" ca="1" si="6"/>
        <v>28</v>
      </c>
      <c r="V43">
        <f t="shared" ca="1" si="7"/>
        <v>0</v>
      </c>
      <c r="W43" t="b">
        <f t="shared" si="8"/>
        <v>0</v>
      </c>
      <c r="X43" s="6" t="str">
        <f t="shared" si="9"/>
        <v>non</v>
      </c>
      <c r="Y43">
        <f t="shared" si="20"/>
        <v>1607</v>
      </c>
      <c r="Z43" t="b">
        <f t="shared" si="15"/>
        <v>0</v>
      </c>
      <c r="AA43" s="206">
        <f t="shared" si="16"/>
        <v>1803</v>
      </c>
      <c r="AB43">
        <f t="shared" si="22"/>
        <v>0</v>
      </c>
      <c r="AC43">
        <f t="shared" si="23"/>
        <v>0</v>
      </c>
      <c r="AD43">
        <f t="shared" si="24"/>
        <v>1607</v>
      </c>
      <c r="AE43">
        <f t="shared" si="17"/>
        <v>28</v>
      </c>
      <c r="AF43">
        <f t="shared" si="10"/>
        <v>196</v>
      </c>
      <c r="AG43">
        <f t="shared" si="18"/>
        <v>28</v>
      </c>
      <c r="AH43">
        <f t="shared" si="19"/>
        <v>0</v>
      </c>
      <c r="AK43" s="205">
        <v>34076</v>
      </c>
      <c r="AL43" t="s">
        <v>796</v>
      </c>
      <c r="AQ43">
        <v>500000028</v>
      </c>
      <c r="AR43">
        <v>30</v>
      </c>
      <c r="AS43">
        <v>0</v>
      </c>
    </row>
    <row r="44" spans="2:45" x14ac:dyDescent="0.25">
      <c r="B44" s="283">
        <v>1300000035</v>
      </c>
      <c r="C44" s="284" t="s">
        <v>735</v>
      </c>
      <c r="D44" s="282">
        <v>45635</v>
      </c>
      <c r="E44" s="285">
        <v>35</v>
      </c>
      <c r="F44" s="285">
        <v>0</v>
      </c>
      <c r="G44" s="285" t="s">
        <v>273</v>
      </c>
      <c r="H44" s="203">
        <f t="shared" si="0"/>
        <v>1607</v>
      </c>
      <c r="I44" s="6">
        <f t="shared" si="1"/>
        <v>0</v>
      </c>
      <c r="J44" s="200">
        <f>'Synthèse Horaires'!$C$5</f>
        <v>46023</v>
      </c>
      <c r="K44" s="6" t="str">
        <f t="shared" si="2"/>
        <v>oui</v>
      </c>
      <c r="L44" s="6" t="str">
        <f t="shared" si="11"/>
        <v>non</v>
      </c>
      <c r="M44" s="204">
        <f t="shared" si="12"/>
        <v>1607</v>
      </c>
      <c r="N44" s="204">
        <f t="shared" si="3"/>
        <v>0</v>
      </c>
      <c r="O44" s="204" t="str">
        <f t="shared" si="4"/>
        <v>non</v>
      </c>
      <c r="P44" s="6" t="b">
        <f t="shared" si="5"/>
        <v>0</v>
      </c>
      <c r="Q44" s="6">
        <f t="shared" si="13"/>
        <v>0</v>
      </c>
      <c r="R44" s="6">
        <f t="shared" si="14"/>
        <v>0</v>
      </c>
      <c r="T44" s="205" t="s">
        <v>191</v>
      </c>
      <c r="U44">
        <f t="shared" ca="1" si="6"/>
        <v>546</v>
      </c>
      <c r="V44">
        <f t="shared" ca="1" si="7"/>
        <v>0</v>
      </c>
      <c r="W44" t="b">
        <f t="shared" si="8"/>
        <v>0</v>
      </c>
      <c r="X44" s="6" t="str">
        <f t="shared" si="9"/>
        <v>non</v>
      </c>
      <c r="Y44">
        <f t="shared" si="20"/>
        <v>1607</v>
      </c>
      <c r="Z44" t="b">
        <f t="shared" si="15"/>
        <v>0</v>
      </c>
      <c r="AA44" s="206">
        <f t="shared" si="16"/>
        <v>1607</v>
      </c>
      <c r="AB44">
        <f t="shared" si="22"/>
        <v>0</v>
      </c>
      <c r="AC44">
        <f t="shared" si="23"/>
        <v>0</v>
      </c>
      <c r="AD44">
        <f t="shared" si="24"/>
        <v>1607</v>
      </c>
      <c r="AE44">
        <f t="shared" si="17"/>
        <v>0</v>
      </c>
      <c r="AF44">
        <f t="shared" si="10"/>
        <v>0</v>
      </c>
      <c r="AG44">
        <f t="shared" si="18"/>
        <v>0</v>
      </c>
      <c r="AH44">
        <f t="shared" si="19"/>
        <v>0</v>
      </c>
      <c r="AK44" s="205">
        <v>34816</v>
      </c>
      <c r="AL44" t="s">
        <v>514</v>
      </c>
      <c r="AQ44">
        <v>500000030</v>
      </c>
      <c r="AR44">
        <v>30</v>
      </c>
      <c r="AS44">
        <v>0</v>
      </c>
    </row>
    <row r="45" spans="2:45" x14ac:dyDescent="0.25">
      <c r="B45" s="17">
        <v>2100000004</v>
      </c>
      <c r="C45" s="3" t="s">
        <v>663</v>
      </c>
      <c r="D45" s="200">
        <v>44867</v>
      </c>
      <c r="E45">
        <v>39</v>
      </c>
      <c r="F45">
        <v>0</v>
      </c>
      <c r="G45" t="s">
        <v>273</v>
      </c>
      <c r="H45" s="203">
        <f t="shared" si="0"/>
        <v>1787</v>
      </c>
      <c r="I45" s="6">
        <f t="shared" si="1"/>
        <v>0</v>
      </c>
      <c r="J45" s="200">
        <f>'Synthèse Horaires'!$C$5</f>
        <v>46023</v>
      </c>
      <c r="K45" s="6" t="str">
        <f t="shared" si="2"/>
        <v>oui</v>
      </c>
      <c r="L45" s="6" t="str">
        <f t="shared" si="11"/>
        <v>non</v>
      </c>
      <c r="M45" s="204">
        <f t="shared" si="12"/>
        <v>1787</v>
      </c>
      <c r="N45" s="204">
        <f t="shared" si="3"/>
        <v>0</v>
      </c>
      <c r="O45" s="204" t="str">
        <f t="shared" si="4"/>
        <v>non</v>
      </c>
      <c r="P45" s="6" t="b">
        <f t="shared" si="5"/>
        <v>0</v>
      </c>
      <c r="Q45" s="6">
        <f t="shared" si="13"/>
        <v>0</v>
      </c>
      <c r="R45" s="6">
        <f t="shared" si="14"/>
        <v>0</v>
      </c>
      <c r="T45" s="205" t="s">
        <v>607</v>
      </c>
      <c r="U45">
        <f t="shared" ca="1" si="6"/>
        <v>1314</v>
      </c>
      <c r="V45">
        <f t="shared" ca="1" si="7"/>
        <v>0</v>
      </c>
      <c r="W45" t="b">
        <f t="shared" si="8"/>
        <v>0</v>
      </c>
      <c r="X45" s="6" t="str">
        <f t="shared" si="9"/>
        <v>non</v>
      </c>
      <c r="Y45">
        <f t="shared" si="20"/>
        <v>1787</v>
      </c>
      <c r="Z45" t="b">
        <f t="shared" si="15"/>
        <v>0</v>
      </c>
      <c r="AA45" s="206">
        <f t="shared" si="16"/>
        <v>1787</v>
      </c>
      <c r="AB45">
        <f t="shared" si="22"/>
        <v>0</v>
      </c>
      <c r="AC45">
        <f t="shared" si="23"/>
        <v>0</v>
      </c>
      <c r="AD45">
        <f t="shared" si="24"/>
        <v>1787</v>
      </c>
      <c r="AE45">
        <f t="shared" si="17"/>
        <v>0</v>
      </c>
      <c r="AF45">
        <f t="shared" si="10"/>
        <v>0</v>
      </c>
      <c r="AG45">
        <f t="shared" si="18"/>
        <v>0</v>
      </c>
      <c r="AH45">
        <f t="shared" si="19"/>
        <v>0</v>
      </c>
      <c r="AK45" s="205">
        <v>27342</v>
      </c>
      <c r="AL45" t="s">
        <v>506</v>
      </c>
      <c r="AQ45">
        <v>600000003</v>
      </c>
      <c r="AR45">
        <v>30</v>
      </c>
      <c r="AS45">
        <v>0</v>
      </c>
    </row>
    <row r="46" spans="2:45" x14ac:dyDescent="0.25">
      <c r="B46" s="17">
        <v>400000006</v>
      </c>
      <c r="C46" s="3" t="s">
        <v>737</v>
      </c>
      <c r="D46" s="200">
        <v>39125</v>
      </c>
      <c r="E46">
        <v>35</v>
      </c>
      <c r="G46" t="s">
        <v>273</v>
      </c>
      <c r="H46" s="203">
        <f t="shared" si="0"/>
        <v>1607</v>
      </c>
      <c r="I46" s="6">
        <f t="shared" si="1"/>
        <v>0</v>
      </c>
      <c r="J46" s="200">
        <f>'Synthèse Horaires'!$C$5</f>
        <v>46023</v>
      </c>
      <c r="K46" s="6" t="str">
        <f t="shared" si="2"/>
        <v>oui</v>
      </c>
      <c r="L46" s="6" t="str">
        <f t="shared" si="11"/>
        <v>non</v>
      </c>
      <c r="M46" s="204">
        <f t="shared" si="12"/>
        <v>1607</v>
      </c>
      <c r="N46" s="204">
        <f t="shared" si="3"/>
        <v>0</v>
      </c>
      <c r="O46" s="204" t="str">
        <f t="shared" si="4"/>
        <v>non</v>
      </c>
      <c r="P46" s="6" t="b">
        <f t="shared" si="5"/>
        <v>0</v>
      </c>
      <c r="Q46" s="6">
        <f t="shared" si="13"/>
        <v>0</v>
      </c>
      <c r="R46" s="6">
        <f t="shared" si="14"/>
        <v>0</v>
      </c>
      <c r="T46" s="205" t="s">
        <v>189</v>
      </c>
      <c r="U46">
        <f t="shared" ca="1" si="6"/>
        <v>7056</v>
      </c>
      <c r="V46">
        <f t="shared" ca="1" si="7"/>
        <v>1</v>
      </c>
      <c r="W46" t="b">
        <f t="shared" si="8"/>
        <v>0</v>
      </c>
      <c r="X46" s="6" t="str">
        <f t="shared" si="9"/>
        <v>non</v>
      </c>
      <c r="Y46">
        <f t="shared" si="20"/>
        <v>1607</v>
      </c>
      <c r="Z46" t="b">
        <f t="shared" si="15"/>
        <v>0</v>
      </c>
      <c r="AA46" s="206">
        <f t="shared" si="16"/>
        <v>1607</v>
      </c>
      <c r="AB46">
        <f t="shared" si="22"/>
        <v>0</v>
      </c>
      <c r="AC46">
        <f t="shared" si="23"/>
        <v>0</v>
      </c>
      <c r="AD46">
        <f t="shared" si="24"/>
        <v>1607</v>
      </c>
      <c r="AE46">
        <f t="shared" si="17"/>
        <v>0</v>
      </c>
      <c r="AF46">
        <f t="shared" si="10"/>
        <v>0</v>
      </c>
      <c r="AG46">
        <f t="shared" si="18"/>
        <v>0</v>
      </c>
      <c r="AH46">
        <f t="shared" si="19"/>
        <v>0</v>
      </c>
      <c r="AK46" s="205">
        <v>31412</v>
      </c>
      <c r="AL46" t="s">
        <v>578</v>
      </c>
      <c r="AQ46">
        <v>600000006</v>
      </c>
      <c r="AR46">
        <v>30</v>
      </c>
      <c r="AS46">
        <v>0</v>
      </c>
    </row>
    <row r="47" spans="2:45" x14ac:dyDescent="0.25">
      <c r="B47" s="17">
        <v>4000000001</v>
      </c>
      <c r="C47" s="3" t="s">
        <v>643</v>
      </c>
      <c r="D47" s="200">
        <v>44789</v>
      </c>
      <c r="E47">
        <v>0</v>
      </c>
      <c r="F47">
        <v>218</v>
      </c>
      <c r="G47" t="s">
        <v>102</v>
      </c>
      <c r="H47" s="203">
        <f t="shared" si="0"/>
        <v>0</v>
      </c>
      <c r="I47" s="6">
        <f t="shared" si="1"/>
        <v>436</v>
      </c>
      <c r="J47" s="200">
        <f>'Synthèse Horaires'!$C$5</f>
        <v>46023</v>
      </c>
      <c r="K47" s="6" t="str">
        <f t="shared" si="2"/>
        <v>oui</v>
      </c>
      <c r="L47" s="6" t="str">
        <f t="shared" si="11"/>
        <v>non</v>
      </c>
      <c r="M47" s="204" t="str">
        <f t="shared" si="12"/>
        <v>non</v>
      </c>
      <c r="N47" s="204" t="b">
        <f t="shared" si="3"/>
        <v>0</v>
      </c>
      <c r="O47" s="204">
        <f t="shared" si="4"/>
        <v>218</v>
      </c>
      <c r="P47" s="6">
        <f t="shared" si="5"/>
        <v>0</v>
      </c>
      <c r="Q47" s="6">
        <f t="shared" si="13"/>
        <v>436</v>
      </c>
      <c r="R47" s="6">
        <f t="shared" si="14"/>
        <v>0</v>
      </c>
      <c r="T47" s="205" t="s">
        <v>642</v>
      </c>
      <c r="U47">
        <f t="shared" ca="1" si="6"/>
        <v>1392</v>
      </c>
      <c r="V47" t="b">
        <f t="shared" si="7"/>
        <v>0</v>
      </c>
      <c r="W47">
        <f t="shared" ca="1" si="8"/>
        <v>0</v>
      </c>
      <c r="X47" s="6" t="str">
        <f t="shared" si="9"/>
        <v>non</v>
      </c>
      <c r="Y47" t="b">
        <f t="shared" si="20"/>
        <v>0</v>
      </c>
      <c r="Z47">
        <f t="shared" si="15"/>
        <v>218</v>
      </c>
      <c r="AA47" s="206">
        <f t="shared" si="16"/>
        <v>218</v>
      </c>
      <c r="AB47">
        <f t="shared" si="22"/>
        <v>0</v>
      </c>
      <c r="AC47">
        <f t="shared" si="23"/>
        <v>0</v>
      </c>
      <c r="AD47">
        <f t="shared" si="24"/>
        <v>0</v>
      </c>
      <c r="AE47">
        <f t="shared" si="17"/>
        <v>0</v>
      </c>
      <c r="AF47">
        <f t="shared" si="10"/>
        <v>0</v>
      </c>
      <c r="AG47">
        <f t="shared" si="18"/>
        <v>0</v>
      </c>
      <c r="AH47">
        <f t="shared" si="19"/>
        <v>0</v>
      </c>
      <c r="AK47" s="205">
        <v>33335</v>
      </c>
      <c r="AL47" t="s">
        <v>495</v>
      </c>
      <c r="AQ47">
        <v>600000007</v>
      </c>
      <c r="AR47">
        <v>30</v>
      </c>
      <c r="AS47">
        <v>0</v>
      </c>
    </row>
    <row r="48" spans="2:45" x14ac:dyDescent="0.25">
      <c r="B48" s="17">
        <v>500000031</v>
      </c>
      <c r="C48" s="3" t="s">
        <v>710</v>
      </c>
      <c r="D48" s="200">
        <v>45481</v>
      </c>
      <c r="E48">
        <v>0</v>
      </c>
      <c r="F48">
        <v>218</v>
      </c>
      <c r="G48" t="s">
        <v>102</v>
      </c>
      <c r="H48" s="203">
        <f t="shared" si="0"/>
        <v>0</v>
      </c>
      <c r="I48" s="6">
        <f t="shared" si="1"/>
        <v>436</v>
      </c>
      <c r="J48" s="200">
        <f>'Synthèse Horaires'!$C$5</f>
        <v>46023</v>
      </c>
      <c r="K48" s="6" t="str">
        <f t="shared" si="2"/>
        <v>oui</v>
      </c>
      <c r="L48" s="6" t="str">
        <f t="shared" si="11"/>
        <v>non</v>
      </c>
      <c r="M48" s="204" t="str">
        <f t="shared" si="12"/>
        <v>non</v>
      </c>
      <c r="N48" s="204" t="b">
        <f t="shared" si="3"/>
        <v>0</v>
      </c>
      <c r="O48" s="204">
        <f t="shared" si="4"/>
        <v>218</v>
      </c>
      <c r="P48" s="6">
        <f t="shared" si="5"/>
        <v>0</v>
      </c>
      <c r="Q48" s="6">
        <f t="shared" si="13"/>
        <v>436</v>
      </c>
      <c r="R48" s="6">
        <f t="shared" si="14"/>
        <v>0</v>
      </c>
      <c r="T48" s="205" t="s">
        <v>197</v>
      </c>
      <c r="U48">
        <f t="shared" ca="1" si="6"/>
        <v>700</v>
      </c>
      <c r="V48" t="b">
        <f t="shared" si="7"/>
        <v>0</v>
      </c>
      <c r="W48">
        <f t="shared" ca="1" si="8"/>
        <v>0</v>
      </c>
      <c r="X48" s="6" t="str">
        <f t="shared" si="9"/>
        <v>non</v>
      </c>
      <c r="Y48" t="b">
        <f t="shared" si="20"/>
        <v>0</v>
      </c>
      <c r="Z48">
        <f t="shared" si="15"/>
        <v>218</v>
      </c>
      <c r="AA48" s="206">
        <f t="shared" si="16"/>
        <v>219.5</v>
      </c>
      <c r="AB48">
        <f t="shared" si="22"/>
        <v>0</v>
      </c>
      <c r="AC48">
        <f t="shared" si="23"/>
        <v>0</v>
      </c>
      <c r="AD48">
        <f t="shared" si="24"/>
        <v>0</v>
      </c>
      <c r="AE48">
        <f t="shared" si="17"/>
        <v>1.5</v>
      </c>
      <c r="AF48">
        <f t="shared" si="10"/>
        <v>0</v>
      </c>
      <c r="AG48">
        <f t="shared" si="18"/>
        <v>1.5</v>
      </c>
      <c r="AH48">
        <f t="shared" si="19"/>
        <v>1.5</v>
      </c>
      <c r="AK48" s="205">
        <v>29815</v>
      </c>
      <c r="AL48" t="s">
        <v>588</v>
      </c>
      <c r="AQ48">
        <v>600000009</v>
      </c>
      <c r="AR48">
        <v>30</v>
      </c>
      <c r="AS48">
        <v>0</v>
      </c>
    </row>
    <row r="49" spans="2:45" x14ac:dyDescent="0.25">
      <c r="B49" s="17">
        <v>400000009</v>
      </c>
      <c r="C49" s="3" t="s">
        <v>31</v>
      </c>
      <c r="D49" s="200">
        <v>39150</v>
      </c>
      <c r="E49">
        <v>35</v>
      </c>
      <c r="G49" t="s">
        <v>273</v>
      </c>
      <c r="H49" s="203">
        <f t="shared" si="0"/>
        <v>1607</v>
      </c>
      <c r="I49" s="6">
        <f t="shared" si="1"/>
        <v>0</v>
      </c>
      <c r="J49" s="200">
        <f>'Synthèse Horaires'!$C$5</f>
        <v>46023</v>
      </c>
      <c r="K49" s="6" t="str">
        <f t="shared" si="2"/>
        <v>oui</v>
      </c>
      <c r="L49" s="6" t="str">
        <f t="shared" si="11"/>
        <v>non</v>
      </c>
      <c r="M49" s="204">
        <f t="shared" si="12"/>
        <v>1607</v>
      </c>
      <c r="N49" s="204">
        <f t="shared" si="3"/>
        <v>0</v>
      </c>
      <c r="O49" s="204" t="str">
        <f t="shared" si="4"/>
        <v>non</v>
      </c>
      <c r="P49" s="6" t="b">
        <f t="shared" si="5"/>
        <v>0</v>
      </c>
      <c r="Q49" s="6">
        <f t="shared" si="13"/>
        <v>0</v>
      </c>
      <c r="R49" s="6">
        <f t="shared" si="14"/>
        <v>0</v>
      </c>
      <c r="T49" s="205" t="s">
        <v>189</v>
      </c>
      <c r="U49">
        <f t="shared" ca="1" si="6"/>
        <v>7031</v>
      </c>
      <c r="V49">
        <f t="shared" ca="1" si="7"/>
        <v>1</v>
      </c>
      <c r="W49" t="b">
        <f t="shared" si="8"/>
        <v>0</v>
      </c>
      <c r="X49" s="6" t="str">
        <f t="shared" si="9"/>
        <v>non</v>
      </c>
      <c r="Y49">
        <f t="shared" si="20"/>
        <v>1607</v>
      </c>
      <c r="Z49" t="b">
        <f t="shared" si="15"/>
        <v>0</v>
      </c>
      <c r="AA49" s="206">
        <f t="shared" si="16"/>
        <v>1481</v>
      </c>
      <c r="AB49">
        <f t="shared" si="22"/>
        <v>0</v>
      </c>
      <c r="AC49">
        <f t="shared" si="23"/>
        <v>0</v>
      </c>
      <c r="AD49">
        <f t="shared" si="24"/>
        <v>1607</v>
      </c>
      <c r="AE49">
        <f t="shared" si="17"/>
        <v>-18</v>
      </c>
      <c r="AF49">
        <f t="shared" si="10"/>
        <v>-126</v>
      </c>
      <c r="AG49">
        <f t="shared" si="18"/>
        <v>-18</v>
      </c>
      <c r="AH49">
        <f t="shared" si="19"/>
        <v>0</v>
      </c>
      <c r="AK49" s="205">
        <v>24988</v>
      </c>
      <c r="AL49" t="s">
        <v>496</v>
      </c>
      <c r="AQ49">
        <v>600000010</v>
      </c>
      <c r="AR49">
        <v>29</v>
      </c>
      <c r="AS49">
        <v>1</v>
      </c>
    </row>
    <row r="50" spans="2:45" x14ac:dyDescent="0.25">
      <c r="B50" s="17">
        <v>400000010</v>
      </c>
      <c r="C50" s="3" t="s">
        <v>32</v>
      </c>
      <c r="D50" s="200">
        <v>35629</v>
      </c>
      <c r="F50">
        <v>218</v>
      </c>
      <c r="G50" t="s">
        <v>102</v>
      </c>
      <c r="H50" s="203">
        <f t="shared" si="0"/>
        <v>0</v>
      </c>
      <c r="I50" s="6">
        <f t="shared" si="1"/>
        <v>436</v>
      </c>
      <c r="J50" s="200">
        <f>'Synthèse Horaires'!$C$5</f>
        <v>46023</v>
      </c>
      <c r="K50" s="6" t="str">
        <f t="shared" si="2"/>
        <v>oui</v>
      </c>
      <c r="L50" s="6" t="str">
        <f t="shared" si="11"/>
        <v>non</v>
      </c>
      <c r="M50" s="204" t="str">
        <f t="shared" si="12"/>
        <v>non</v>
      </c>
      <c r="N50" s="204" t="b">
        <f t="shared" si="3"/>
        <v>0</v>
      </c>
      <c r="O50" s="204">
        <f t="shared" si="4"/>
        <v>218</v>
      </c>
      <c r="P50" s="6">
        <f t="shared" si="5"/>
        <v>0</v>
      </c>
      <c r="Q50" s="6">
        <f t="shared" si="13"/>
        <v>436</v>
      </c>
      <c r="R50" s="6">
        <f t="shared" si="14"/>
        <v>0</v>
      </c>
      <c r="T50" s="205" t="s">
        <v>189</v>
      </c>
      <c r="U50">
        <f t="shared" ca="1" si="6"/>
        <v>10552</v>
      </c>
      <c r="V50" t="b">
        <f t="shared" si="7"/>
        <v>0</v>
      </c>
      <c r="W50">
        <f t="shared" ca="1" si="8"/>
        <v>2</v>
      </c>
      <c r="X50" s="6" t="str">
        <f t="shared" si="9"/>
        <v>non</v>
      </c>
      <c r="Y50" t="b">
        <f t="shared" si="20"/>
        <v>0</v>
      </c>
      <c r="Z50">
        <f t="shared" si="15"/>
        <v>218</v>
      </c>
      <c r="AA50" s="206">
        <f t="shared" si="16"/>
        <v>221</v>
      </c>
      <c r="AB50">
        <f t="shared" si="22"/>
        <v>0</v>
      </c>
      <c r="AC50">
        <f t="shared" si="23"/>
        <v>0</v>
      </c>
      <c r="AD50">
        <f t="shared" si="24"/>
        <v>0</v>
      </c>
      <c r="AE50">
        <f t="shared" si="17"/>
        <v>3</v>
      </c>
      <c r="AF50">
        <f t="shared" si="10"/>
        <v>0</v>
      </c>
      <c r="AG50">
        <f t="shared" si="18"/>
        <v>3</v>
      </c>
      <c r="AH50">
        <f t="shared" si="19"/>
        <v>3</v>
      </c>
      <c r="AK50" s="205">
        <v>27151</v>
      </c>
      <c r="AL50" t="s">
        <v>495</v>
      </c>
      <c r="AQ50">
        <v>600000012</v>
      </c>
      <c r="AR50">
        <v>30</v>
      </c>
      <c r="AS50">
        <v>0</v>
      </c>
    </row>
    <row r="51" spans="2:45" x14ac:dyDescent="0.25">
      <c r="B51" s="17">
        <v>1300000022</v>
      </c>
      <c r="C51" s="3" t="s">
        <v>507</v>
      </c>
      <c r="D51" s="200">
        <v>43983</v>
      </c>
      <c r="F51">
        <v>218</v>
      </c>
      <c r="G51" t="s">
        <v>102</v>
      </c>
      <c r="H51" s="203">
        <f t="shared" si="0"/>
        <v>0</v>
      </c>
      <c r="I51" s="6">
        <f t="shared" si="1"/>
        <v>436</v>
      </c>
      <c r="J51" s="200">
        <f>'Synthèse Horaires'!$C$5</f>
        <v>46023</v>
      </c>
      <c r="K51" s="6" t="str">
        <f t="shared" si="2"/>
        <v>oui</v>
      </c>
      <c r="L51" s="6" t="str">
        <f t="shared" si="11"/>
        <v>non</v>
      </c>
      <c r="M51" s="204" t="str">
        <f t="shared" si="12"/>
        <v>non</v>
      </c>
      <c r="N51" s="204" t="b">
        <f t="shared" si="3"/>
        <v>0</v>
      </c>
      <c r="O51" s="204">
        <f t="shared" si="4"/>
        <v>218</v>
      </c>
      <c r="P51" s="6">
        <f t="shared" si="5"/>
        <v>0</v>
      </c>
      <c r="Q51" s="6">
        <f t="shared" si="13"/>
        <v>436</v>
      </c>
      <c r="R51" s="6">
        <f t="shared" si="14"/>
        <v>0</v>
      </c>
      <c r="T51" s="205" t="s">
        <v>191</v>
      </c>
      <c r="U51">
        <f t="shared" ca="1" si="6"/>
        <v>2198</v>
      </c>
      <c r="V51" t="b">
        <f t="shared" si="7"/>
        <v>0</v>
      </c>
      <c r="W51">
        <f t="shared" ca="1" si="8"/>
        <v>1</v>
      </c>
      <c r="X51" s="6" t="str">
        <f t="shared" si="9"/>
        <v>non</v>
      </c>
      <c r="Y51" t="b">
        <f t="shared" si="20"/>
        <v>0</v>
      </c>
      <c r="Z51">
        <f t="shared" si="15"/>
        <v>218</v>
      </c>
      <c r="AA51" s="206">
        <f t="shared" si="16"/>
        <v>219</v>
      </c>
      <c r="AB51">
        <f t="shared" si="22"/>
        <v>0</v>
      </c>
      <c r="AC51">
        <f t="shared" si="23"/>
        <v>0</v>
      </c>
      <c r="AD51">
        <f t="shared" si="24"/>
        <v>0</v>
      </c>
      <c r="AE51">
        <f t="shared" si="17"/>
        <v>1</v>
      </c>
      <c r="AF51">
        <f t="shared" si="10"/>
        <v>0</v>
      </c>
      <c r="AG51">
        <f t="shared" si="18"/>
        <v>1</v>
      </c>
      <c r="AH51">
        <f t="shared" si="19"/>
        <v>1</v>
      </c>
      <c r="AK51" s="205">
        <v>31050</v>
      </c>
      <c r="AL51" t="s">
        <v>495</v>
      </c>
      <c r="AQ51">
        <v>600000015</v>
      </c>
      <c r="AR51">
        <v>30</v>
      </c>
      <c r="AS51">
        <v>0</v>
      </c>
    </row>
    <row r="52" spans="2:45" x14ac:dyDescent="0.25">
      <c r="B52" s="17">
        <v>3999999999</v>
      </c>
      <c r="C52" s="255" t="s">
        <v>667</v>
      </c>
      <c r="D52" s="256">
        <f ca="1">TODAY()</f>
        <v>46181</v>
      </c>
      <c r="E52">
        <v>35</v>
      </c>
      <c r="G52" t="s">
        <v>273</v>
      </c>
      <c r="H52" s="203">
        <f t="shared" si="0"/>
        <v>1607</v>
      </c>
      <c r="I52" s="6">
        <f t="shared" si="1"/>
        <v>0</v>
      </c>
      <c r="J52" s="200">
        <f>'Synthèse Horaires'!$C$5</f>
        <v>46023</v>
      </c>
      <c r="K52" s="6" t="str">
        <f t="shared" ca="1" si="2"/>
        <v>non</v>
      </c>
      <c r="L52" s="6" t="str">
        <f t="shared" ca="1" si="11"/>
        <v>oui</v>
      </c>
      <c r="M52" s="204" t="str">
        <f t="shared" ca="1" si="12"/>
        <v>non</v>
      </c>
      <c r="N52" s="204">
        <f t="shared" ca="1" si="3"/>
        <v>1576.1808219178083</v>
      </c>
      <c r="O52" s="204" t="str">
        <f t="shared" si="4"/>
        <v>non</v>
      </c>
      <c r="P52" s="6" t="b">
        <f t="shared" si="5"/>
        <v>0</v>
      </c>
      <c r="Q52" s="6">
        <f t="shared" si="13"/>
        <v>0</v>
      </c>
      <c r="R52" s="6">
        <f t="shared" si="14"/>
        <v>0</v>
      </c>
      <c r="T52" s="205" t="s">
        <v>465</v>
      </c>
      <c r="U52">
        <f t="shared" ca="1" si="6"/>
        <v>0</v>
      </c>
      <c r="V52">
        <f t="shared" ca="1" si="7"/>
        <v>0</v>
      </c>
      <c r="W52" t="b">
        <f t="shared" si="8"/>
        <v>0</v>
      </c>
      <c r="X52" s="6" t="str">
        <f t="shared" si="9"/>
        <v>non</v>
      </c>
      <c r="Y52">
        <f t="shared" ca="1" si="20"/>
        <v>1576.1808219178083</v>
      </c>
      <c r="Z52" t="b">
        <f t="shared" si="15"/>
        <v>0</v>
      </c>
      <c r="AA52" s="206">
        <f t="shared" ca="1" si="16"/>
        <v>1747.8246575342466</v>
      </c>
      <c r="AB52">
        <f t="shared" ca="1" si="22"/>
        <v>0</v>
      </c>
      <c r="AC52">
        <f t="shared" ca="1" si="23"/>
        <v>29.424657534246577</v>
      </c>
      <c r="AD52">
        <f t="shared" ca="1" si="24"/>
        <v>1747.8246575342466</v>
      </c>
      <c r="AE52">
        <f t="shared" si="17"/>
        <v>0</v>
      </c>
      <c r="AF52">
        <f t="shared" ca="1" si="10"/>
        <v>0</v>
      </c>
      <c r="AG52">
        <f t="shared" si="18"/>
        <v>0</v>
      </c>
      <c r="AH52">
        <f t="shared" si="19"/>
        <v>0</v>
      </c>
      <c r="AK52" s="205">
        <v>0</v>
      </c>
      <c r="AL52">
        <v>0</v>
      </c>
      <c r="AQ52">
        <v>600000024</v>
      </c>
      <c r="AR52">
        <v>30</v>
      </c>
      <c r="AS52">
        <v>0</v>
      </c>
    </row>
    <row r="53" spans="2:45" x14ac:dyDescent="0.25">
      <c r="B53" s="17">
        <v>2100000006</v>
      </c>
      <c r="C53" s="3" t="s">
        <v>668</v>
      </c>
      <c r="D53" s="200">
        <v>44868</v>
      </c>
      <c r="E53">
        <v>35</v>
      </c>
      <c r="F53">
        <v>0</v>
      </c>
      <c r="G53" t="s">
        <v>273</v>
      </c>
      <c r="H53" s="203">
        <f t="shared" si="0"/>
        <v>1607</v>
      </c>
      <c r="I53" s="6">
        <f t="shared" si="1"/>
        <v>0</v>
      </c>
      <c r="J53" s="200">
        <f>'Synthèse Horaires'!$C$5</f>
        <v>46023</v>
      </c>
      <c r="K53" s="6" t="str">
        <f t="shared" si="2"/>
        <v>oui</v>
      </c>
      <c r="L53" s="6" t="str">
        <f t="shared" si="11"/>
        <v>non</v>
      </c>
      <c r="M53" s="204">
        <f t="shared" si="12"/>
        <v>1607</v>
      </c>
      <c r="N53" s="204">
        <f t="shared" si="3"/>
        <v>0</v>
      </c>
      <c r="O53" s="204" t="str">
        <f t="shared" si="4"/>
        <v>non</v>
      </c>
      <c r="P53" s="6" t="b">
        <f t="shared" si="5"/>
        <v>0</v>
      </c>
      <c r="Q53" s="6">
        <f t="shared" si="13"/>
        <v>0</v>
      </c>
      <c r="R53" s="6">
        <f t="shared" si="14"/>
        <v>0</v>
      </c>
      <c r="T53" s="205" t="s">
        <v>607</v>
      </c>
      <c r="U53">
        <f t="shared" ca="1" si="6"/>
        <v>1313</v>
      </c>
      <c r="V53">
        <f t="shared" ca="1" si="7"/>
        <v>0</v>
      </c>
      <c r="W53" t="b">
        <f t="shared" si="8"/>
        <v>0</v>
      </c>
      <c r="X53" s="6" t="str">
        <f t="shared" si="9"/>
        <v>non</v>
      </c>
      <c r="Y53">
        <f t="shared" si="20"/>
        <v>1607</v>
      </c>
      <c r="Z53" t="b">
        <f t="shared" si="15"/>
        <v>0</v>
      </c>
      <c r="AA53" s="206">
        <f t="shared" si="16"/>
        <v>1607</v>
      </c>
      <c r="AB53">
        <f t="shared" si="22"/>
        <v>0</v>
      </c>
      <c r="AC53">
        <f t="shared" si="23"/>
        <v>0</v>
      </c>
      <c r="AD53">
        <f t="shared" si="24"/>
        <v>1607</v>
      </c>
      <c r="AE53">
        <f t="shared" si="17"/>
        <v>0</v>
      </c>
      <c r="AF53">
        <f t="shared" si="10"/>
        <v>0</v>
      </c>
      <c r="AG53">
        <f t="shared" si="18"/>
        <v>0</v>
      </c>
      <c r="AH53">
        <f t="shared" ref="AH53:AH116" si="25">IF(G53="Cadre",AG53,0)</f>
        <v>0</v>
      </c>
      <c r="AK53" s="205">
        <v>33358</v>
      </c>
      <c r="AL53" t="s">
        <v>508</v>
      </c>
      <c r="AQ53">
        <v>600000032</v>
      </c>
      <c r="AR53">
        <v>0</v>
      </c>
      <c r="AS53">
        <v>0</v>
      </c>
    </row>
    <row r="54" spans="2:45" x14ac:dyDescent="0.25">
      <c r="B54" s="17">
        <v>500000001</v>
      </c>
      <c r="C54" s="3" t="s">
        <v>33</v>
      </c>
      <c r="D54" s="200">
        <v>41717</v>
      </c>
      <c r="E54">
        <v>39</v>
      </c>
      <c r="G54" t="s">
        <v>273</v>
      </c>
      <c r="H54" s="203">
        <f t="shared" si="0"/>
        <v>1787</v>
      </c>
      <c r="I54" s="6">
        <f t="shared" si="1"/>
        <v>0</v>
      </c>
      <c r="J54" s="200">
        <f>'Synthèse Horaires'!$C$5</f>
        <v>46023</v>
      </c>
      <c r="K54" s="6" t="str">
        <f t="shared" si="2"/>
        <v>oui</v>
      </c>
      <c r="L54" s="6" t="str">
        <f t="shared" si="11"/>
        <v>non</v>
      </c>
      <c r="M54" s="204">
        <f t="shared" si="12"/>
        <v>1787</v>
      </c>
      <c r="N54" s="204">
        <f t="shared" si="3"/>
        <v>0</v>
      </c>
      <c r="O54" s="204" t="str">
        <f t="shared" si="4"/>
        <v>non</v>
      </c>
      <c r="P54" s="6" t="b">
        <f t="shared" si="5"/>
        <v>0</v>
      </c>
      <c r="Q54" s="6">
        <f t="shared" si="13"/>
        <v>0</v>
      </c>
      <c r="R54" s="6">
        <f t="shared" si="14"/>
        <v>0</v>
      </c>
      <c r="T54" s="205" t="s">
        <v>197</v>
      </c>
      <c r="U54">
        <f t="shared" ca="1" si="6"/>
        <v>4464</v>
      </c>
      <c r="V54">
        <f t="shared" ca="1" si="7"/>
        <v>0</v>
      </c>
      <c r="W54" t="b">
        <f t="shared" si="8"/>
        <v>0</v>
      </c>
      <c r="X54" s="6" t="str">
        <f t="shared" si="9"/>
        <v>non</v>
      </c>
      <c r="Y54">
        <f t="shared" si="20"/>
        <v>1787</v>
      </c>
      <c r="Z54" t="b">
        <f t="shared" si="15"/>
        <v>0</v>
      </c>
      <c r="AA54" s="206">
        <f t="shared" si="16"/>
        <v>1787</v>
      </c>
      <c r="AB54">
        <f t="shared" si="22"/>
        <v>0</v>
      </c>
      <c r="AC54">
        <f t="shared" si="23"/>
        <v>0</v>
      </c>
      <c r="AD54">
        <f t="shared" si="24"/>
        <v>1787</v>
      </c>
      <c r="AE54">
        <f t="shared" si="17"/>
        <v>0</v>
      </c>
      <c r="AF54">
        <f t="shared" si="10"/>
        <v>0</v>
      </c>
      <c r="AG54">
        <f t="shared" si="18"/>
        <v>0</v>
      </c>
      <c r="AH54">
        <f t="shared" si="25"/>
        <v>0</v>
      </c>
      <c r="AK54" s="205">
        <v>33486</v>
      </c>
      <c r="AL54" t="s">
        <v>506</v>
      </c>
      <c r="AQ54">
        <v>600000033</v>
      </c>
      <c r="AR54">
        <v>60</v>
      </c>
      <c r="AS54">
        <v>0</v>
      </c>
    </row>
    <row r="55" spans="2:45" x14ac:dyDescent="0.25">
      <c r="B55" s="17">
        <v>500000002</v>
      </c>
      <c r="C55" s="3" t="s">
        <v>34</v>
      </c>
      <c r="D55" s="200">
        <v>36983</v>
      </c>
      <c r="E55">
        <v>14</v>
      </c>
      <c r="G55" t="s">
        <v>273</v>
      </c>
      <c r="H55" s="203">
        <f t="shared" si="0"/>
        <v>643</v>
      </c>
      <c r="I55" s="6">
        <f t="shared" si="1"/>
        <v>0</v>
      </c>
      <c r="J55" s="200">
        <f>'Synthèse Horaires'!$C$5</f>
        <v>46023</v>
      </c>
      <c r="K55" s="6" t="str">
        <f t="shared" si="2"/>
        <v>oui</v>
      </c>
      <c r="L55" s="6" t="str">
        <f t="shared" si="11"/>
        <v>non</v>
      </c>
      <c r="M55" s="204">
        <f t="shared" si="12"/>
        <v>643</v>
      </c>
      <c r="N55" s="204">
        <f t="shared" si="3"/>
        <v>0</v>
      </c>
      <c r="O55" s="204" t="str">
        <f t="shared" si="4"/>
        <v>non</v>
      </c>
      <c r="P55" s="6" t="b">
        <f t="shared" si="5"/>
        <v>0</v>
      </c>
      <c r="Q55" s="6">
        <f t="shared" si="13"/>
        <v>0</v>
      </c>
      <c r="R55" s="6">
        <f t="shared" si="14"/>
        <v>0</v>
      </c>
      <c r="T55" s="205" t="s">
        <v>197</v>
      </c>
      <c r="U55">
        <f t="shared" ca="1" si="6"/>
        <v>9198</v>
      </c>
      <c r="V55">
        <f t="shared" ca="1" si="7"/>
        <v>3</v>
      </c>
      <c r="W55" t="b">
        <f t="shared" si="8"/>
        <v>0</v>
      </c>
      <c r="X55" s="6">
        <f t="shared" si="9"/>
        <v>14</v>
      </c>
      <c r="Y55">
        <f t="shared" si="20"/>
        <v>643</v>
      </c>
      <c r="Z55" t="b">
        <f t="shared" si="15"/>
        <v>0</v>
      </c>
      <c r="AA55" s="206">
        <f t="shared" si="16"/>
        <v>643</v>
      </c>
      <c r="AB55">
        <f t="shared" si="22"/>
        <v>0</v>
      </c>
      <c r="AC55">
        <f t="shared" si="23"/>
        <v>0</v>
      </c>
      <c r="AD55">
        <f t="shared" si="24"/>
        <v>643</v>
      </c>
      <c r="AE55">
        <f t="shared" si="17"/>
        <v>0</v>
      </c>
      <c r="AF55">
        <f t="shared" si="10"/>
        <v>0</v>
      </c>
      <c r="AG55">
        <f t="shared" si="18"/>
        <v>0</v>
      </c>
      <c r="AH55">
        <f t="shared" si="25"/>
        <v>0</v>
      </c>
      <c r="AK55" s="205">
        <v>23942</v>
      </c>
      <c r="AL55" t="s">
        <v>579</v>
      </c>
      <c r="AQ55">
        <v>700000002</v>
      </c>
      <c r="AR55">
        <v>30</v>
      </c>
      <c r="AS55">
        <v>0</v>
      </c>
    </row>
    <row r="56" spans="2:45" x14ac:dyDescent="0.25">
      <c r="B56" s="17">
        <v>300000043</v>
      </c>
      <c r="C56" s="3" t="s">
        <v>712</v>
      </c>
      <c r="D56" s="200">
        <v>45839</v>
      </c>
      <c r="E56">
        <v>35</v>
      </c>
      <c r="F56">
        <v>0</v>
      </c>
      <c r="G56" t="s">
        <v>273</v>
      </c>
      <c r="H56" s="203">
        <f t="shared" si="0"/>
        <v>1607</v>
      </c>
      <c r="I56" s="6">
        <f t="shared" si="1"/>
        <v>0</v>
      </c>
      <c r="J56" s="200">
        <f>'Synthèse Horaires'!$C$5</f>
        <v>46023</v>
      </c>
      <c r="K56" s="6" t="str">
        <f t="shared" si="2"/>
        <v>oui</v>
      </c>
      <c r="L56" s="6" t="str">
        <f t="shared" si="11"/>
        <v>non</v>
      </c>
      <c r="M56" s="204">
        <f t="shared" si="12"/>
        <v>1607</v>
      </c>
      <c r="N56" s="204">
        <f t="shared" si="3"/>
        <v>0</v>
      </c>
      <c r="O56" s="204" t="str">
        <f t="shared" si="4"/>
        <v>non</v>
      </c>
      <c r="P56" s="6" t="b">
        <f t="shared" si="5"/>
        <v>0</v>
      </c>
      <c r="Q56" s="6">
        <f t="shared" si="13"/>
        <v>0</v>
      </c>
      <c r="R56" s="6">
        <f t="shared" si="14"/>
        <v>0</v>
      </c>
      <c r="T56" s="205" t="s">
        <v>188</v>
      </c>
      <c r="U56">
        <f t="shared" ca="1" si="6"/>
        <v>342</v>
      </c>
      <c r="V56">
        <f t="shared" ca="1" si="7"/>
        <v>0</v>
      </c>
      <c r="W56" t="b">
        <f t="shared" si="8"/>
        <v>0</v>
      </c>
      <c r="X56" s="6" t="str">
        <f t="shared" si="9"/>
        <v>non</v>
      </c>
      <c r="Y56">
        <f t="shared" si="20"/>
        <v>1607</v>
      </c>
      <c r="Z56" t="b">
        <f t="shared" si="15"/>
        <v>0</v>
      </c>
      <c r="AA56" s="206">
        <f t="shared" si="16"/>
        <v>1621</v>
      </c>
      <c r="AB56">
        <f t="shared" si="22"/>
        <v>0</v>
      </c>
      <c r="AC56">
        <f t="shared" si="23"/>
        <v>0</v>
      </c>
      <c r="AD56">
        <f t="shared" si="24"/>
        <v>1607</v>
      </c>
      <c r="AE56">
        <f t="shared" si="17"/>
        <v>2</v>
      </c>
      <c r="AF56">
        <f t="shared" si="10"/>
        <v>14</v>
      </c>
      <c r="AG56">
        <f t="shared" si="18"/>
        <v>2</v>
      </c>
      <c r="AH56">
        <f t="shared" si="25"/>
        <v>0</v>
      </c>
      <c r="AK56" s="205">
        <v>38205</v>
      </c>
      <c r="AL56" t="s">
        <v>509</v>
      </c>
      <c r="AQ56">
        <v>700000003</v>
      </c>
      <c r="AR56">
        <v>30</v>
      </c>
      <c r="AS56">
        <v>0</v>
      </c>
    </row>
    <row r="57" spans="2:45" x14ac:dyDescent="0.25">
      <c r="B57" s="17">
        <v>700000039</v>
      </c>
      <c r="C57" s="3" t="s">
        <v>694</v>
      </c>
      <c r="D57" s="200">
        <v>45327</v>
      </c>
      <c r="E57">
        <v>35</v>
      </c>
      <c r="F57">
        <v>0</v>
      </c>
      <c r="G57" t="s">
        <v>273</v>
      </c>
      <c r="H57" s="203">
        <f t="shared" si="0"/>
        <v>1607</v>
      </c>
      <c r="I57" s="6">
        <f t="shared" si="1"/>
        <v>0</v>
      </c>
      <c r="J57" s="200">
        <f>'Synthèse Horaires'!$C$5</f>
        <v>46023</v>
      </c>
      <c r="K57" s="6" t="str">
        <f t="shared" si="2"/>
        <v>oui</v>
      </c>
      <c r="L57" s="6" t="str">
        <f t="shared" si="11"/>
        <v>non</v>
      </c>
      <c r="M57" s="204">
        <f t="shared" si="12"/>
        <v>1607</v>
      </c>
      <c r="N57" s="204">
        <f t="shared" si="3"/>
        <v>0</v>
      </c>
      <c r="O57" s="204" t="str">
        <f t="shared" si="4"/>
        <v>non</v>
      </c>
      <c r="P57" s="6" t="b">
        <f t="shared" si="5"/>
        <v>0</v>
      </c>
      <c r="Q57" s="6">
        <f t="shared" si="13"/>
        <v>0</v>
      </c>
      <c r="R57" s="6">
        <f t="shared" si="14"/>
        <v>0</v>
      </c>
      <c r="T57" s="205" t="s">
        <v>199</v>
      </c>
      <c r="U57">
        <f t="shared" ca="1" si="6"/>
        <v>854</v>
      </c>
      <c r="V57">
        <f t="shared" ca="1" si="7"/>
        <v>0</v>
      </c>
      <c r="W57" t="b">
        <f t="shared" si="8"/>
        <v>0</v>
      </c>
      <c r="X57" s="6" t="str">
        <f t="shared" si="9"/>
        <v>non</v>
      </c>
      <c r="Y57">
        <f t="shared" si="20"/>
        <v>1607</v>
      </c>
      <c r="Z57" t="b">
        <f t="shared" si="15"/>
        <v>0</v>
      </c>
      <c r="AA57" s="206">
        <f t="shared" si="16"/>
        <v>1607</v>
      </c>
      <c r="AB57">
        <f t="shared" si="22"/>
        <v>0</v>
      </c>
      <c r="AC57">
        <f t="shared" si="23"/>
        <v>0</v>
      </c>
      <c r="AD57">
        <f t="shared" si="24"/>
        <v>1607</v>
      </c>
      <c r="AE57">
        <f t="shared" si="17"/>
        <v>0</v>
      </c>
      <c r="AF57">
        <f t="shared" si="10"/>
        <v>0</v>
      </c>
      <c r="AG57">
        <f t="shared" si="18"/>
        <v>0</v>
      </c>
      <c r="AH57">
        <f t="shared" si="25"/>
        <v>0</v>
      </c>
      <c r="AK57" s="205">
        <v>36359</v>
      </c>
      <c r="AL57" t="s">
        <v>506</v>
      </c>
      <c r="AQ57">
        <v>700000004</v>
      </c>
      <c r="AR57">
        <v>30</v>
      </c>
      <c r="AS57">
        <v>0</v>
      </c>
    </row>
    <row r="58" spans="2:45" x14ac:dyDescent="0.25">
      <c r="B58" s="17">
        <v>4000000002</v>
      </c>
      <c r="C58" s="3" t="s">
        <v>669</v>
      </c>
      <c r="D58" s="200">
        <v>44879</v>
      </c>
      <c r="E58">
        <v>0</v>
      </c>
      <c r="F58">
        <v>218</v>
      </c>
      <c r="G58" t="s">
        <v>102</v>
      </c>
      <c r="H58" s="203">
        <f t="shared" si="0"/>
        <v>0</v>
      </c>
      <c r="I58" s="6">
        <f t="shared" si="1"/>
        <v>436</v>
      </c>
      <c r="J58" s="200">
        <f>'Synthèse Horaires'!$C$5</f>
        <v>46023</v>
      </c>
      <c r="K58" s="6" t="str">
        <f t="shared" si="2"/>
        <v>oui</v>
      </c>
      <c r="L58" s="6" t="str">
        <f t="shared" si="11"/>
        <v>non</v>
      </c>
      <c r="M58" s="204" t="str">
        <f t="shared" si="12"/>
        <v>non</v>
      </c>
      <c r="N58" s="204" t="b">
        <f t="shared" si="3"/>
        <v>0</v>
      </c>
      <c r="O58" s="204">
        <f t="shared" si="4"/>
        <v>218</v>
      </c>
      <c r="P58" s="6">
        <f t="shared" si="5"/>
        <v>0</v>
      </c>
      <c r="Q58" s="6">
        <f t="shared" si="13"/>
        <v>436</v>
      </c>
      <c r="R58" s="6">
        <f t="shared" si="14"/>
        <v>0</v>
      </c>
      <c r="T58" s="205" t="s">
        <v>729</v>
      </c>
      <c r="U58">
        <f t="shared" ca="1" si="6"/>
        <v>1302</v>
      </c>
      <c r="V58" t="b">
        <f t="shared" si="7"/>
        <v>0</v>
      </c>
      <c r="W58">
        <f t="shared" ca="1" si="8"/>
        <v>0</v>
      </c>
      <c r="X58" s="6" t="str">
        <f t="shared" si="9"/>
        <v>non</v>
      </c>
      <c r="Y58" t="b">
        <f t="shared" si="20"/>
        <v>0</v>
      </c>
      <c r="Z58">
        <f t="shared" si="15"/>
        <v>218</v>
      </c>
      <c r="AA58" s="206">
        <f t="shared" si="16"/>
        <v>218</v>
      </c>
      <c r="AB58">
        <f t="shared" si="22"/>
        <v>0</v>
      </c>
      <c r="AC58">
        <f t="shared" si="23"/>
        <v>0</v>
      </c>
      <c r="AD58">
        <f t="shared" si="24"/>
        <v>0</v>
      </c>
      <c r="AE58">
        <f t="shared" si="17"/>
        <v>0</v>
      </c>
      <c r="AF58">
        <f t="shared" si="10"/>
        <v>0</v>
      </c>
      <c r="AG58">
        <f t="shared" si="18"/>
        <v>0</v>
      </c>
      <c r="AH58">
        <f t="shared" si="25"/>
        <v>0</v>
      </c>
      <c r="AK58" s="205">
        <v>35021</v>
      </c>
      <c r="AL58" t="s">
        <v>670</v>
      </c>
      <c r="AQ58">
        <v>700000005</v>
      </c>
      <c r="AR58">
        <v>30</v>
      </c>
      <c r="AS58">
        <v>0</v>
      </c>
    </row>
    <row r="59" spans="2:45" x14ac:dyDescent="0.25">
      <c r="B59" s="17">
        <v>500000028</v>
      </c>
      <c r="C59" s="3" t="s">
        <v>683</v>
      </c>
      <c r="D59" s="200">
        <v>45209</v>
      </c>
      <c r="E59">
        <v>35</v>
      </c>
      <c r="F59">
        <v>0</v>
      </c>
      <c r="G59" t="s">
        <v>273</v>
      </c>
      <c r="H59" s="203">
        <f t="shared" si="0"/>
        <v>1607</v>
      </c>
      <c r="I59" s="6">
        <f t="shared" si="1"/>
        <v>0</v>
      </c>
      <c r="J59" s="200">
        <f>'Synthèse Horaires'!$C$5</f>
        <v>46023</v>
      </c>
      <c r="K59" s="6" t="str">
        <f t="shared" si="2"/>
        <v>oui</v>
      </c>
      <c r="L59" s="6" t="str">
        <f t="shared" si="11"/>
        <v>non</v>
      </c>
      <c r="M59" s="204">
        <f t="shared" si="12"/>
        <v>1607</v>
      </c>
      <c r="N59" s="204">
        <f t="shared" si="3"/>
        <v>0</v>
      </c>
      <c r="O59" s="204" t="str">
        <f t="shared" si="4"/>
        <v>non</v>
      </c>
      <c r="P59" s="6" t="b">
        <f t="shared" si="5"/>
        <v>0</v>
      </c>
      <c r="Q59" s="6">
        <f t="shared" si="13"/>
        <v>0</v>
      </c>
      <c r="R59" s="6">
        <f t="shared" si="14"/>
        <v>0</v>
      </c>
      <c r="T59" s="205" t="s">
        <v>197</v>
      </c>
      <c r="U59">
        <f t="shared" ca="1" si="6"/>
        <v>972</v>
      </c>
      <c r="V59">
        <f t="shared" ca="1" si="7"/>
        <v>0</v>
      </c>
      <c r="W59" t="b">
        <f t="shared" si="8"/>
        <v>0</v>
      </c>
      <c r="X59" s="6" t="str">
        <f t="shared" si="9"/>
        <v>non</v>
      </c>
      <c r="Y59">
        <f t="shared" si="20"/>
        <v>1607</v>
      </c>
      <c r="Z59" t="b">
        <f t="shared" si="15"/>
        <v>0</v>
      </c>
      <c r="AA59" s="206">
        <f t="shared" si="16"/>
        <v>1607</v>
      </c>
      <c r="AB59">
        <f t="shared" si="22"/>
        <v>0</v>
      </c>
      <c r="AC59">
        <f t="shared" si="23"/>
        <v>0</v>
      </c>
      <c r="AD59">
        <f t="shared" si="24"/>
        <v>1607</v>
      </c>
      <c r="AE59">
        <f t="shared" si="17"/>
        <v>0</v>
      </c>
      <c r="AF59">
        <f t="shared" si="10"/>
        <v>0</v>
      </c>
      <c r="AG59">
        <f t="shared" si="18"/>
        <v>0</v>
      </c>
      <c r="AH59">
        <f t="shared" si="25"/>
        <v>0</v>
      </c>
      <c r="AK59" s="205">
        <v>26532</v>
      </c>
      <c r="AL59" t="s">
        <v>514</v>
      </c>
      <c r="AQ59">
        <v>700000031</v>
      </c>
      <c r="AR59">
        <v>30</v>
      </c>
      <c r="AS59">
        <v>0</v>
      </c>
    </row>
    <row r="60" spans="2:45" x14ac:dyDescent="0.25">
      <c r="B60" s="17">
        <v>8000000013</v>
      </c>
      <c r="C60" s="3" t="s">
        <v>675</v>
      </c>
      <c r="D60" s="200">
        <v>44958</v>
      </c>
      <c r="E60">
        <v>0</v>
      </c>
      <c r="F60">
        <v>218</v>
      </c>
      <c r="G60" t="s">
        <v>102</v>
      </c>
      <c r="H60" s="203">
        <f t="shared" si="0"/>
        <v>0</v>
      </c>
      <c r="I60" s="6">
        <f t="shared" si="1"/>
        <v>436</v>
      </c>
      <c r="J60" s="200">
        <f>'Synthèse Horaires'!$C$5</f>
        <v>46023</v>
      </c>
      <c r="K60" s="6" t="str">
        <f t="shared" si="2"/>
        <v>oui</v>
      </c>
      <c r="L60" s="6" t="str">
        <f t="shared" si="11"/>
        <v>non</v>
      </c>
      <c r="M60" s="204" t="str">
        <f t="shared" si="12"/>
        <v>non</v>
      </c>
      <c r="N60" s="204" t="b">
        <f t="shared" si="3"/>
        <v>0</v>
      </c>
      <c r="O60" s="204">
        <f t="shared" si="4"/>
        <v>218</v>
      </c>
      <c r="P60" s="6">
        <f t="shared" si="5"/>
        <v>0</v>
      </c>
      <c r="Q60" s="6">
        <f t="shared" si="13"/>
        <v>436</v>
      </c>
      <c r="R60" s="6">
        <f t="shared" si="14"/>
        <v>0</v>
      </c>
      <c r="T60" s="205" t="s">
        <v>608</v>
      </c>
      <c r="U60">
        <f t="shared" ca="1" si="6"/>
        <v>1223</v>
      </c>
      <c r="V60" t="b">
        <f t="shared" si="7"/>
        <v>0</v>
      </c>
      <c r="W60">
        <f t="shared" ca="1" si="8"/>
        <v>0</v>
      </c>
      <c r="X60" s="6" t="str">
        <f t="shared" si="9"/>
        <v>non</v>
      </c>
      <c r="Y60" t="b">
        <f t="shared" si="20"/>
        <v>0</v>
      </c>
      <c r="Z60">
        <f t="shared" si="15"/>
        <v>218</v>
      </c>
      <c r="AA60" s="206">
        <f t="shared" si="16"/>
        <v>223</v>
      </c>
      <c r="AB60">
        <f t="shared" si="22"/>
        <v>0</v>
      </c>
      <c r="AC60">
        <f t="shared" si="23"/>
        <v>0</v>
      </c>
      <c r="AD60">
        <f t="shared" si="24"/>
        <v>0</v>
      </c>
      <c r="AE60">
        <f t="shared" si="17"/>
        <v>5</v>
      </c>
      <c r="AF60">
        <f t="shared" si="10"/>
        <v>0</v>
      </c>
      <c r="AG60">
        <f t="shared" si="18"/>
        <v>5</v>
      </c>
      <c r="AH60">
        <f t="shared" si="25"/>
        <v>5</v>
      </c>
      <c r="AK60" s="205">
        <v>35701</v>
      </c>
      <c r="AL60" t="s">
        <v>575</v>
      </c>
      <c r="AQ60">
        <v>700000033</v>
      </c>
      <c r="AR60">
        <v>30</v>
      </c>
      <c r="AS60">
        <v>0</v>
      </c>
    </row>
    <row r="61" spans="2:45" x14ac:dyDescent="0.25">
      <c r="B61" s="283">
        <v>5000000035</v>
      </c>
      <c r="C61" s="284" t="s">
        <v>707</v>
      </c>
      <c r="D61" s="282">
        <v>45689</v>
      </c>
      <c r="E61" s="285">
        <v>35</v>
      </c>
      <c r="F61" s="285">
        <v>0</v>
      </c>
      <c r="G61" s="285" t="s">
        <v>273</v>
      </c>
      <c r="H61" s="203">
        <f t="shared" si="0"/>
        <v>1607</v>
      </c>
      <c r="I61" s="6">
        <f t="shared" si="1"/>
        <v>0</v>
      </c>
      <c r="J61" s="200">
        <f>'Synthèse Horaires'!$C$5</f>
        <v>46023</v>
      </c>
      <c r="K61" s="6" t="str">
        <f t="shared" si="2"/>
        <v>oui</v>
      </c>
      <c r="L61" s="6" t="str">
        <f>IF(N(D61)&gt;N($G$3),"oui","non")</f>
        <v>non</v>
      </c>
      <c r="M61" s="204">
        <f t="shared" si="12"/>
        <v>1607</v>
      </c>
      <c r="N61" s="204">
        <f t="shared" si="3"/>
        <v>0</v>
      </c>
      <c r="O61" s="204" t="str">
        <f t="shared" si="4"/>
        <v>non</v>
      </c>
      <c r="P61" s="6" t="b">
        <f t="shared" si="5"/>
        <v>0</v>
      </c>
      <c r="Q61" s="6">
        <f t="shared" si="13"/>
        <v>0</v>
      </c>
      <c r="R61" s="6">
        <f t="shared" si="14"/>
        <v>0</v>
      </c>
      <c r="T61" s="205" t="s">
        <v>458</v>
      </c>
      <c r="U61">
        <f t="shared" ca="1" si="6"/>
        <v>492</v>
      </c>
      <c r="V61">
        <f t="shared" ca="1" si="7"/>
        <v>0</v>
      </c>
      <c r="W61" t="b">
        <f t="shared" si="8"/>
        <v>0</v>
      </c>
      <c r="X61" s="6" t="str">
        <f t="shared" si="9"/>
        <v>non</v>
      </c>
      <c r="Y61">
        <f t="shared" si="20"/>
        <v>1607</v>
      </c>
      <c r="Z61" t="b">
        <f t="shared" si="15"/>
        <v>0</v>
      </c>
      <c r="AA61" s="206">
        <f t="shared" si="16"/>
        <v>1607</v>
      </c>
      <c r="AB61">
        <f t="shared" si="22"/>
        <v>0</v>
      </c>
      <c r="AC61">
        <f>IF(AND(G61="Employé",L61="oui"),(30*(Y61/H61)),0)</f>
        <v>0</v>
      </c>
      <c r="AD61">
        <f t="shared" si="24"/>
        <v>1607</v>
      </c>
      <c r="AE61">
        <f t="shared" si="17"/>
        <v>0</v>
      </c>
      <c r="AF61">
        <f t="shared" si="10"/>
        <v>0</v>
      </c>
      <c r="AG61">
        <f t="shared" si="18"/>
        <v>0</v>
      </c>
      <c r="AH61">
        <f t="shared" si="25"/>
        <v>0</v>
      </c>
      <c r="AK61" s="205">
        <v>33235</v>
      </c>
      <c r="AL61" t="s">
        <v>509</v>
      </c>
      <c r="AQ61">
        <v>700000037</v>
      </c>
      <c r="AR61">
        <v>23</v>
      </c>
      <c r="AS61">
        <v>2</v>
      </c>
    </row>
    <row r="62" spans="2:45" x14ac:dyDescent="0.25">
      <c r="B62" s="283">
        <v>7000000054</v>
      </c>
      <c r="C62" s="284" t="s">
        <v>797</v>
      </c>
      <c r="D62" s="282">
        <v>46146</v>
      </c>
      <c r="E62" s="285">
        <v>35</v>
      </c>
      <c r="F62" s="285">
        <v>0</v>
      </c>
      <c r="G62" s="285" t="s">
        <v>273</v>
      </c>
      <c r="H62" s="203">
        <f t="shared" si="0"/>
        <v>1607</v>
      </c>
      <c r="I62" s="6">
        <f t="shared" si="1"/>
        <v>0</v>
      </c>
      <c r="J62" s="200">
        <f>'Synthèse Horaires'!$C$5</f>
        <v>46023</v>
      </c>
      <c r="K62" s="6" t="str">
        <f t="shared" si="2"/>
        <v>oui</v>
      </c>
      <c r="L62" s="6" t="str">
        <f t="shared" si="11"/>
        <v>non</v>
      </c>
      <c r="M62" s="204">
        <f t="shared" si="12"/>
        <v>1607</v>
      </c>
      <c r="N62" s="204">
        <f t="shared" si="3"/>
        <v>0</v>
      </c>
      <c r="O62" s="204" t="str">
        <f t="shared" si="4"/>
        <v>non</v>
      </c>
      <c r="P62" s="6" t="b">
        <f t="shared" si="5"/>
        <v>0</v>
      </c>
      <c r="Q62" s="6">
        <f t="shared" si="13"/>
        <v>0</v>
      </c>
      <c r="R62" s="6">
        <f t="shared" si="14"/>
        <v>0</v>
      </c>
      <c r="T62" s="205" t="s">
        <v>474</v>
      </c>
      <c r="U62">
        <f t="shared" ca="1" si="6"/>
        <v>35</v>
      </c>
      <c r="V62">
        <f t="shared" ca="1" si="7"/>
        <v>0</v>
      </c>
      <c r="W62" t="b">
        <f t="shared" si="8"/>
        <v>0</v>
      </c>
      <c r="X62" s="6" t="str">
        <f t="shared" si="9"/>
        <v>non</v>
      </c>
      <c r="Y62">
        <f t="shared" si="20"/>
        <v>1607</v>
      </c>
      <c r="Z62" t="b">
        <f t="shared" si="15"/>
        <v>0</v>
      </c>
      <c r="AA62" s="206">
        <f t="shared" si="16"/>
        <v>1796</v>
      </c>
      <c r="AB62">
        <f t="shared" si="22"/>
        <v>0</v>
      </c>
      <c r="AC62">
        <f t="shared" si="23"/>
        <v>0</v>
      </c>
      <c r="AD62">
        <f t="shared" si="24"/>
        <v>1607</v>
      </c>
      <c r="AE62">
        <f t="shared" si="17"/>
        <v>27</v>
      </c>
      <c r="AF62">
        <f t="shared" si="10"/>
        <v>189</v>
      </c>
      <c r="AG62">
        <f t="shared" si="18"/>
        <v>27</v>
      </c>
      <c r="AH62">
        <f t="shared" si="25"/>
        <v>0</v>
      </c>
      <c r="AK62" s="205">
        <v>33179</v>
      </c>
      <c r="AL62" t="s">
        <v>509</v>
      </c>
      <c r="AQ62">
        <v>700000039</v>
      </c>
      <c r="AR62">
        <v>30</v>
      </c>
      <c r="AS62">
        <v>0</v>
      </c>
    </row>
    <row r="63" spans="2:45" x14ac:dyDescent="0.25">
      <c r="B63" s="17">
        <v>9000000009</v>
      </c>
      <c r="C63" s="3" t="s">
        <v>678</v>
      </c>
      <c r="D63" s="200">
        <v>45078</v>
      </c>
      <c r="E63">
        <v>35</v>
      </c>
      <c r="F63">
        <v>0</v>
      </c>
      <c r="G63" t="s">
        <v>273</v>
      </c>
      <c r="H63" s="203">
        <f t="shared" si="0"/>
        <v>1607</v>
      </c>
      <c r="I63" s="6">
        <f t="shared" si="1"/>
        <v>0</v>
      </c>
      <c r="J63" s="200">
        <f>'Synthèse Horaires'!$C$5</f>
        <v>46023</v>
      </c>
      <c r="K63" s="6" t="str">
        <f t="shared" si="2"/>
        <v>oui</v>
      </c>
      <c r="L63" s="6" t="str">
        <f t="shared" si="11"/>
        <v>non</v>
      </c>
      <c r="M63" s="204">
        <f t="shared" si="12"/>
        <v>1607</v>
      </c>
      <c r="N63" s="204">
        <f t="shared" si="3"/>
        <v>0</v>
      </c>
      <c r="O63" s="204" t="str">
        <f t="shared" si="4"/>
        <v>non</v>
      </c>
      <c r="P63" s="6" t="b">
        <f t="shared" si="5"/>
        <v>0</v>
      </c>
      <c r="Q63" s="6">
        <f t="shared" si="13"/>
        <v>0</v>
      </c>
      <c r="R63" s="6">
        <f t="shared" si="14"/>
        <v>0</v>
      </c>
      <c r="T63" s="205" t="s">
        <v>184</v>
      </c>
      <c r="U63">
        <f t="shared" ca="1" si="6"/>
        <v>1103</v>
      </c>
      <c r="V63">
        <f t="shared" ca="1" si="7"/>
        <v>0</v>
      </c>
      <c r="W63" t="b">
        <f t="shared" si="8"/>
        <v>0</v>
      </c>
      <c r="X63" s="6" t="str">
        <f t="shared" si="9"/>
        <v>non</v>
      </c>
      <c r="Y63">
        <f t="shared" si="20"/>
        <v>1607</v>
      </c>
      <c r="Z63" t="b">
        <f t="shared" si="15"/>
        <v>0</v>
      </c>
      <c r="AA63" s="206">
        <f t="shared" si="16"/>
        <v>1607</v>
      </c>
      <c r="AB63">
        <f t="shared" si="22"/>
        <v>0</v>
      </c>
      <c r="AC63">
        <f t="shared" si="23"/>
        <v>0</v>
      </c>
      <c r="AD63">
        <f t="shared" si="24"/>
        <v>1607</v>
      </c>
      <c r="AE63">
        <f t="shared" si="17"/>
        <v>0</v>
      </c>
      <c r="AF63">
        <f t="shared" si="10"/>
        <v>0</v>
      </c>
      <c r="AG63">
        <f t="shared" si="18"/>
        <v>0</v>
      </c>
      <c r="AH63">
        <f t="shared" si="25"/>
        <v>0</v>
      </c>
      <c r="AK63" s="205">
        <v>36501</v>
      </c>
      <c r="AL63" t="s">
        <v>508</v>
      </c>
      <c r="AQ63">
        <v>800000010</v>
      </c>
      <c r="AR63">
        <v>30</v>
      </c>
      <c r="AS63">
        <v>0</v>
      </c>
    </row>
    <row r="64" spans="2:45" x14ac:dyDescent="0.25">
      <c r="B64" s="17">
        <v>600000028</v>
      </c>
      <c r="C64" s="3" t="s">
        <v>711</v>
      </c>
      <c r="D64" s="200">
        <v>45460</v>
      </c>
      <c r="E64">
        <v>35</v>
      </c>
      <c r="F64">
        <v>0</v>
      </c>
      <c r="G64" t="s">
        <v>273</v>
      </c>
      <c r="H64" s="203">
        <f t="shared" si="0"/>
        <v>1607</v>
      </c>
      <c r="I64" s="6">
        <f t="shared" si="1"/>
        <v>0</v>
      </c>
      <c r="J64" s="200">
        <f>'Synthèse Horaires'!$C$5</f>
        <v>46023</v>
      </c>
      <c r="K64" s="6" t="str">
        <f t="shared" si="2"/>
        <v>oui</v>
      </c>
      <c r="L64" s="6" t="str">
        <f t="shared" si="11"/>
        <v>non</v>
      </c>
      <c r="M64" s="204">
        <f t="shared" si="12"/>
        <v>1607</v>
      </c>
      <c r="N64" s="204">
        <f t="shared" si="3"/>
        <v>0</v>
      </c>
      <c r="O64" s="204" t="str">
        <f t="shared" si="4"/>
        <v>non</v>
      </c>
      <c r="P64" s="6" t="b">
        <f t="shared" si="5"/>
        <v>0</v>
      </c>
      <c r="Q64" s="6">
        <f t="shared" si="13"/>
        <v>0</v>
      </c>
      <c r="R64" s="6">
        <f t="shared" si="14"/>
        <v>0</v>
      </c>
      <c r="T64" s="205" t="s">
        <v>199</v>
      </c>
      <c r="U64">
        <f t="shared" ca="1" si="6"/>
        <v>721</v>
      </c>
      <c r="V64">
        <f t="shared" ca="1" si="7"/>
        <v>0</v>
      </c>
      <c r="W64" t="b">
        <f t="shared" si="8"/>
        <v>0</v>
      </c>
      <c r="X64" s="6" t="str">
        <f t="shared" si="9"/>
        <v>non</v>
      </c>
      <c r="Y64">
        <f t="shared" si="20"/>
        <v>1607</v>
      </c>
      <c r="Z64" t="b">
        <f t="shared" si="15"/>
        <v>0</v>
      </c>
      <c r="AA64" s="206">
        <f t="shared" si="16"/>
        <v>1614</v>
      </c>
      <c r="AB64">
        <f t="shared" si="22"/>
        <v>0</v>
      </c>
      <c r="AC64">
        <f t="shared" si="23"/>
        <v>0</v>
      </c>
      <c r="AD64">
        <f t="shared" si="24"/>
        <v>1607</v>
      </c>
      <c r="AE64">
        <f t="shared" si="17"/>
        <v>1</v>
      </c>
      <c r="AF64">
        <f t="shared" si="10"/>
        <v>7</v>
      </c>
      <c r="AG64">
        <f t="shared" si="18"/>
        <v>1</v>
      </c>
      <c r="AH64">
        <f t="shared" si="25"/>
        <v>0</v>
      </c>
      <c r="AJ64" s="9"/>
      <c r="AK64" s="205">
        <v>37365</v>
      </c>
      <c r="AL64" t="s">
        <v>514</v>
      </c>
      <c r="AQ64">
        <v>800000013</v>
      </c>
      <c r="AR64">
        <v>30</v>
      </c>
      <c r="AS64">
        <v>0</v>
      </c>
    </row>
    <row r="65" spans="2:45" x14ac:dyDescent="0.25">
      <c r="B65" s="17">
        <v>600000003</v>
      </c>
      <c r="C65" s="3" t="s">
        <v>35</v>
      </c>
      <c r="D65" s="200">
        <v>42126</v>
      </c>
      <c r="E65">
        <v>35</v>
      </c>
      <c r="G65" t="s">
        <v>273</v>
      </c>
      <c r="H65" s="203">
        <f t="shared" si="0"/>
        <v>1607</v>
      </c>
      <c r="I65" s="6">
        <f t="shared" si="1"/>
        <v>0</v>
      </c>
      <c r="J65" s="200">
        <f>'Synthèse Horaires'!$C$5</f>
        <v>46023</v>
      </c>
      <c r="K65" s="6" t="str">
        <f t="shared" si="2"/>
        <v>oui</v>
      </c>
      <c r="L65" s="6" t="str">
        <f t="shared" si="11"/>
        <v>non</v>
      </c>
      <c r="M65" s="204">
        <f t="shared" si="12"/>
        <v>1607</v>
      </c>
      <c r="N65" s="204">
        <f t="shared" si="3"/>
        <v>0</v>
      </c>
      <c r="O65" s="204" t="str">
        <f t="shared" si="4"/>
        <v>non</v>
      </c>
      <c r="P65" s="6" t="b">
        <f t="shared" si="5"/>
        <v>0</v>
      </c>
      <c r="Q65" s="6">
        <f t="shared" si="13"/>
        <v>0</v>
      </c>
      <c r="R65" s="6">
        <f t="shared" si="14"/>
        <v>0</v>
      </c>
      <c r="T65" s="205" t="s">
        <v>194</v>
      </c>
      <c r="U65">
        <f t="shared" ca="1" si="6"/>
        <v>4055</v>
      </c>
      <c r="V65">
        <f t="shared" ca="1" si="7"/>
        <v>0</v>
      </c>
      <c r="W65" t="b">
        <f t="shared" si="8"/>
        <v>0</v>
      </c>
      <c r="X65" s="6" t="str">
        <f t="shared" si="9"/>
        <v>non</v>
      </c>
      <c r="Y65">
        <f t="shared" si="20"/>
        <v>1607</v>
      </c>
      <c r="Z65" t="b">
        <f t="shared" si="15"/>
        <v>0</v>
      </c>
      <c r="AA65" s="206">
        <f t="shared" si="16"/>
        <v>1607</v>
      </c>
      <c r="AB65">
        <f t="shared" si="22"/>
        <v>0</v>
      </c>
      <c r="AC65">
        <f t="shared" si="23"/>
        <v>0</v>
      </c>
      <c r="AD65">
        <f t="shared" si="24"/>
        <v>1607</v>
      </c>
      <c r="AE65">
        <f t="shared" si="17"/>
        <v>0</v>
      </c>
      <c r="AF65">
        <f t="shared" si="10"/>
        <v>0</v>
      </c>
      <c r="AG65">
        <f t="shared" si="18"/>
        <v>0</v>
      </c>
      <c r="AH65">
        <f t="shared" si="25"/>
        <v>0</v>
      </c>
      <c r="AK65" s="205">
        <v>34165</v>
      </c>
      <c r="AL65" t="s">
        <v>514</v>
      </c>
      <c r="AQ65">
        <v>800000021</v>
      </c>
      <c r="AR65">
        <v>30</v>
      </c>
      <c r="AS65">
        <v>0</v>
      </c>
    </row>
    <row r="66" spans="2:45" x14ac:dyDescent="0.25">
      <c r="B66" s="283">
        <v>2000000031</v>
      </c>
      <c r="C66" s="284" t="s">
        <v>742</v>
      </c>
      <c r="D66" s="282">
        <v>45771</v>
      </c>
      <c r="E66" s="285">
        <v>35</v>
      </c>
      <c r="F66" s="285">
        <v>0</v>
      </c>
      <c r="G66" s="285" t="s">
        <v>273</v>
      </c>
      <c r="H66" s="203">
        <f t="shared" si="0"/>
        <v>1607</v>
      </c>
      <c r="I66" s="6">
        <f t="shared" si="1"/>
        <v>0</v>
      </c>
      <c r="J66" s="200">
        <f>'Synthèse Horaires'!$C$5</f>
        <v>46023</v>
      </c>
      <c r="K66" s="6" t="str">
        <f t="shared" si="2"/>
        <v>oui</v>
      </c>
      <c r="L66" s="6" t="str">
        <f t="shared" si="11"/>
        <v>non</v>
      </c>
      <c r="M66" s="204">
        <f t="shared" si="12"/>
        <v>1607</v>
      </c>
      <c r="N66" s="204">
        <f t="shared" si="3"/>
        <v>0</v>
      </c>
      <c r="O66" s="204" t="str">
        <f t="shared" si="4"/>
        <v>non</v>
      </c>
      <c r="P66" s="6" t="b">
        <f t="shared" si="5"/>
        <v>0</v>
      </c>
      <c r="Q66" s="6">
        <f t="shared" si="13"/>
        <v>0</v>
      </c>
      <c r="R66" s="6">
        <f t="shared" si="14"/>
        <v>0</v>
      </c>
      <c r="T66" s="205" t="s">
        <v>606</v>
      </c>
      <c r="U66">
        <f t="shared" ca="1" si="6"/>
        <v>410</v>
      </c>
      <c r="V66">
        <f t="shared" ca="1" si="7"/>
        <v>0</v>
      </c>
      <c r="W66" t="b">
        <f t="shared" si="8"/>
        <v>0</v>
      </c>
      <c r="X66" s="6" t="str">
        <f t="shared" si="9"/>
        <v>non</v>
      </c>
      <c r="Y66">
        <f t="shared" si="20"/>
        <v>1607</v>
      </c>
      <c r="Z66" t="b">
        <f t="shared" si="15"/>
        <v>0</v>
      </c>
      <c r="AA66" s="206">
        <f t="shared" si="16"/>
        <v>1607</v>
      </c>
      <c r="AB66">
        <f t="shared" si="22"/>
        <v>0</v>
      </c>
      <c r="AC66">
        <f t="shared" si="23"/>
        <v>0</v>
      </c>
      <c r="AD66">
        <f t="shared" si="24"/>
        <v>1607</v>
      </c>
      <c r="AE66">
        <f t="shared" si="17"/>
        <v>0</v>
      </c>
      <c r="AF66">
        <f t="shared" si="10"/>
        <v>0</v>
      </c>
      <c r="AG66">
        <f t="shared" si="18"/>
        <v>0</v>
      </c>
      <c r="AH66">
        <f t="shared" si="25"/>
        <v>0</v>
      </c>
      <c r="AK66" s="205">
        <v>38096</v>
      </c>
      <c r="AL66" t="s">
        <v>506</v>
      </c>
      <c r="AQ66">
        <v>800000026</v>
      </c>
      <c r="AR66">
        <v>30</v>
      </c>
      <c r="AS66">
        <v>0</v>
      </c>
    </row>
    <row r="67" spans="2:45" x14ac:dyDescent="0.25">
      <c r="B67" s="17">
        <v>600000006</v>
      </c>
      <c r="C67" s="3" t="s">
        <v>36</v>
      </c>
      <c r="D67" s="200">
        <v>37712</v>
      </c>
      <c r="E67">
        <v>39</v>
      </c>
      <c r="G67" t="s">
        <v>273</v>
      </c>
      <c r="H67" s="203">
        <f t="shared" si="0"/>
        <v>1787</v>
      </c>
      <c r="I67" s="6">
        <f t="shared" si="1"/>
        <v>0</v>
      </c>
      <c r="J67" s="200">
        <f>'Synthèse Horaires'!$C$5</f>
        <v>46023</v>
      </c>
      <c r="K67" s="6" t="str">
        <f t="shared" si="2"/>
        <v>oui</v>
      </c>
      <c r="L67" s="6" t="str">
        <f t="shared" si="11"/>
        <v>non</v>
      </c>
      <c r="M67" s="204">
        <f t="shared" si="12"/>
        <v>1787</v>
      </c>
      <c r="N67" s="204">
        <f t="shared" si="3"/>
        <v>0</v>
      </c>
      <c r="O67" s="204" t="str">
        <f t="shared" si="4"/>
        <v>non</v>
      </c>
      <c r="P67" s="6" t="b">
        <f t="shared" si="5"/>
        <v>0</v>
      </c>
      <c r="Q67" s="6">
        <f t="shared" si="13"/>
        <v>0</v>
      </c>
      <c r="R67" s="6">
        <f t="shared" si="14"/>
        <v>0</v>
      </c>
      <c r="T67" s="205" t="s">
        <v>194</v>
      </c>
      <c r="U67">
        <f t="shared" ca="1" si="6"/>
        <v>8469</v>
      </c>
      <c r="V67">
        <f t="shared" ca="1" si="7"/>
        <v>2</v>
      </c>
      <c r="W67" t="b">
        <f t="shared" si="8"/>
        <v>0</v>
      </c>
      <c r="X67" s="6" t="str">
        <f t="shared" si="9"/>
        <v>non</v>
      </c>
      <c r="Y67">
        <f t="shared" si="20"/>
        <v>1787</v>
      </c>
      <c r="Z67" t="b">
        <f t="shared" si="15"/>
        <v>0</v>
      </c>
      <c r="AA67" s="206">
        <f t="shared" si="16"/>
        <v>1787</v>
      </c>
      <c r="AB67">
        <f t="shared" si="22"/>
        <v>0</v>
      </c>
      <c r="AC67">
        <f t="shared" si="23"/>
        <v>0</v>
      </c>
      <c r="AD67">
        <f t="shared" si="24"/>
        <v>1787</v>
      </c>
      <c r="AE67">
        <f t="shared" si="17"/>
        <v>0</v>
      </c>
      <c r="AF67">
        <f t="shared" si="10"/>
        <v>0</v>
      </c>
      <c r="AG67">
        <f t="shared" si="18"/>
        <v>0</v>
      </c>
      <c r="AH67">
        <f t="shared" si="25"/>
        <v>0</v>
      </c>
      <c r="AK67" s="205">
        <v>26512</v>
      </c>
      <c r="AL67" t="s">
        <v>506</v>
      </c>
      <c r="AQ67">
        <v>800000027</v>
      </c>
      <c r="AR67">
        <v>30</v>
      </c>
      <c r="AS67">
        <v>0</v>
      </c>
    </row>
    <row r="68" spans="2:45" x14ac:dyDescent="0.25">
      <c r="B68" s="17">
        <v>600000007</v>
      </c>
      <c r="C68" s="3" t="s">
        <v>37</v>
      </c>
      <c r="D68" s="200">
        <v>39286</v>
      </c>
      <c r="E68">
        <v>35</v>
      </c>
      <c r="G68" t="s">
        <v>273</v>
      </c>
      <c r="H68" s="203">
        <f t="shared" si="0"/>
        <v>1607</v>
      </c>
      <c r="I68" s="6">
        <f t="shared" si="1"/>
        <v>0</v>
      </c>
      <c r="J68" s="200">
        <f>'Synthèse Horaires'!$C$5</f>
        <v>46023</v>
      </c>
      <c r="K68" s="6" t="str">
        <f t="shared" si="2"/>
        <v>oui</v>
      </c>
      <c r="L68" s="6" t="str">
        <f t="shared" si="11"/>
        <v>non</v>
      </c>
      <c r="M68" s="204">
        <f t="shared" si="12"/>
        <v>1607</v>
      </c>
      <c r="N68" s="204">
        <f t="shared" si="3"/>
        <v>0</v>
      </c>
      <c r="O68" s="204" t="str">
        <f t="shared" si="4"/>
        <v>non</v>
      </c>
      <c r="P68" s="6" t="b">
        <f t="shared" si="5"/>
        <v>0</v>
      </c>
      <c r="Q68" s="6">
        <f t="shared" si="13"/>
        <v>0</v>
      </c>
      <c r="R68" s="6">
        <f t="shared" si="14"/>
        <v>0</v>
      </c>
      <c r="T68" s="205" t="s">
        <v>194</v>
      </c>
      <c r="U68">
        <f t="shared" ca="1" si="6"/>
        <v>6895</v>
      </c>
      <c r="V68">
        <f t="shared" ca="1" si="7"/>
        <v>1</v>
      </c>
      <c r="W68" t="b">
        <f t="shared" si="8"/>
        <v>0</v>
      </c>
      <c r="X68" s="6" t="str">
        <f t="shared" si="9"/>
        <v>non</v>
      </c>
      <c r="Y68">
        <f t="shared" si="20"/>
        <v>1607</v>
      </c>
      <c r="Z68" t="b">
        <f t="shared" si="15"/>
        <v>0</v>
      </c>
      <c r="AA68" s="206">
        <f t="shared" si="16"/>
        <v>1607</v>
      </c>
      <c r="AB68">
        <f t="shared" si="22"/>
        <v>0</v>
      </c>
      <c r="AC68">
        <f t="shared" si="23"/>
        <v>0</v>
      </c>
      <c r="AD68">
        <f t="shared" si="24"/>
        <v>1607</v>
      </c>
      <c r="AE68">
        <f t="shared" si="17"/>
        <v>0</v>
      </c>
      <c r="AF68">
        <f t="shared" si="10"/>
        <v>0</v>
      </c>
      <c r="AG68">
        <f t="shared" si="18"/>
        <v>0</v>
      </c>
      <c r="AH68">
        <f t="shared" si="25"/>
        <v>0</v>
      </c>
      <c r="AK68" s="205">
        <v>28020</v>
      </c>
      <c r="AL68" t="s">
        <v>506</v>
      </c>
      <c r="AQ68">
        <v>800000029</v>
      </c>
      <c r="AR68">
        <v>30</v>
      </c>
      <c r="AS68">
        <v>0</v>
      </c>
    </row>
    <row r="69" spans="2:45" x14ac:dyDescent="0.25">
      <c r="B69" s="17">
        <v>7000000024</v>
      </c>
      <c r="C69" s="3" t="s">
        <v>672</v>
      </c>
      <c r="D69" s="200">
        <v>44907</v>
      </c>
      <c r="E69">
        <v>0</v>
      </c>
      <c r="F69">
        <v>218</v>
      </c>
      <c r="G69" t="s">
        <v>102</v>
      </c>
      <c r="H69" s="203">
        <f t="shared" si="0"/>
        <v>0</v>
      </c>
      <c r="I69" s="6">
        <f t="shared" si="1"/>
        <v>436</v>
      </c>
      <c r="J69" s="200">
        <f>'Synthèse Horaires'!$C$5</f>
        <v>46023</v>
      </c>
      <c r="K69" s="6" t="str">
        <f t="shared" si="2"/>
        <v>oui</v>
      </c>
      <c r="L69" s="6" t="str">
        <f t="shared" si="11"/>
        <v>non</v>
      </c>
      <c r="M69" s="204" t="str">
        <f t="shared" si="12"/>
        <v>non</v>
      </c>
      <c r="N69" s="204" t="b">
        <f t="shared" si="3"/>
        <v>0</v>
      </c>
      <c r="O69" s="204">
        <f t="shared" si="4"/>
        <v>218</v>
      </c>
      <c r="P69" s="6">
        <f t="shared" si="5"/>
        <v>0</v>
      </c>
      <c r="Q69" s="6">
        <f t="shared" si="13"/>
        <v>436</v>
      </c>
      <c r="R69" s="6">
        <f t="shared" si="14"/>
        <v>0</v>
      </c>
      <c r="T69" s="205" t="s">
        <v>184</v>
      </c>
      <c r="U69">
        <f t="shared" ca="1" si="6"/>
        <v>1274</v>
      </c>
      <c r="V69" t="b">
        <f t="shared" si="7"/>
        <v>0</v>
      </c>
      <c r="W69">
        <f t="shared" ca="1" si="8"/>
        <v>0</v>
      </c>
      <c r="X69" s="6" t="str">
        <f t="shared" si="9"/>
        <v>non</v>
      </c>
      <c r="Y69" t="b">
        <f t="shared" si="20"/>
        <v>0</v>
      </c>
      <c r="Z69">
        <f t="shared" si="15"/>
        <v>218</v>
      </c>
      <c r="AA69" s="206">
        <f t="shared" si="16"/>
        <v>218</v>
      </c>
      <c r="AB69">
        <f t="shared" si="22"/>
        <v>0</v>
      </c>
      <c r="AC69">
        <f t="shared" si="23"/>
        <v>0</v>
      </c>
      <c r="AD69">
        <f t="shared" si="24"/>
        <v>0</v>
      </c>
      <c r="AE69">
        <f t="shared" si="17"/>
        <v>0</v>
      </c>
      <c r="AF69">
        <f t="shared" si="10"/>
        <v>0</v>
      </c>
      <c r="AG69">
        <f t="shared" si="18"/>
        <v>0</v>
      </c>
      <c r="AH69">
        <f t="shared" si="25"/>
        <v>0</v>
      </c>
      <c r="AK69" s="205">
        <v>36591</v>
      </c>
      <c r="AL69" t="s">
        <v>575</v>
      </c>
      <c r="AQ69">
        <v>800000033</v>
      </c>
      <c r="AR69">
        <v>30</v>
      </c>
      <c r="AS69">
        <v>0</v>
      </c>
    </row>
    <row r="70" spans="2:45" x14ac:dyDescent="0.25">
      <c r="B70" s="17">
        <v>600000009</v>
      </c>
      <c r="C70" s="3" t="s">
        <v>38</v>
      </c>
      <c r="D70" s="200">
        <v>37501</v>
      </c>
      <c r="E70">
        <v>35</v>
      </c>
      <c r="G70" t="s">
        <v>273</v>
      </c>
      <c r="H70" s="203">
        <f t="shared" si="0"/>
        <v>1607</v>
      </c>
      <c r="I70" s="6">
        <f t="shared" si="1"/>
        <v>0</v>
      </c>
      <c r="J70" s="200">
        <f>'Synthèse Horaires'!$C$5</f>
        <v>46023</v>
      </c>
      <c r="K70" s="6" t="str">
        <f t="shared" si="2"/>
        <v>oui</v>
      </c>
      <c r="L70" s="6" t="str">
        <f t="shared" si="11"/>
        <v>non</v>
      </c>
      <c r="M70" s="204">
        <f t="shared" si="12"/>
        <v>1607</v>
      </c>
      <c r="N70" s="204">
        <f t="shared" si="3"/>
        <v>0</v>
      </c>
      <c r="O70" s="204" t="str">
        <f t="shared" si="4"/>
        <v>non</v>
      </c>
      <c r="P70" s="6" t="b">
        <f t="shared" si="5"/>
        <v>0</v>
      </c>
      <c r="Q70" s="6">
        <f t="shared" si="13"/>
        <v>0</v>
      </c>
      <c r="R70" s="6">
        <f t="shared" si="14"/>
        <v>0</v>
      </c>
      <c r="T70" s="205" t="s">
        <v>194</v>
      </c>
      <c r="U70">
        <f t="shared" ca="1" si="6"/>
        <v>8680</v>
      </c>
      <c r="V70">
        <f t="shared" ca="1" si="7"/>
        <v>2</v>
      </c>
      <c r="W70" t="b">
        <f t="shared" si="8"/>
        <v>0</v>
      </c>
      <c r="X70" s="6" t="str">
        <f t="shared" si="9"/>
        <v>non</v>
      </c>
      <c r="Y70">
        <f t="shared" si="20"/>
        <v>1607</v>
      </c>
      <c r="Z70" t="b">
        <f t="shared" si="15"/>
        <v>0</v>
      </c>
      <c r="AA70" s="206">
        <f t="shared" si="16"/>
        <v>1607</v>
      </c>
      <c r="AB70">
        <f t="shared" si="22"/>
        <v>0</v>
      </c>
      <c r="AC70">
        <f t="shared" si="23"/>
        <v>0</v>
      </c>
      <c r="AD70">
        <f t="shared" si="24"/>
        <v>1607</v>
      </c>
      <c r="AE70">
        <f t="shared" si="17"/>
        <v>0</v>
      </c>
      <c r="AF70">
        <f t="shared" si="10"/>
        <v>0</v>
      </c>
      <c r="AG70">
        <f t="shared" si="18"/>
        <v>0</v>
      </c>
      <c r="AH70">
        <f t="shared" si="25"/>
        <v>0</v>
      </c>
      <c r="AK70" s="205">
        <v>29784</v>
      </c>
      <c r="AL70" t="s">
        <v>575</v>
      </c>
      <c r="AQ70">
        <v>900000001</v>
      </c>
      <c r="AR70">
        <v>30</v>
      </c>
      <c r="AS70">
        <v>0</v>
      </c>
    </row>
    <row r="71" spans="2:45" x14ac:dyDescent="0.25">
      <c r="B71" s="17">
        <v>600000010</v>
      </c>
      <c r="C71" s="3" t="s">
        <v>39</v>
      </c>
      <c r="D71" s="200">
        <v>32325</v>
      </c>
      <c r="E71">
        <v>35</v>
      </c>
      <c r="G71" t="s">
        <v>273</v>
      </c>
      <c r="H71" s="203">
        <f t="shared" si="0"/>
        <v>1607</v>
      </c>
      <c r="I71" s="6">
        <f t="shared" si="1"/>
        <v>0</v>
      </c>
      <c r="J71" s="200">
        <f>'Synthèse Horaires'!$C$5</f>
        <v>46023</v>
      </c>
      <c r="K71" s="6" t="str">
        <f t="shared" si="2"/>
        <v>oui</v>
      </c>
      <c r="L71" s="6" t="str">
        <f t="shared" si="11"/>
        <v>non</v>
      </c>
      <c r="M71" s="204">
        <f t="shared" si="12"/>
        <v>1607</v>
      </c>
      <c r="N71" s="204">
        <f t="shared" si="3"/>
        <v>0</v>
      </c>
      <c r="O71" s="204" t="str">
        <f t="shared" si="4"/>
        <v>non</v>
      </c>
      <c r="P71" s="6" t="b">
        <f t="shared" si="5"/>
        <v>0</v>
      </c>
      <c r="Q71" s="6">
        <f t="shared" si="13"/>
        <v>0</v>
      </c>
      <c r="R71" s="6">
        <f t="shared" si="14"/>
        <v>0</v>
      </c>
      <c r="T71" s="205" t="s">
        <v>194</v>
      </c>
      <c r="U71">
        <f t="shared" ca="1" si="6"/>
        <v>13856</v>
      </c>
      <c r="V71">
        <f t="shared" ca="1" si="7"/>
        <v>3</v>
      </c>
      <c r="W71" t="b">
        <f t="shared" si="8"/>
        <v>0</v>
      </c>
      <c r="X71" s="6" t="str">
        <f t="shared" si="9"/>
        <v>non</v>
      </c>
      <c r="Y71">
        <f t="shared" si="20"/>
        <v>1607</v>
      </c>
      <c r="Z71" t="b">
        <f t="shared" si="15"/>
        <v>0</v>
      </c>
      <c r="AA71" s="206">
        <f t="shared" si="16"/>
        <v>1614</v>
      </c>
      <c r="AB71">
        <f t="shared" si="22"/>
        <v>0</v>
      </c>
      <c r="AC71">
        <f t="shared" si="23"/>
        <v>0</v>
      </c>
      <c r="AD71">
        <f t="shared" si="24"/>
        <v>1607</v>
      </c>
      <c r="AE71">
        <f t="shared" si="17"/>
        <v>1</v>
      </c>
      <c r="AF71">
        <f t="shared" si="10"/>
        <v>7</v>
      </c>
      <c r="AG71">
        <f t="shared" si="18"/>
        <v>1</v>
      </c>
      <c r="AH71">
        <f t="shared" si="25"/>
        <v>0</v>
      </c>
      <c r="AK71" s="205">
        <v>24689</v>
      </c>
      <c r="AL71" t="s">
        <v>580</v>
      </c>
      <c r="AQ71">
        <v>900000002</v>
      </c>
      <c r="AR71">
        <v>30</v>
      </c>
      <c r="AS71">
        <v>0</v>
      </c>
    </row>
    <row r="72" spans="2:45" x14ac:dyDescent="0.25">
      <c r="B72" s="17">
        <v>600000033</v>
      </c>
      <c r="C72" s="3" t="s">
        <v>687</v>
      </c>
      <c r="D72" s="200">
        <v>45257</v>
      </c>
      <c r="E72">
        <v>0</v>
      </c>
      <c r="F72">
        <v>218</v>
      </c>
      <c r="G72" t="s">
        <v>102</v>
      </c>
      <c r="H72" s="203">
        <f t="shared" si="0"/>
        <v>0</v>
      </c>
      <c r="I72" s="6">
        <f t="shared" si="1"/>
        <v>436</v>
      </c>
      <c r="J72" s="200">
        <f>'Synthèse Horaires'!$C$5</f>
        <v>46023</v>
      </c>
      <c r="K72" s="6" t="str">
        <f t="shared" si="2"/>
        <v>oui</v>
      </c>
      <c r="L72" s="6" t="str">
        <f t="shared" si="11"/>
        <v>non</v>
      </c>
      <c r="M72" s="204" t="str">
        <f t="shared" si="12"/>
        <v>non</v>
      </c>
      <c r="N72" s="204" t="b">
        <f t="shared" si="3"/>
        <v>0</v>
      </c>
      <c r="O72" s="204">
        <f t="shared" si="4"/>
        <v>218</v>
      </c>
      <c r="P72" s="6">
        <f t="shared" si="5"/>
        <v>0</v>
      </c>
      <c r="Q72" s="6">
        <f t="shared" si="13"/>
        <v>436</v>
      </c>
      <c r="R72" s="6">
        <f t="shared" si="14"/>
        <v>0</v>
      </c>
      <c r="T72" s="205" t="s">
        <v>194</v>
      </c>
      <c r="U72">
        <f t="shared" ca="1" si="6"/>
        <v>924</v>
      </c>
      <c r="V72" t="b">
        <f t="shared" si="7"/>
        <v>0</v>
      </c>
      <c r="W72">
        <f t="shared" ca="1" si="8"/>
        <v>0</v>
      </c>
      <c r="X72" s="6" t="str">
        <f t="shared" si="9"/>
        <v>non</v>
      </c>
      <c r="Y72" t="b">
        <f t="shared" si="20"/>
        <v>0</v>
      </c>
      <c r="Z72">
        <f t="shared" si="15"/>
        <v>218</v>
      </c>
      <c r="AA72" s="206">
        <f t="shared" si="16"/>
        <v>188</v>
      </c>
      <c r="AB72">
        <f t="shared" si="22"/>
        <v>0</v>
      </c>
      <c r="AC72">
        <f t="shared" si="23"/>
        <v>0</v>
      </c>
      <c r="AD72">
        <f t="shared" si="24"/>
        <v>0</v>
      </c>
      <c r="AE72">
        <f t="shared" si="17"/>
        <v>-30</v>
      </c>
      <c r="AF72">
        <f t="shared" si="10"/>
        <v>0</v>
      </c>
      <c r="AG72">
        <f t="shared" si="18"/>
        <v>-30</v>
      </c>
      <c r="AH72">
        <f t="shared" si="25"/>
        <v>-30</v>
      </c>
      <c r="AK72" s="205">
        <v>25032</v>
      </c>
      <c r="AL72" t="s">
        <v>688</v>
      </c>
      <c r="AQ72">
        <v>900000006</v>
      </c>
      <c r="AR72">
        <v>30</v>
      </c>
      <c r="AS72">
        <v>0</v>
      </c>
    </row>
    <row r="73" spans="2:45" x14ac:dyDescent="0.25">
      <c r="B73" s="17">
        <v>600000012</v>
      </c>
      <c r="C73" s="3" t="s">
        <v>40</v>
      </c>
      <c r="D73" s="200">
        <v>42472</v>
      </c>
      <c r="E73">
        <v>35</v>
      </c>
      <c r="G73" t="s">
        <v>273</v>
      </c>
      <c r="H73" s="203">
        <f t="shared" si="0"/>
        <v>1607</v>
      </c>
      <c r="I73" s="6">
        <f t="shared" si="1"/>
        <v>0</v>
      </c>
      <c r="J73" s="200">
        <f>'Synthèse Horaires'!$C$5</f>
        <v>46023</v>
      </c>
      <c r="K73" s="6" t="str">
        <f t="shared" si="2"/>
        <v>oui</v>
      </c>
      <c r="L73" s="6" t="str">
        <f t="shared" si="11"/>
        <v>non</v>
      </c>
      <c r="M73" s="204">
        <f t="shared" si="12"/>
        <v>1607</v>
      </c>
      <c r="N73" s="204">
        <f t="shared" si="3"/>
        <v>0</v>
      </c>
      <c r="O73" s="204" t="str">
        <f t="shared" si="4"/>
        <v>non</v>
      </c>
      <c r="P73" s="6" t="b">
        <f t="shared" si="5"/>
        <v>0</v>
      </c>
      <c r="Q73" s="6">
        <f t="shared" si="13"/>
        <v>0</v>
      </c>
      <c r="R73" s="6">
        <f t="shared" si="14"/>
        <v>0</v>
      </c>
      <c r="T73" s="205" t="s">
        <v>194</v>
      </c>
      <c r="U73">
        <f t="shared" ca="1" si="6"/>
        <v>3709</v>
      </c>
      <c r="V73">
        <f t="shared" ca="1" si="7"/>
        <v>0</v>
      </c>
      <c r="W73" t="b">
        <f t="shared" si="8"/>
        <v>0</v>
      </c>
      <c r="X73" s="6" t="str">
        <f t="shared" si="9"/>
        <v>non</v>
      </c>
      <c r="Y73">
        <f t="shared" si="20"/>
        <v>1607</v>
      </c>
      <c r="Z73" t="b">
        <f t="shared" si="15"/>
        <v>0</v>
      </c>
      <c r="AA73" s="206">
        <f t="shared" si="16"/>
        <v>1607</v>
      </c>
      <c r="AB73">
        <f t="shared" si="22"/>
        <v>0</v>
      </c>
      <c r="AC73">
        <f t="shared" si="23"/>
        <v>0</v>
      </c>
      <c r="AD73">
        <f t="shared" si="24"/>
        <v>1607</v>
      </c>
      <c r="AE73">
        <f t="shared" si="17"/>
        <v>0</v>
      </c>
      <c r="AF73">
        <f t="shared" si="10"/>
        <v>0</v>
      </c>
      <c r="AG73">
        <f t="shared" si="18"/>
        <v>0</v>
      </c>
      <c r="AH73">
        <f t="shared" si="25"/>
        <v>0</v>
      </c>
      <c r="AK73" s="205">
        <v>32793</v>
      </c>
      <c r="AL73" t="s">
        <v>751</v>
      </c>
      <c r="AQ73">
        <v>900000009</v>
      </c>
      <c r="AR73">
        <v>30</v>
      </c>
      <c r="AS73">
        <v>0</v>
      </c>
    </row>
    <row r="74" spans="2:45" x14ac:dyDescent="0.25">
      <c r="B74" s="17">
        <v>8000000024</v>
      </c>
      <c r="C74" s="3" t="s">
        <v>731</v>
      </c>
      <c r="D74" s="200">
        <v>45600</v>
      </c>
      <c r="E74">
        <v>35</v>
      </c>
      <c r="F74">
        <v>0</v>
      </c>
      <c r="G74" t="s">
        <v>273</v>
      </c>
      <c r="H74" s="203">
        <f t="shared" si="0"/>
        <v>1607</v>
      </c>
      <c r="I74" s="6">
        <f t="shared" si="1"/>
        <v>0</v>
      </c>
      <c r="J74" s="200">
        <f>'Synthèse Horaires'!$C$5</f>
        <v>46023</v>
      </c>
      <c r="K74" s="6" t="str">
        <f t="shared" si="2"/>
        <v>oui</v>
      </c>
      <c r="L74" s="6" t="str">
        <f t="shared" si="11"/>
        <v>non</v>
      </c>
      <c r="M74" s="204">
        <f t="shared" si="12"/>
        <v>1607</v>
      </c>
      <c r="N74" s="204">
        <f t="shared" si="3"/>
        <v>0</v>
      </c>
      <c r="O74" s="204" t="str">
        <f t="shared" si="4"/>
        <v>non</v>
      </c>
      <c r="P74" s="6" t="b">
        <f t="shared" si="5"/>
        <v>0</v>
      </c>
      <c r="Q74" s="6">
        <f t="shared" si="13"/>
        <v>0</v>
      </c>
      <c r="R74" s="6">
        <f t="shared" si="14"/>
        <v>0</v>
      </c>
      <c r="T74" s="205" t="s">
        <v>608</v>
      </c>
      <c r="U74">
        <f t="shared" ca="1" si="6"/>
        <v>581</v>
      </c>
      <c r="V74">
        <f t="shared" ca="1" si="7"/>
        <v>0</v>
      </c>
      <c r="W74" t="b">
        <f t="shared" si="8"/>
        <v>0</v>
      </c>
      <c r="X74" s="6" t="str">
        <f t="shared" si="9"/>
        <v>non</v>
      </c>
      <c r="Y74">
        <f t="shared" si="20"/>
        <v>1607</v>
      </c>
      <c r="Z74" t="b">
        <f t="shared" si="15"/>
        <v>0</v>
      </c>
      <c r="AA74" s="206">
        <f t="shared" si="16"/>
        <v>1663</v>
      </c>
      <c r="AB74">
        <f t="shared" si="22"/>
        <v>0</v>
      </c>
      <c r="AC74">
        <f t="shared" si="23"/>
        <v>0</v>
      </c>
      <c r="AD74">
        <f t="shared" si="24"/>
        <v>1607</v>
      </c>
      <c r="AE74">
        <f t="shared" si="17"/>
        <v>8</v>
      </c>
      <c r="AF74">
        <f t="shared" si="10"/>
        <v>56</v>
      </c>
      <c r="AG74">
        <f t="shared" si="18"/>
        <v>8</v>
      </c>
      <c r="AH74">
        <f t="shared" si="25"/>
        <v>0</v>
      </c>
      <c r="AK74" s="205">
        <v>36792</v>
      </c>
      <c r="AL74" t="s">
        <v>509</v>
      </c>
      <c r="AQ74">
        <v>900000023</v>
      </c>
      <c r="AR74">
        <v>29</v>
      </c>
      <c r="AS74">
        <v>1</v>
      </c>
    </row>
    <row r="75" spans="2:45" x14ac:dyDescent="0.25">
      <c r="B75" s="17">
        <v>700000002</v>
      </c>
      <c r="C75" s="3" t="s">
        <v>41</v>
      </c>
      <c r="D75" s="200">
        <v>39419</v>
      </c>
      <c r="E75">
        <v>35</v>
      </c>
      <c r="G75" t="s">
        <v>273</v>
      </c>
      <c r="H75" s="203">
        <f t="shared" si="0"/>
        <v>1607</v>
      </c>
      <c r="I75" s="6">
        <f t="shared" si="1"/>
        <v>0</v>
      </c>
      <c r="J75" s="200">
        <f>'Synthèse Horaires'!$C$5</f>
        <v>46023</v>
      </c>
      <c r="K75" s="6" t="str">
        <f t="shared" si="2"/>
        <v>oui</v>
      </c>
      <c r="L75" s="6" t="str">
        <f t="shared" si="11"/>
        <v>non</v>
      </c>
      <c r="M75" s="204">
        <f t="shared" si="12"/>
        <v>1607</v>
      </c>
      <c r="N75" s="204">
        <f t="shared" si="3"/>
        <v>0</v>
      </c>
      <c r="O75" s="204" t="str">
        <f t="shared" si="4"/>
        <v>non</v>
      </c>
      <c r="P75" s="6" t="b">
        <f t="shared" si="5"/>
        <v>0</v>
      </c>
      <c r="Q75" s="6">
        <f t="shared" si="13"/>
        <v>0</v>
      </c>
      <c r="R75" s="6">
        <f t="shared" si="14"/>
        <v>0</v>
      </c>
      <c r="T75" s="205" t="s">
        <v>199</v>
      </c>
      <c r="U75">
        <f t="shared" ca="1" si="6"/>
        <v>6762</v>
      </c>
      <c r="V75">
        <f t="shared" ca="1" si="7"/>
        <v>1</v>
      </c>
      <c r="W75" t="b">
        <f t="shared" si="8"/>
        <v>0</v>
      </c>
      <c r="X75" s="6" t="str">
        <f t="shared" si="9"/>
        <v>non</v>
      </c>
      <c r="Y75">
        <f t="shared" si="20"/>
        <v>1607</v>
      </c>
      <c r="Z75" t="b">
        <f t="shared" si="15"/>
        <v>0</v>
      </c>
      <c r="AA75" s="206">
        <f t="shared" si="16"/>
        <v>1607</v>
      </c>
      <c r="AB75">
        <f t="shared" si="22"/>
        <v>0</v>
      </c>
      <c r="AC75">
        <f t="shared" si="23"/>
        <v>0</v>
      </c>
      <c r="AD75">
        <f t="shared" si="24"/>
        <v>1607</v>
      </c>
      <c r="AE75">
        <f t="shared" si="17"/>
        <v>0</v>
      </c>
      <c r="AF75">
        <f t="shared" si="10"/>
        <v>0</v>
      </c>
      <c r="AG75">
        <f t="shared" si="18"/>
        <v>0</v>
      </c>
      <c r="AH75">
        <f t="shared" si="25"/>
        <v>0</v>
      </c>
      <c r="AK75" s="205">
        <v>24688</v>
      </c>
      <c r="AL75" t="s">
        <v>508</v>
      </c>
      <c r="AQ75">
        <v>1000000001</v>
      </c>
      <c r="AR75">
        <v>29</v>
      </c>
      <c r="AS75">
        <v>1</v>
      </c>
    </row>
    <row r="76" spans="2:45" x14ac:dyDescent="0.25">
      <c r="B76" s="17">
        <v>700000003</v>
      </c>
      <c r="C76" s="3" t="s">
        <v>42</v>
      </c>
      <c r="D76" s="200">
        <v>34663</v>
      </c>
      <c r="E76">
        <v>35</v>
      </c>
      <c r="G76" t="s">
        <v>273</v>
      </c>
      <c r="H76" s="203">
        <f t="shared" si="0"/>
        <v>1607</v>
      </c>
      <c r="I76" s="6">
        <f t="shared" si="1"/>
        <v>0</v>
      </c>
      <c r="J76" s="200">
        <f>'Synthèse Horaires'!$C$5</f>
        <v>46023</v>
      </c>
      <c r="K76" s="6" t="str">
        <f t="shared" si="2"/>
        <v>oui</v>
      </c>
      <c r="L76" s="6" t="str">
        <f t="shared" si="11"/>
        <v>non</v>
      </c>
      <c r="M76" s="204">
        <f t="shared" si="12"/>
        <v>1607</v>
      </c>
      <c r="N76" s="204">
        <f t="shared" si="3"/>
        <v>0</v>
      </c>
      <c r="O76" s="204" t="str">
        <f t="shared" si="4"/>
        <v>non</v>
      </c>
      <c r="P76" s="6" t="b">
        <f t="shared" si="5"/>
        <v>0</v>
      </c>
      <c r="Q76" s="6">
        <f t="shared" si="13"/>
        <v>0</v>
      </c>
      <c r="R76" s="6">
        <f t="shared" si="14"/>
        <v>0</v>
      </c>
      <c r="T76" s="205" t="s">
        <v>199</v>
      </c>
      <c r="U76">
        <f t="shared" ca="1" si="6"/>
        <v>11518</v>
      </c>
      <c r="V76">
        <f t="shared" ca="1" si="7"/>
        <v>3</v>
      </c>
      <c r="W76" t="b">
        <f t="shared" si="8"/>
        <v>0</v>
      </c>
      <c r="X76" s="6" t="str">
        <f t="shared" si="9"/>
        <v>non</v>
      </c>
      <c r="Y76">
        <f t="shared" si="20"/>
        <v>1607</v>
      </c>
      <c r="Z76" t="b">
        <f t="shared" si="15"/>
        <v>0</v>
      </c>
      <c r="AA76" s="206">
        <f t="shared" si="16"/>
        <v>1607</v>
      </c>
      <c r="AB76">
        <f t="shared" si="22"/>
        <v>0</v>
      </c>
      <c r="AC76">
        <f t="shared" si="23"/>
        <v>0</v>
      </c>
      <c r="AD76">
        <f t="shared" si="24"/>
        <v>1607</v>
      </c>
      <c r="AE76">
        <f t="shared" si="17"/>
        <v>0</v>
      </c>
      <c r="AF76">
        <f t="shared" si="10"/>
        <v>0</v>
      </c>
      <c r="AG76">
        <f t="shared" si="18"/>
        <v>0</v>
      </c>
      <c r="AH76">
        <f t="shared" si="25"/>
        <v>0</v>
      </c>
      <c r="AK76" s="205">
        <v>23861</v>
      </c>
      <c r="AL76" t="s">
        <v>581</v>
      </c>
      <c r="AQ76">
        <v>1000000002</v>
      </c>
      <c r="AR76">
        <v>30</v>
      </c>
      <c r="AS76">
        <v>0</v>
      </c>
    </row>
    <row r="77" spans="2:45" x14ac:dyDescent="0.25">
      <c r="B77" s="17">
        <v>700000004</v>
      </c>
      <c r="C77" s="3" t="s">
        <v>43</v>
      </c>
      <c r="D77" s="200">
        <v>34090</v>
      </c>
      <c r="E77">
        <v>35</v>
      </c>
      <c r="G77" t="s">
        <v>273</v>
      </c>
      <c r="H77" s="203">
        <f t="shared" ref="H77:H140" si="26">ROUNDUP((($C$9/5)*E77)+($G$4*(E77/$G$5))+IF(E77=20,$G$10,(IF(E77=25,$G$9,(IF(E77=35,$G$6,IF(E77=39,$G$7,(IF(E77=41,$G$8,($G$6*(E77/$G$5)))))))))),0)</f>
        <v>1607</v>
      </c>
      <c r="I77" s="6">
        <f t="shared" ref="I77:I140" si="27">F77*2</f>
        <v>0</v>
      </c>
      <c r="J77" s="200">
        <f>'Synthèse Horaires'!$C$5</f>
        <v>46023</v>
      </c>
      <c r="K77" s="6" t="str">
        <f t="shared" ref="K77:K140" si="28">IF(N(D77)&lt;N($G$3),"oui","non")</f>
        <v>oui</v>
      </c>
      <c r="L77" s="6" t="str">
        <f t="shared" ref="L77:L140" si="29">IF(N(D77)&gt;N($G$3),"oui","non")</f>
        <v>non</v>
      </c>
      <c r="M77" s="204">
        <f t="shared" ref="M77:M140" si="30">IF(G77="Employé",(IF(K77="oui",H77,"non")),"non")</f>
        <v>1607</v>
      </c>
      <c r="N77" s="204">
        <f t="shared" ref="N77:N140" si="31">IF(G77="Employé",(IF(L77="oui",(H77*(($G$3+365)-D77+1)/365),0)))</f>
        <v>0</v>
      </c>
      <c r="O77" s="204" t="str">
        <f t="shared" ref="O77:O140" si="32">IF(G77="Cadre",(IF(K77="oui",F77,0)),"non")</f>
        <v>non</v>
      </c>
      <c r="P77" s="6" t="b">
        <f t="shared" ref="P77:P140" si="33">IF(G77="Cadre",(IF(L77="oui",((((($G$3+365)-D77+1)*F77)/365)),0)))</f>
        <v>0</v>
      </c>
      <c r="Q77" s="6">
        <f t="shared" si="13"/>
        <v>0</v>
      </c>
      <c r="R77" s="6">
        <f t="shared" si="14"/>
        <v>0</v>
      </c>
      <c r="T77" s="205" t="s">
        <v>199</v>
      </c>
      <c r="U77">
        <f t="shared" ref="U77:U140" ca="1" si="34">TODAY()-D77</f>
        <v>12091</v>
      </c>
      <c r="V77">
        <f t="shared" ref="V77:V140" ca="1" si="35">IF(G77="Employé",IF(U77&gt;9125,3,IF(U77&gt;7300,2,IF(U77&gt;5475,1,))))</f>
        <v>3</v>
      </c>
      <c r="W77" t="b">
        <f t="shared" ref="W77:W140" si="36">IF(G77="Cadre",IF(U77&gt;3650,2,IF(U77&gt;1825,1,)))</f>
        <v>0</v>
      </c>
      <c r="X77" s="6" t="str">
        <f t="shared" ref="X77:X140" si="37">IF(G77="Employé",IF(E77&lt;$G$5,E77,"non"),"non")</f>
        <v>non</v>
      </c>
      <c r="Y77">
        <f t="shared" ref="Y77:Y140" si="38">IF(AND(G77="Employé",N77=0),M77,N77)</f>
        <v>1607</v>
      </c>
      <c r="Z77" t="b">
        <f t="shared" ref="Z77:Z140" si="39">IF(AND(G77="Cadre",P77=0),O77,P77)</f>
        <v>0</v>
      </c>
      <c r="AA77" s="206">
        <f t="shared" si="16"/>
        <v>1607</v>
      </c>
      <c r="AB77">
        <f t="shared" si="22"/>
        <v>0</v>
      </c>
      <c r="AC77">
        <f t="shared" si="23"/>
        <v>0</v>
      </c>
      <c r="AD77">
        <f t="shared" si="24"/>
        <v>1607</v>
      </c>
      <c r="AE77">
        <f t="shared" si="17"/>
        <v>0</v>
      </c>
      <c r="AF77">
        <f t="shared" ref="AF77:AF84" si="40">IF(AND(G77="Employé",L77="oui"),0,(AE77*(E77/5)))</f>
        <v>0</v>
      </c>
      <c r="AG77">
        <f t="shared" si="18"/>
        <v>0</v>
      </c>
      <c r="AH77">
        <f t="shared" si="25"/>
        <v>0</v>
      </c>
      <c r="AK77" s="205">
        <v>24351</v>
      </c>
      <c r="AL77" t="s">
        <v>573</v>
      </c>
      <c r="AQ77">
        <v>1000000014</v>
      </c>
      <c r="AR77">
        <v>30</v>
      </c>
      <c r="AS77">
        <v>0</v>
      </c>
    </row>
    <row r="78" spans="2:45" x14ac:dyDescent="0.25">
      <c r="B78" s="17">
        <v>700000005</v>
      </c>
      <c r="C78" s="3" t="s">
        <v>44</v>
      </c>
      <c r="D78" s="200">
        <v>34043</v>
      </c>
      <c r="E78">
        <v>35</v>
      </c>
      <c r="G78" t="s">
        <v>273</v>
      </c>
      <c r="H78" s="203">
        <f t="shared" si="26"/>
        <v>1607</v>
      </c>
      <c r="I78" s="6">
        <f t="shared" si="27"/>
        <v>0</v>
      </c>
      <c r="J78" s="200">
        <f>'Synthèse Horaires'!$C$5</f>
        <v>46023</v>
      </c>
      <c r="K78" s="6" t="str">
        <f t="shared" si="28"/>
        <v>oui</v>
      </c>
      <c r="L78" s="6" t="str">
        <f t="shared" si="29"/>
        <v>non</v>
      </c>
      <c r="M78" s="204">
        <f t="shared" si="30"/>
        <v>1607</v>
      </c>
      <c r="N78" s="204">
        <f t="shared" si="31"/>
        <v>0</v>
      </c>
      <c r="O78" s="204" t="str">
        <f t="shared" si="32"/>
        <v>non</v>
      </c>
      <c r="P78" s="6" t="b">
        <f t="shared" si="33"/>
        <v>0</v>
      </c>
      <c r="Q78" s="6">
        <f t="shared" ref="Q78:Q141" si="41">IF(O78="non",0,O78*2)</f>
        <v>0</v>
      </c>
      <c r="R78" s="6">
        <f t="shared" ref="R78:R141" si="42">IF(ISERROR(P78),0,P78*2)</f>
        <v>0</v>
      </c>
      <c r="T78" s="205" t="s">
        <v>199</v>
      </c>
      <c r="U78">
        <f t="shared" ca="1" si="34"/>
        <v>12138</v>
      </c>
      <c r="V78">
        <f t="shared" ca="1" si="35"/>
        <v>3</v>
      </c>
      <c r="W78" t="b">
        <f t="shared" si="36"/>
        <v>0</v>
      </c>
      <c r="X78" s="6" t="str">
        <f t="shared" si="37"/>
        <v>non</v>
      </c>
      <c r="Y78">
        <f t="shared" si="38"/>
        <v>1607</v>
      </c>
      <c r="Z78" t="b">
        <f t="shared" si="39"/>
        <v>0</v>
      </c>
      <c r="AA78" s="206">
        <f t="shared" ref="AA78:AA141" si="43">(IF(Y78=FALSE(),(Z78+AB78),(AD78)))+AF78+AH78+AI78</f>
        <v>1607</v>
      </c>
      <c r="AB78">
        <f t="shared" si="22"/>
        <v>0</v>
      </c>
      <c r="AC78">
        <f t="shared" si="23"/>
        <v>0</v>
      </c>
      <c r="AD78">
        <f t="shared" si="24"/>
        <v>1607</v>
      </c>
      <c r="AE78">
        <f t="shared" ref="AE78:AE141" si="44">IFERROR(((VLOOKUP(B78,AQ:AS,2,0)-30)*-1),0)</f>
        <v>0</v>
      </c>
      <c r="AF78">
        <f t="shared" si="40"/>
        <v>0</v>
      </c>
      <c r="AG78">
        <f t="shared" ref="AG78:AG141" si="45">IFERROR(((VLOOKUP(B78,AQ:AS,2,0)-30)*-1),0)</f>
        <v>0</v>
      </c>
      <c r="AH78">
        <f t="shared" si="25"/>
        <v>0</v>
      </c>
      <c r="AK78" s="205">
        <v>25719</v>
      </c>
      <c r="AL78" t="s">
        <v>506</v>
      </c>
      <c r="AQ78">
        <v>1000000015</v>
      </c>
      <c r="AR78">
        <v>30</v>
      </c>
      <c r="AS78">
        <v>0</v>
      </c>
    </row>
    <row r="79" spans="2:45" x14ac:dyDescent="0.25">
      <c r="B79" s="17">
        <v>8000000023</v>
      </c>
      <c r="C79" s="3" t="s">
        <v>732</v>
      </c>
      <c r="D79" s="200">
        <v>45586</v>
      </c>
      <c r="E79">
        <v>35</v>
      </c>
      <c r="F79">
        <v>0</v>
      </c>
      <c r="G79" t="s">
        <v>273</v>
      </c>
      <c r="H79" s="203">
        <f t="shared" si="26"/>
        <v>1607</v>
      </c>
      <c r="I79" s="6">
        <f t="shared" si="27"/>
        <v>0</v>
      </c>
      <c r="J79" s="200">
        <f>'Synthèse Horaires'!$C$5</f>
        <v>46023</v>
      </c>
      <c r="K79" s="6" t="str">
        <f t="shared" si="28"/>
        <v>oui</v>
      </c>
      <c r="L79" s="6" t="str">
        <f t="shared" si="29"/>
        <v>non</v>
      </c>
      <c r="M79" s="204">
        <f t="shared" si="30"/>
        <v>1607</v>
      </c>
      <c r="N79" s="204">
        <f t="shared" si="31"/>
        <v>0</v>
      </c>
      <c r="O79" s="204" t="str">
        <f t="shared" si="32"/>
        <v>non</v>
      </c>
      <c r="P79" s="6" t="b">
        <f t="shared" si="33"/>
        <v>0</v>
      </c>
      <c r="Q79" s="6">
        <f t="shared" si="41"/>
        <v>0</v>
      </c>
      <c r="R79" s="6">
        <f t="shared" si="42"/>
        <v>0</v>
      </c>
      <c r="T79" s="205" t="s">
        <v>608</v>
      </c>
      <c r="U79">
        <f t="shared" ca="1" si="34"/>
        <v>595</v>
      </c>
      <c r="V79">
        <f t="shared" ca="1" si="35"/>
        <v>0</v>
      </c>
      <c r="W79" t="b">
        <f t="shared" si="36"/>
        <v>0</v>
      </c>
      <c r="X79" s="6" t="str">
        <f t="shared" si="37"/>
        <v>non</v>
      </c>
      <c r="Y79">
        <f t="shared" si="38"/>
        <v>1607</v>
      </c>
      <c r="Z79" t="b">
        <f t="shared" si="39"/>
        <v>0</v>
      </c>
      <c r="AA79" s="206">
        <f t="shared" si="43"/>
        <v>1607</v>
      </c>
      <c r="AB79">
        <f t="shared" si="22"/>
        <v>0</v>
      </c>
      <c r="AC79">
        <f t="shared" si="23"/>
        <v>0</v>
      </c>
      <c r="AD79">
        <f t="shared" si="24"/>
        <v>1607</v>
      </c>
      <c r="AE79">
        <f t="shared" si="44"/>
        <v>0</v>
      </c>
      <c r="AF79">
        <f t="shared" si="40"/>
        <v>0</v>
      </c>
      <c r="AG79">
        <f t="shared" si="45"/>
        <v>0</v>
      </c>
      <c r="AH79">
        <f t="shared" si="25"/>
        <v>0</v>
      </c>
      <c r="AK79" s="205">
        <v>33717</v>
      </c>
      <c r="AL79" t="s">
        <v>508</v>
      </c>
      <c r="AQ79">
        <v>1000000030</v>
      </c>
      <c r="AR79">
        <v>30</v>
      </c>
      <c r="AS79">
        <v>0</v>
      </c>
    </row>
    <row r="80" spans="2:45" x14ac:dyDescent="0.25">
      <c r="B80" s="283">
        <v>1200000061</v>
      </c>
      <c r="C80" s="284" t="s">
        <v>782</v>
      </c>
      <c r="D80" s="282">
        <v>46076</v>
      </c>
      <c r="E80" s="285">
        <v>35</v>
      </c>
      <c r="F80" s="285">
        <v>0</v>
      </c>
      <c r="G80" s="285" t="s">
        <v>273</v>
      </c>
      <c r="H80" s="203">
        <f t="shared" si="26"/>
        <v>1607</v>
      </c>
      <c r="I80" s="6">
        <f t="shared" si="27"/>
        <v>0</v>
      </c>
      <c r="J80" s="200">
        <f>'Synthèse Horaires'!$C$5</f>
        <v>46023</v>
      </c>
      <c r="K80" s="6" t="str">
        <f t="shared" si="28"/>
        <v>oui</v>
      </c>
      <c r="L80" s="6" t="str">
        <f t="shared" si="29"/>
        <v>non</v>
      </c>
      <c r="M80" s="204">
        <f t="shared" si="30"/>
        <v>1607</v>
      </c>
      <c r="N80" s="204">
        <f t="shared" si="31"/>
        <v>0</v>
      </c>
      <c r="O80" s="204" t="str">
        <f t="shared" si="32"/>
        <v>non</v>
      </c>
      <c r="P80" s="6" t="b">
        <f t="shared" si="33"/>
        <v>0</v>
      </c>
      <c r="Q80" s="6">
        <f t="shared" si="41"/>
        <v>0</v>
      </c>
      <c r="R80" s="6">
        <f t="shared" si="42"/>
        <v>0</v>
      </c>
      <c r="T80" s="205" t="s">
        <v>195</v>
      </c>
      <c r="U80">
        <f t="shared" ca="1" si="34"/>
        <v>105</v>
      </c>
      <c r="V80">
        <f t="shared" ca="1" si="35"/>
        <v>0</v>
      </c>
      <c r="W80" t="b">
        <f t="shared" si="36"/>
        <v>0</v>
      </c>
      <c r="X80" s="6" t="str">
        <f t="shared" si="37"/>
        <v>non</v>
      </c>
      <c r="Y80">
        <f t="shared" si="38"/>
        <v>1607</v>
      </c>
      <c r="Z80" t="b">
        <f t="shared" si="39"/>
        <v>0</v>
      </c>
      <c r="AA80" s="206">
        <f t="shared" si="43"/>
        <v>1761</v>
      </c>
      <c r="AB80">
        <f t="shared" ref="AB80:AB85" si="46">IF(AND(L80="oui",G80="Cadre"),(30*(Z80/F80)),0)</f>
        <v>0</v>
      </c>
      <c r="AC80">
        <f t="shared" ref="AC80:AC84" si="47">IF(AND(G80="Employé",L80="oui"),(30*(Y80/H80)),0)</f>
        <v>0</v>
      </c>
      <c r="AD80">
        <f t="shared" ref="AD80:AD84" si="48">Y80+(AC80*(E80/6))</f>
        <v>1607</v>
      </c>
      <c r="AE80">
        <f t="shared" si="44"/>
        <v>22</v>
      </c>
      <c r="AF80">
        <f t="shared" si="40"/>
        <v>154</v>
      </c>
      <c r="AG80">
        <f t="shared" si="45"/>
        <v>22</v>
      </c>
      <c r="AH80">
        <f t="shared" si="25"/>
        <v>0</v>
      </c>
      <c r="AK80" s="205">
        <v>37336</v>
      </c>
      <c r="AL80" t="s">
        <v>506</v>
      </c>
      <c r="AQ80">
        <v>1100000004</v>
      </c>
      <c r="AR80">
        <v>30</v>
      </c>
      <c r="AS80">
        <v>0</v>
      </c>
    </row>
    <row r="81" spans="2:45" x14ac:dyDescent="0.25">
      <c r="B81" s="283">
        <v>100000045</v>
      </c>
      <c r="C81" s="284" t="s">
        <v>762</v>
      </c>
      <c r="D81" s="282">
        <v>45950</v>
      </c>
      <c r="E81" s="285">
        <v>35</v>
      </c>
      <c r="F81" s="285">
        <v>0</v>
      </c>
      <c r="G81" s="285" t="s">
        <v>273</v>
      </c>
      <c r="H81" s="203">
        <f t="shared" si="26"/>
        <v>1607</v>
      </c>
      <c r="I81" s="6">
        <f t="shared" si="27"/>
        <v>0</v>
      </c>
      <c r="J81" s="200">
        <f>'Synthèse Horaires'!$C$5</f>
        <v>46023</v>
      </c>
      <c r="K81" s="6" t="str">
        <f t="shared" si="28"/>
        <v>oui</v>
      </c>
      <c r="L81" s="6" t="str">
        <f t="shared" si="29"/>
        <v>non</v>
      </c>
      <c r="M81" s="204">
        <f t="shared" si="30"/>
        <v>1607</v>
      </c>
      <c r="N81" s="204">
        <f t="shared" si="31"/>
        <v>0</v>
      </c>
      <c r="O81" s="204" t="str">
        <f t="shared" si="32"/>
        <v>non</v>
      </c>
      <c r="P81" s="6" t="b">
        <f t="shared" si="33"/>
        <v>0</v>
      </c>
      <c r="Q81" s="6">
        <f t="shared" si="41"/>
        <v>0</v>
      </c>
      <c r="R81" s="6">
        <f t="shared" si="42"/>
        <v>0</v>
      </c>
      <c r="T81" s="205" t="s">
        <v>196</v>
      </c>
      <c r="U81">
        <f t="shared" ca="1" si="34"/>
        <v>231</v>
      </c>
      <c r="V81">
        <f t="shared" ca="1" si="35"/>
        <v>0</v>
      </c>
      <c r="W81" t="b">
        <f t="shared" si="36"/>
        <v>0</v>
      </c>
      <c r="X81" s="6" t="str">
        <f t="shared" si="37"/>
        <v>non</v>
      </c>
      <c r="Y81">
        <f t="shared" si="38"/>
        <v>1607</v>
      </c>
      <c r="Z81" t="b">
        <f t="shared" si="39"/>
        <v>0</v>
      </c>
      <c r="AA81" s="206">
        <f t="shared" si="43"/>
        <v>1782</v>
      </c>
      <c r="AB81">
        <f t="shared" si="46"/>
        <v>0</v>
      </c>
      <c r="AC81">
        <f t="shared" si="47"/>
        <v>0</v>
      </c>
      <c r="AD81">
        <f t="shared" si="48"/>
        <v>1607</v>
      </c>
      <c r="AE81">
        <f t="shared" si="44"/>
        <v>25</v>
      </c>
      <c r="AF81">
        <f t="shared" si="40"/>
        <v>175</v>
      </c>
      <c r="AG81">
        <f t="shared" si="45"/>
        <v>25</v>
      </c>
      <c r="AH81">
        <f t="shared" si="25"/>
        <v>0</v>
      </c>
      <c r="AK81" s="205">
        <v>37251</v>
      </c>
      <c r="AL81" t="s">
        <v>506</v>
      </c>
      <c r="AQ81">
        <v>1100000005</v>
      </c>
      <c r="AR81">
        <v>30</v>
      </c>
      <c r="AS81">
        <v>0</v>
      </c>
    </row>
    <row r="82" spans="2:45" x14ac:dyDescent="0.25">
      <c r="B82" s="17">
        <v>400000022</v>
      </c>
      <c r="C82" s="3" t="s">
        <v>787</v>
      </c>
      <c r="D82" s="200">
        <v>44810</v>
      </c>
      <c r="E82">
        <v>35</v>
      </c>
      <c r="F82">
        <v>0</v>
      </c>
      <c r="G82" t="s">
        <v>273</v>
      </c>
      <c r="H82" s="203">
        <f t="shared" si="26"/>
        <v>1607</v>
      </c>
      <c r="I82" s="6">
        <f t="shared" si="27"/>
        <v>0</v>
      </c>
      <c r="J82" s="200">
        <f>'Synthèse Horaires'!$C$5</f>
        <v>46023</v>
      </c>
      <c r="K82" s="6" t="str">
        <f t="shared" si="28"/>
        <v>oui</v>
      </c>
      <c r="L82" s="6" t="str">
        <f t="shared" si="29"/>
        <v>non</v>
      </c>
      <c r="M82" s="204">
        <f t="shared" si="30"/>
        <v>1607</v>
      </c>
      <c r="N82" s="204">
        <f t="shared" si="31"/>
        <v>0</v>
      </c>
      <c r="O82" s="204" t="str">
        <f t="shared" si="32"/>
        <v>non</v>
      </c>
      <c r="P82" s="6" t="b">
        <f t="shared" si="33"/>
        <v>0</v>
      </c>
      <c r="Q82" s="6">
        <f t="shared" si="41"/>
        <v>0</v>
      </c>
      <c r="R82" s="6">
        <f t="shared" si="42"/>
        <v>0</v>
      </c>
      <c r="T82" s="205" t="s">
        <v>189</v>
      </c>
      <c r="U82">
        <f t="shared" ca="1" si="34"/>
        <v>1371</v>
      </c>
      <c r="V82">
        <f t="shared" ca="1" si="35"/>
        <v>0</v>
      </c>
      <c r="W82" t="b">
        <f t="shared" si="36"/>
        <v>0</v>
      </c>
      <c r="X82" s="6" t="str">
        <f t="shared" si="37"/>
        <v>non</v>
      </c>
      <c r="Y82">
        <f t="shared" si="38"/>
        <v>1607</v>
      </c>
      <c r="Z82" t="b">
        <f t="shared" si="39"/>
        <v>0</v>
      </c>
      <c r="AA82" s="206">
        <f t="shared" si="43"/>
        <v>1607</v>
      </c>
      <c r="AB82">
        <f t="shared" si="46"/>
        <v>0</v>
      </c>
      <c r="AC82">
        <f t="shared" si="47"/>
        <v>0</v>
      </c>
      <c r="AD82">
        <f t="shared" si="48"/>
        <v>1607</v>
      </c>
      <c r="AE82">
        <f t="shared" si="44"/>
        <v>0</v>
      </c>
      <c r="AF82">
        <f t="shared" si="40"/>
        <v>0</v>
      </c>
      <c r="AG82">
        <f t="shared" si="45"/>
        <v>0</v>
      </c>
      <c r="AH82">
        <f t="shared" si="25"/>
        <v>0</v>
      </c>
      <c r="AK82" s="205">
        <v>34278</v>
      </c>
      <c r="AL82" t="s">
        <v>514</v>
      </c>
      <c r="AQ82">
        <v>1100000018</v>
      </c>
      <c r="AR82">
        <v>0</v>
      </c>
      <c r="AS82">
        <v>0</v>
      </c>
    </row>
    <row r="83" spans="2:45" x14ac:dyDescent="0.25">
      <c r="B83" s="17">
        <v>2000000026</v>
      </c>
      <c r="C83" s="3" t="s">
        <v>733</v>
      </c>
      <c r="D83" s="200">
        <v>45598</v>
      </c>
      <c r="E83">
        <v>35</v>
      </c>
      <c r="F83">
        <v>0</v>
      </c>
      <c r="G83" t="s">
        <v>273</v>
      </c>
      <c r="H83" s="203">
        <f t="shared" si="26"/>
        <v>1607</v>
      </c>
      <c r="I83" s="6">
        <f t="shared" si="27"/>
        <v>0</v>
      </c>
      <c r="J83" s="200">
        <f>'Synthèse Horaires'!$C$5</f>
        <v>46023</v>
      </c>
      <c r="K83" s="6" t="str">
        <f t="shared" si="28"/>
        <v>oui</v>
      </c>
      <c r="L83" s="6" t="str">
        <f t="shared" si="29"/>
        <v>non</v>
      </c>
      <c r="M83" s="204">
        <f t="shared" si="30"/>
        <v>1607</v>
      </c>
      <c r="N83" s="204">
        <f t="shared" si="31"/>
        <v>0</v>
      </c>
      <c r="O83" s="204" t="str">
        <f t="shared" si="32"/>
        <v>non</v>
      </c>
      <c r="P83" s="6" t="b">
        <f t="shared" si="33"/>
        <v>0</v>
      </c>
      <c r="Q83" s="6">
        <f t="shared" si="41"/>
        <v>0</v>
      </c>
      <c r="R83" s="6">
        <f t="shared" si="42"/>
        <v>0</v>
      </c>
      <c r="T83" s="205" t="s">
        <v>606</v>
      </c>
      <c r="U83">
        <f t="shared" ca="1" si="34"/>
        <v>583</v>
      </c>
      <c r="V83">
        <f t="shared" ca="1" si="35"/>
        <v>0</v>
      </c>
      <c r="W83" t="b">
        <f t="shared" si="36"/>
        <v>0</v>
      </c>
      <c r="X83" s="6" t="str">
        <f t="shared" si="37"/>
        <v>non</v>
      </c>
      <c r="Y83">
        <f t="shared" si="38"/>
        <v>1607</v>
      </c>
      <c r="Z83" t="b">
        <f t="shared" si="39"/>
        <v>0</v>
      </c>
      <c r="AA83" s="206">
        <f t="shared" si="43"/>
        <v>1607</v>
      </c>
      <c r="AB83">
        <f t="shared" si="46"/>
        <v>0</v>
      </c>
      <c r="AC83">
        <f t="shared" si="47"/>
        <v>0</v>
      </c>
      <c r="AD83">
        <f t="shared" si="48"/>
        <v>1607</v>
      </c>
      <c r="AE83">
        <f t="shared" si="44"/>
        <v>0</v>
      </c>
      <c r="AF83">
        <f t="shared" si="40"/>
        <v>0</v>
      </c>
      <c r="AG83">
        <f t="shared" si="45"/>
        <v>0</v>
      </c>
      <c r="AH83">
        <f t="shared" si="25"/>
        <v>0</v>
      </c>
      <c r="AK83" s="205">
        <v>35020</v>
      </c>
      <c r="AL83" t="s">
        <v>734</v>
      </c>
      <c r="AQ83">
        <v>1100000020</v>
      </c>
      <c r="AR83">
        <v>30</v>
      </c>
      <c r="AS83">
        <v>0</v>
      </c>
    </row>
    <row r="84" spans="2:45" x14ac:dyDescent="0.25">
      <c r="B84" s="283">
        <v>100000044</v>
      </c>
      <c r="C84" s="284" t="s">
        <v>753</v>
      </c>
      <c r="D84" s="282">
        <v>45915</v>
      </c>
      <c r="E84" s="285">
        <v>35</v>
      </c>
      <c r="F84" s="285">
        <v>0</v>
      </c>
      <c r="G84" s="285" t="s">
        <v>273</v>
      </c>
      <c r="H84" s="203">
        <f t="shared" si="26"/>
        <v>1607</v>
      </c>
      <c r="I84" s="6">
        <f t="shared" si="27"/>
        <v>0</v>
      </c>
      <c r="J84" s="200">
        <f>'Synthèse Horaires'!$C$5</f>
        <v>46023</v>
      </c>
      <c r="K84" s="6" t="str">
        <f t="shared" si="28"/>
        <v>oui</v>
      </c>
      <c r="L84" s="6" t="str">
        <f t="shared" si="29"/>
        <v>non</v>
      </c>
      <c r="M84" s="204">
        <f t="shared" si="30"/>
        <v>1607</v>
      </c>
      <c r="N84" s="204">
        <f t="shared" si="31"/>
        <v>0</v>
      </c>
      <c r="O84" s="204" t="str">
        <f t="shared" si="32"/>
        <v>non</v>
      </c>
      <c r="P84" s="6" t="b">
        <f t="shared" si="33"/>
        <v>0</v>
      </c>
      <c r="Q84" s="6">
        <f t="shared" si="41"/>
        <v>0</v>
      </c>
      <c r="R84" s="6">
        <f t="shared" si="42"/>
        <v>0</v>
      </c>
      <c r="T84" s="205" t="s">
        <v>196</v>
      </c>
      <c r="U84">
        <f t="shared" ca="1" si="34"/>
        <v>266</v>
      </c>
      <c r="V84">
        <f t="shared" ca="1" si="35"/>
        <v>0</v>
      </c>
      <c r="W84" t="b">
        <f t="shared" si="36"/>
        <v>0</v>
      </c>
      <c r="X84" s="6" t="str">
        <f t="shared" si="37"/>
        <v>non</v>
      </c>
      <c r="Y84">
        <f t="shared" si="38"/>
        <v>1607</v>
      </c>
      <c r="Z84" t="b">
        <f t="shared" si="39"/>
        <v>0</v>
      </c>
      <c r="AA84" s="206">
        <f t="shared" si="43"/>
        <v>1677</v>
      </c>
      <c r="AB84">
        <f t="shared" si="46"/>
        <v>0</v>
      </c>
      <c r="AC84">
        <f t="shared" si="47"/>
        <v>0</v>
      </c>
      <c r="AD84">
        <f t="shared" si="48"/>
        <v>1607</v>
      </c>
      <c r="AE84">
        <f t="shared" si="44"/>
        <v>10</v>
      </c>
      <c r="AF84">
        <f t="shared" si="40"/>
        <v>70</v>
      </c>
      <c r="AG84">
        <f t="shared" si="45"/>
        <v>10</v>
      </c>
      <c r="AH84">
        <f t="shared" si="25"/>
        <v>0</v>
      </c>
      <c r="AK84" s="205">
        <v>33090</v>
      </c>
      <c r="AL84" t="s">
        <v>509</v>
      </c>
      <c r="AQ84">
        <v>1100000040</v>
      </c>
      <c r="AR84">
        <v>30</v>
      </c>
      <c r="AS84">
        <v>0</v>
      </c>
    </row>
    <row r="85" spans="2:45" x14ac:dyDescent="0.25">
      <c r="B85" s="283">
        <v>5000000040</v>
      </c>
      <c r="C85" s="284" t="s">
        <v>738</v>
      </c>
      <c r="D85" s="282">
        <v>45693</v>
      </c>
      <c r="E85" s="285">
        <v>35</v>
      </c>
      <c r="F85" s="285">
        <v>0</v>
      </c>
      <c r="G85" s="285" t="s">
        <v>273</v>
      </c>
      <c r="H85" s="203">
        <f t="shared" si="26"/>
        <v>1607</v>
      </c>
      <c r="I85" s="6">
        <f t="shared" si="27"/>
        <v>0</v>
      </c>
      <c r="J85" s="200">
        <f>'Synthèse Horaires'!$C$5</f>
        <v>46023</v>
      </c>
      <c r="K85" s="6" t="str">
        <f t="shared" si="28"/>
        <v>oui</v>
      </c>
      <c r="L85" s="6" t="str">
        <f t="shared" si="29"/>
        <v>non</v>
      </c>
      <c r="M85" s="204">
        <f t="shared" si="30"/>
        <v>1607</v>
      </c>
      <c r="N85" s="204">
        <f t="shared" si="31"/>
        <v>0</v>
      </c>
      <c r="O85" s="204" t="str">
        <f t="shared" si="32"/>
        <v>non</v>
      </c>
      <c r="P85" s="6" t="b">
        <f t="shared" si="33"/>
        <v>0</v>
      </c>
      <c r="Q85" s="6">
        <f t="shared" si="41"/>
        <v>0</v>
      </c>
      <c r="R85" s="6">
        <f t="shared" si="42"/>
        <v>0</v>
      </c>
      <c r="S85" t="s">
        <v>341</v>
      </c>
      <c r="T85" s="205" t="s">
        <v>458</v>
      </c>
      <c r="U85">
        <f t="shared" ca="1" si="34"/>
        <v>488</v>
      </c>
      <c r="V85">
        <f t="shared" ca="1" si="35"/>
        <v>0</v>
      </c>
      <c r="W85" t="b">
        <f t="shared" si="36"/>
        <v>0</v>
      </c>
      <c r="X85" s="6" t="str">
        <f t="shared" si="37"/>
        <v>non</v>
      </c>
      <c r="Y85">
        <f t="shared" si="38"/>
        <v>1607</v>
      </c>
      <c r="Z85" t="b">
        <f t="shared" si="39"/>
        <v>0</v>
      </c>
      <c r="AA85" s="206">
        <f>(IF(Y85=FALSE(),(Z85+AB85),(AD85)))+AF85+AH85+AI85</f>
        <v>1607</v>
      </c>
      <c r="AB85">
        <f t="shared" si="46"/>
        <v>0</v>
      </c>
      <c r="AC85">
        <f>IF(AND(G85="Employé",L85="oui"),(30*(Y85/H85)),0)</f>
        <v>0</v>
      </c>
      <c r="AD85" s="10">
        <f>Y85+(AC85*(E85/6))</f>
        <v>1607</v>
      </c>
      <c r="AE85">
        <f t="shared" si="44"/>
        <v>0</v>
      </c>
      <c r="AF85">
        <f>IF(AND(G85="Employé",L85="oui"),0,(AE85*(E85/5)))</f>
        <v>0</v>
      </c>
      <c r="AG85">
        <f t="shared" si="45"/>
        <v>0</v>
      </c>
      <c r="AH85">
        <f t="shared" si="25"/>
        <v>0</v>
      </c>
      <c r="AK85" s="205">
        <v>37677</v>
      </c>
      <c r="AL85" t="s">
        <v>508</v>
      </c>
      <c r="AQ85">
        <v>1100000042</v>
      </c>
      <c r="AR85">
        <v>30</v>
      </c>
      <c r="AS85">
        <v>0</v>
      </c>
    </row>
    <row r="86" spans="2:45" x14ac:dyDescent="0.25">
      <c r="B86" s="17">
        <v>200000037</v>
      </c>
      <c r="C86" s="3" t="s">
        <v>702</v>
      </c>
      <c r="D86" s="200">
        <v>45418</v>
      </c>
      <c r="E86">
        <v>35</v>
      </c>
      <c r="F86">
        <v>0</v>
      </c>
      <c r="G86" t="s">
        <v>273</v>
      </c>
      <c r="H86" s="203">
        <f t="shared" si="26"/>
        <v>1607</v>
      </c>
      <c r="I86" s="6">
        <f t="shared" si="27"/>
        <v>0</v>
      </c>
      <c r="J86" s="200">
        <f>'Synthèse Horaires'!$C$5</f>
        <v>46023</v>
      </c>
      <c r="K86" s="6" t="str">
        <f t="shared" si="28"/>
        <v>oui</v>
      </c>
      <c r="L86" s="6" t="str">
        <f t="shared" si="29"/>
        <v>non</v>
      </c>
      <c r="M86" s="204">
        <f t="shared" si="30"/>
        <v>1607</v>
      </c>
      <c r="N86" s="204">
        <f t="shared" si="31"/>
        <v>0</v>
      </c>
      <c r="O86" s="204" t="str">
        <f t="shared" si="32"/>
        <v>non</v>
      </c>
      <c r="P86" s="6" t="b">
        <f t="shared" si="33"/>
        <v>0</v>
      </c>
      <c r="Q86" s="6">
        <f t="shared" si="41"/>
        <v>0</v>
      </c>
      <c r="R86" s="6">
        <f t="shared" si="42"/>
        <v>0</v>
      </c>
      <c r="T86" s="205" t="s">
        <v>404</v>
      </c>
      <c r="U86">
        <f t="shared" ca="1" si="34"/>
        <v>763</v>
      </c>
      <c r="V86">
        <f t="shared" ca="1" si="35"/>
        <v>0</v>
      </c>
      <c r="W86" t="b">
        <f t="shared" si="36"/>
        <v>0</v>
      </c>
      <c r="X86" s="6" t="str">
        <f t="shared" si="37"/>
        <v>non</v>
      </c>
      <c r="Y86">
        <f t="shared" si="38"/>
        <v>1607</v>
      </c>
      <c r="Z86" t="b">
        <f t="shared" si="39"/>
        <v>0</v>
      </c>
      <c r="AA86" s="206">
        <f t="shared" si="43"/>
        <v>1607</v>
      </c>
      <c r="AB86">
        <f t="shared" ref="AB86:AB140" si="49">IF(AND(L86="oui",G86="Cadre"),(30*(Z86/F86)),0)</f>
        <v>0</v>
      </c>
      <c r="AC86">
        <f t="shared" ref="AC86:AC140" si="50">IF(AND(G86="Employé",L86="oui"),(30*(Y86/H86)),0)</f>
        <v>0</v>
      </c>
      <c r="AD86">
        <f t="shared" ref="AD86:AD140" si="51">Y86+(AC86*(E86/6))</f>
        <v>1607</v>
      </c>
      <c r="AE86">
        <f t="shared" si="44"/>
        <v>0</v>
      </c>
      <c r="AF86">
        <f t="shared" ref="AF86:AF149" si="52">IF(AND(G86="Employé",L86="oui"),0,(AE86*(E86/5)))</f>
        <v>0</v>
      </c>
      <c r="AG86">
        <f t="shared" si="45"/>
        <v>0</v>
      </c>
      <c r="AH86">
        <f t="shared" si="25"/>
        <v>0</v>
      </c>
      <c r="AK86" s="205">
        <v>32041</v>
      </c>
      <c r="AL86" t="s">
        <v>506</v>
      </c>
      <c r="AQ86">
        <v>1200000005</v>
      </c>
      <c r="AR86">
        <v>30</v>
      </c>
      <c r="AS86">
        <v>0</v>
      </c>
    </row>
    <row r="87" spans="2:45" x14ac:dyDescent="0.25">
      <c r="B87" s="283">
        <v>1000000068</v>
      </c>
      <c r="C87" s="284" t="s">
        <v>777</v>
      </c>
      <c r="D87" s="282">
        <v>46041</v>
      </c>
      <c r="E87" s="285">
        <v>35</v>
      </c>
      <c r="F87" s="285">
        <v>0</v>
      </c>
      <c r="G87" s="285" t="s">
        <v>273</v>
      </c>
      <c r="H87" s="203">
        <f t="shared" si="26"/>
        <v>1607</v>
      </c>
      <c r="I87" s="6">
        <f t="shared" si="27"/>
        <v>0</v>
      </c>
      <c r="J87" s="200">
        <f>'Synthèse Horaires'!$C$5</f>
        <v>46023</v>
      </c>
      <c r="K87" s="6" t="str">
        <f t="shared" si="28"/>
        <v>oui</v>
      </c>
      <c r="L87" s="6" t="str">
        <f t="shared" si="29"/>
        <v>non</v>
      </c>
      <c r="M87" s="204">
        <f t="shared" si="30"/>
        <v>1607</v>
      </c>
      <c r="N87" s="204">
        <f t="shared" si="31"/>
        <v>0</v>
      </c>
      <c r="O87" s="204" t="str">
        <f t="shared" si="32"/>
        <v>non</v>
      </c>
      <c r="P87" s="6" t="b">
        <f t="shared" si="33"/>
        <v>0</v>
      </c>
      <c r="Q87" s="6">
        <f t="shared" si="41"/>
        <v>0</v>
      </c>
      <c r="R87" s="6">
        <f t="shared" si="42"/>
        <v>0</v>
      </c>
      <c r="T87" s="205" t="s">
        <v>193</v>
      </c>
      <c r="U87">
        <f t="shared" ca="1" si="34"/>
        <v>140</v>
      </c>
      <c r="V87">
        <f t="shared" ca="1" si="35"/>
        <v>0</v>
      </c>
      <c r="W87" t="b">
        <f t="shared" si="36"/>
        <v>0</v>
      </c>
      <c r="X87" s="6" t="str">
        <f t="shared" si="37"/>
        <v>non</v>
      </c>
      <c r="Y87">
        <f t="shared" si="38"/>
        <v>1607</v>
      </c>
      <c r="Z87" t="b">
        <f t="shared" si="39"/>
        <v>0</v>
      </c>
      <c r="AA87" s="206">
        <f t="shared" si="43"/>
        <v>1733</v>
      </c>
      <c r="AB87">
        <f t="shared" si="49"/>
        <v>0</v>
      </c>
      <c r="AC87">
        <f t="shared" si="50"/>
        <v>0</v>
      </c>
      <c r="AD87">
        <f t="shared" si="51"/>
        <v>1607</v>
      </c>
      <c r="AE87">
        <f t="shared" si="44"/>
        <v>18</v>
      </c>
      <c r="AF87">
        <f t="shared" si="52"/>
        <v>126</v>
      </c>
      <c r="AG87">
        <f t="shared" si="45"/>
        <v>18</v>
      </c>
      <c r="AH87">
        <f t="shared" si="25"/>
        <v>0</v>
      </c>
      <c r="AK87" s="205">
        <v>31250</v>
      </c>
      <c r="AL87" t="s">
        <v>514</v>
      </c>
      <c r="AQ87">
        <v>1200000015</v>
      </c>
      <c r="AR87">
        <v>30</v>
      </c>
      <c r="AS87">
        <v>0</v>
      </c>
    </row>
    <row r="88" spans="2:45" x14ac:dyDescent="0.25">
      <c r="B88" s="283">
        <v>1100000045</v>
      </c>
      <c r="C88" s="284" t="s">
        <v>736</v>
      </c>
      <c r="D88" s="282">
        <v>45628</v>
      </c>
      <c r="E88" s="285">
        <v>35</v>
      </c>
      <c r="F88" s="285">
        <v>0</v>
      </c>
      <c r="G88" s="285" t="s">
        <v>273</v>
      </c>
      <c r="H88" s="203">
        <f t="shared" si="26"/>
        <v>1607</v>
      </c>
      <c r="I88" s="6">
        <f t="shared" si="27"/>
        <v>0</v>
      </c>
      <c r="J88" s="200">
        <f>'Synthèse Horaires'!$C$5</f>
        <v>46023</v>
      </c>
      <c r="K88" s="6" t="str">
        <f t="shared" si="28"/>
        <v>oui</v>
      </c>
      <c r="L88" s="6" t="str">
        <f t="shared" si="29"/>
        <v>non</v>
      </c>
      <c r="M88" s="204">
        <f t="shared" si="30"/>
        <v>1607</v>
      </c>
      <c r="N88" s="204">
        <f t="shared" si="31"/>
        <v>0</v>
      </c>
      <c r="O88" s="204" t="str">
        <f t="shared" si="32"/>
        <v>non</v>
      </c>
      <c r="P88" s="6" t="b">
        <f t="shared" si="33"/>
        <v>0</v>
      </c>
      <c r="Q88" s="6">
        <f t="shared" si="41"/>
        <v>0</v>
      </c>
      <c r="R88" s="6">
        <f t="shared" si="42"/>
        <v>0</v>
      </c>
      <c r="T88" s="205" t="s">
        <v>190</v>
      </c>
      <c r="U88">
        <f t="shared" ca="1" si="34"/>
        <v>553</v>
      </c>
      <c r="V88">
        <f t="shared" ca="1" si="35"/>
        <v>0</v>
      </c>
      <c r="W88" t="b">
        <f t="shared" si="36"/>
        <v>0</v>
      </c>
      <c r="X88" s="6" t="str">
        <f t="shared" si="37"/>
        <v>non</v>
      </c>
      <c r="Y88">
        <f t="shared" si="38"/>
        <v>1607</v>
      </c>
      <c r="Z88" t="b">
        <f t="shared" si="39"/>
        <v>0</v>
      </c>
      <c r="AA88" s="206">
        <f t="shared" si="43"/>
        <v>1607</v>
      </c>
      <c r="AB88">
        <f t="shared" si="49"/>
        <v>0</v>
      </c>
      <c r="AC88">
        <f t="shared" si="50"/>
        <v>0</v>
      </c>
      <c r="AD88">
        <f t="shared" si="51"/>
        <v>1607</v>
      </c>
      <c r="AE88">
        <f t="shared" si="44"/>
        <v>0</v>
      </c>
      <c r="AF88">
        <f t="shared" si="52"/>
        <v>0</v>
      </c>
      <c r="AG88">
        <f t="shared" si="45"/>
        <v>0</v>
      </c>
      <c r="AH88">
        <f t="shared" si="25"/>
        <v>0</v>
      </c>
      <c r="AK88" s="205">
        <v>36568</v>
      </c>
      <c r="AL88" t="s">
        <v>506</v>
      </c>
      <c r="AQ88">
        <v>1200000016</v>
      </c>
      <c r="AR88">
        <v>30</v>
      </c>
      <c r="AS88">
        <v>0</v>
      </c>
    </row>
    <row r="89" spans="2:45" x14ac:dyDescent="0.25">
      <c r="B89" s="283">
        <v>5000000034</v>
      </c>
      <c r="C89" s="284" t="s">
        <v>783</v>
      </c>
      <c r="D89" s="282">
        <v>46090</v>
      </c>
      <c r="E89" s="285">
        <v>35</v>
      </c>
      <c r="F89" s="285">
        <v>0</v>
      </c>
      <c r="G89" s="285" t="s">
        <v>273</v>
      </c>
      <c r="H89" s="203">
        <f t="shared" si="26"/>
        <v>1607</v>
      </c>
      <c r="I89" s="6">
        <f t="shared" si="27"/>
        <v>0</v>
      </c>
      <c r="J89" s="200">
        <f>'Synthèse Horaires'!$C$5</f>
        <v>46023</v>
      </c>
      <c r="K89" s="6" t="str">
        <f t="shared" si="28"/>
        <v>oui</v>
      </c>
      <c r="L89" s="6" t="str">
        <f t="shared" si="29"/>
        <v>non</v>
      </c>
      <c r="M89" s="204">
        <f t="shared" si="30"/>
        <v>1607</v>
      </c>
      <c r="N89" s="204">
        <f t="shared" si="31"/>
        <v>0</v>
      </c>
      <c r="O89" s="204" t="str">
        <f t="shared" si="32"/>
        <v>non</v>
      </c>
      <c r="P89" s="6" t="b">
        <f t="shared" si="33"/>
        <v>0</v>
      </c>
      <c r="Q89" s="6">
        <f t="shared" si="41"/>
        <v>0</v>
      </c>
      <c r="R89" s="6">
        <f t="shared" si="42"/>
        <v>0</v>
      </c>
      <c r="T89" s="205" t="s">
        <v>458</v>
      </c>
      <c r="U89">
        <f t="shared" ca="1" si="34"/>
        <v>91</v>
      </c>
      <c r="V89">
        <f t="shared" ca="1" si="35"/>
        <v>0</v>
      </c>
      <c r="W89" t="b">
        <f t="shared" si="36"/>
        <v>0</v>
      </c>
      <c r="X89" s="6" t="str">
        <f t="shared" si="37"/>
        <v>non</v>
      </c>
      <c r="Y89">
        <f t="shared" si="38"/>
        <v>1607</v>
      </c>
      <c r="Z89" t="b">
        <f t="shared" si="39"/>
        <v>0</v>
      </c>
      <c r="AA89" s="206">
        <f t="shared" si="43"/>
        <v>1817</v>
      </c>
      <c r="AB89">
        <f t="shared" si="49"/>
        <v>0</v>
      </c>
      <c r="AC89">
        <f t="shared" si="50"/>
        <v>0</v>
      </c>
      <c r="AD89">
        <f t="shared" si="51"/>
        <v>1607</v>
      </c>
      <c r="AE89">
        <f t="shared" si="44"/>
        <v>30</v>
      </c>
      <c r="AF89">
        <f t="shared" si="52"/>
        <v>210</v>
      </c>
      <c r="AG89">
        <f t="shared" si="45"/>
        <v>30</v>
      </c>
      <c r="AH89">
        <f t="shared" si="25"/>
        <v>0</v>
      </c>
      <c r="AK89" s="205">
        <v>38397</v>
      </c>
      <c r="AL89" t="s">
        <v>784</v>
      </c>
      <c r="AQ89">
        <v>1200000031</v>
      </c>
      <c r="AR89">
        <v>30</v>
      </c>
      <c r="AS89">
        <v>0</v>
      </c>
    </row>
    <row r="90" spans="2:45" x14ac:dyDescent="0.25">
      <c r="B90" s="17">
        <v>600000035</v>
      </c>
      <c r="C90" s="3" t="s">
        <v>720</v>
      </c>
      <c r="D90" s="200">
        <v>45505</v>
      </c>
      <c r="E90">
        <v>25</v>
      </c>
      <c r="F90">
        <v>0</v>
      </c>
      <c r="G90" t="s">
        <v>273</v>
      </c>
      <c r="H90" s="203">
        <f t="shared" si="26"/>
        <v>1147</v>
      </c>
      <c r="I90" s="6">
        <f t="shared" si="27"/>
        <v>0</v>
      </c>
      <c r="J90" s="200">
        <f>'Synthèse Horaires'!$C$5</f>
        <v>46023</v>
      </c>
      <c r="K90" s="6" t="str">
        <f t="shared" si="28"/>
        <v>oui</v>
      </c>
      <c r="L90" s="6" t="str">
        <f t="shared" si="29"/>
        <v>non</v>
      </c>
      <c r="M90" s="204">
        <f t="shared" si="30"/>
        <v>1147</v>
      </c>
      <c r="N90" s="204">
        <f t="shared" si="31"/>
        <v>0</v>
      </c>
      <c r="O90" s="204" t="str">
        <f t="shared" si="32"/>
        <v>non</v>
      </c>
      <c r="P90" s="6" t="b">
        <f t="shared" si="33"/>
        <v>0</v>
      </c>
      <c r="Q90" s="6">
        <f t="shared" si="41"/>
        <v>0</v>
      </c>
      <c r="R90" s="6">
        <f t="shared" si="42"/>
        <v>0</v>
      </c>
      <c r="T90" s="205" t="s">
        <v>194</v>
      </c>
      <c r="U90">
        <f t="shared" ca="1" si="34"/>
        <v>676</v>
      </c>
      <c r="V90">
        <f t="shared" ca="1" si="35"/>
        <v>0</v>
      </c>
      <c r="W90" t="b">
        <f t="shared" si="36"/>
        <v>0</v>
      </c>
      <c r="X90" s="6">
        <f t="shared" si="37"/>
        <v>25</v>
      </c>
      <c r="Y90">
        <f t="shared" si="38"/>
        <v>1147</v>
      </c>
      <c r="Z90" t="b">
        <f t="shared" si="39"/>
        <v>0</v>
      </c>
      <c r="AA90" s="206">
        <f t="shared" si="43"/>
        <v>1147</v>
      </c>
      <c r="AB90">
        <f t="shared" si="49"/>
        <v>0</v>
      </c>
      <c r="AC90">
        <f t="shared" si="50"/>
        <v>0</v>
      </c>
      <c r="AD90">
        <f t="shared" si="51"/>
        <v>1147</v>
      </c>
      <c r="AE90">
        <f t="shared" si="44"/>
        <v>0</v>
      </c>
      <c r="AF90">
        <f t="shared" si="52"/>
        <v>0</v>
      </c>
      <c r="AG90">
        <f t="shared" si="45"/>
        <v>0</v>
      </c>
      <c r="AH90">
        <f t="shared" si="25"/>
        <v>0</v>
      </c>
      <c r="AK90" s="205">
        <v>32483</v>
      </c>
      <c r="AL90" t="s">
        <v>508</v>
      </c>
      <c r="AQ90">
        <v>1200000035</v>
      </c>
      <c r="AR90">
        <v>42</v>
      </c>
      <c r="AS90">
        <v>0</v>
      </c>
    </row>
    <row r="91" spans="2:45" x14ac:dyDescent="0.25">
      <c r="B91" s="17">
        <v>900000023</v>
      </c>
      <c r="C91" s="3" t="s">
        <v>680</v>
      </c>
      <c r="D91" s="200">
        <v>45103</v>
      </c>
      <c r="E91">
        <v>35</v>
      </c>
      <c r="F91">
        <v>0</v>
      </c>
      <c r="G91" t="s">
        <v>273</v>
      </c>
      <c r="H91" s="203">
        <f t="shared" si="26"/>
        <v>1607</v>
      </c>
      <c r="I91" s="6">
        <f t="shared" si="27"/>
        <v>0</v>
      </c>
      <c r="J91" s="200">
        <f>'Synthèse Horaires'!$C$5</f>
        <v>46023</v>
      </c>
      <c r="K91" s="6" t="str">
        <f t="shared" si="28"/>
        <v>oui</v>
      </c>
      <c r="L91" s="6" t="str">
        <f t="shared" si="29"/>
        <v>non</v>
      </c>
      <c r="M91" s="204">
        <f t="shared" si="30"/>
        <v>1607</v>
      </c>
      <c r="N91" s="204">
        <f t="shared" si="31"/>
        <v>0</v>
      </c>
      <c r="O91" s="204" t="str">
        <f t="shared" si="32"/>
        <v>non</v>
      </c>
      <c r="P91" s="6" t="b">
        <f t="shared" si="33"/>
        <v>0</v>
      </c>
      <c r="Q91" s="6">
        <f t="shared" si="41"/>
        <v>0</v>
      </c>
      <c r="R91" s="6">
        <f t="shared" si="42"/>
        <v>0</v>
      </c>
      <c r="T91" s="205" t="s">
        <v>198</v>
      </c>
      <c r="U91">
        <f t="shared" ca="1" si="34"/>
        <v>1078</v>
      </c>
      <c r="V91">
        <f t="shared" ca="1" si="35"/>
        <v>0</v>
      </c>
      <c r="W91" t="b">
        <f t="shared" si="36"/>
        <v>0</v>
      </c>
      <c r="X91" s="6" t="str">
        <f t="shared" si="37"/>
        <v>non</v>
      </c>
      <c r="Y91">
        <f t="shared" si="38"/>
        <v>1607</v>
      </c>
      <c r="Z91" t="b">
        <f t="shared" si="39"/>
        <v>0</v>
      </c>
      <c r="AA91" s="206">
        <f t="shared" si="43"/>
        <v>1614</v>
      </c>
      <c r="AB91">
        <f t="shared" si="49"/>
        <v>0</v>
      </c>
      <c r="AC91">
        <f t="shared" si="50"/>
        <v>0</v>
      </c>
      <c r="AD91">
        <f t="shared" si="51"/>
        <v>1607</v>
      </c>
      <c r="AE91">
        <f t="shared" si="44"/>
        <v>1</v>
      </c>
      <c r="AF91">
        <f t="shared" si="52"/>
        <v>7</v>
      </c>
      <c r="AG91">
        <f t="shared" si="45"/>
        <v>1</v>
      </c>
      <c r="AH91">
        <f t="shared" si="25"/>
        <v>0</v>
      </c>
      <c r="AK91" s="205">
        <v>27409</v>
      </c>
      <c r="AL91" t="s">
        <v>508</v>
      </c>
      <c r="AQ91">
        <v>1200000039</v>
      </c>
      <c r="AR91">
        <v>30</v>
      </c>
      <c r="AS91">
        <v>0</v>
      </c>
    </row>
    <row r="92" spans="2:45" x14ac:dyDescent="0.25">
      <c r="B92" s="283">
        <v>400000026</v>
      </c>
      <c r="C92" s="284" t="s">
        <v>754</v>
      </c>
      <c r="D92" s="282">
        <v>45902</v>
      </c>
      <c r="E92" s="285">
        <v>35</v>
      </c>
      <c r="F92" s="285">
        <v>0</v>
      </c>
      <c r="G92" s="285" t="s">
        <v>273</v>
      </c>
      <c r="H92" s="203">
        <f t="shared" si="26"/>
        <v>1607</v>
      </c>
      <c r="I92" s="6">
        <f t="shared" si="27"/>
        <v>0</v>
      </c>
      <c r="J92" s="200">
        <f>'Synthèse Horaires'!$C$5</f>
        <v>46023</v>
      </c>
      <c r="K92" s="6" t="str">
        <f t="shared" si="28"/>
        <v>oui</v>
      </c>
      <c r="L92" s="6" t="str">
        <f t="shared" si="29"/>
        <v>non</v>
      </c>
      <c r="M92" s="204">
        <f t="shared" si="30"/>
        <v>1607</v>
      </c>
      <c r="N92" s="204">
        <f t="shared" si="31"/>
        <v>0</v>
      </c>
      <c r="O92" s="204" t="str">
        <f t="shared" si="32"/>
        <v>non</v>
      </c>
      <c r="P92" s="6" t="b">
        <f t="shared" si="33"/>
        <v>0</v>
      </c>
      <c r="Q92" s="6">
        <f t="shared" si="41"/>
        <v>0</v>
      </c>
      <c r="R92" s="6">
        <f t="shared" si="42"/>
        <v>0</v>
      </c>
      <c r="T92" s="205" t="s">
        <v>189</v>
      </c>
      <c r="U92">
        <f t="shared" ca="1" si="34"/>
        <v>279</v>
      </c>
      <c r="V92">
        <f t="shared" ca="1" si="35"/>
        <v>0</v>
      </c>
      <c r="W92" t="b">
        <f t="shared" si="36"/>
        <v>0</v>
      </c>
      <c r="X92" s="6" t="str">
        <f t="shared" si="37"/>
        <v>non</v>
      </c>
      <c r="Y92">
        <f t="shared" si="38"/>
        <v>1607</v>
      </c>
      <c r="Z92" t="b">
        <f t="shared" si="39"/>
        <v>0</v>
      </c>
      <c r="AA92" s="206">
        <f t="shared" si="43"/>
        <v>1656</v>
      </c>
      <c r="AB92">
        <f t="shared" si="49"/>
        <v>0</v>
      </c>
      <c r="AC92">
        <f t="shared" si="50"/>
        <v>0</v>
      </c>
      <c r="AD92">
        <f t="shared" si="51"/>
        <v>1607</v>
      </c>
      <c r="AE92">
        <f t="shared" si="44"/>
        <v>7</v>
      </c>
      <c r="AF92">
        <f t="shared" si="52"/>
        <v>49</v>
      </c>
      <c r="AG92">
        <f t="shared" si="45"/>
        <v>7</v>
      </c>
      <c r="AH92">
        <f t="shared" si="25"/>
        <v>0</v>
      </c>
      <c r="AK92" s="205">
        <v>39332</v>
      </c>
      <c r="AL92" t="s">
        <v>539</v>
      </c>
      <c r="AQ92">
        <v>1200000048</v>
      </c>
      <c r="AR92">
        <v>48</v>
      </c>
      <c r="AS92">
        <v>0</v>
      </c>
    </row>
    <row r="93" spans="2:45" x14ac:dyDescent="0.25">
      <c r="B93" s="283">
        <v>4100000005</v>
      </c>
      <c r="C93" s="284" t="s">
        <v>804</v>
      </c>
      <c r="D93" s="282">
        <v>46182</v>
      </c>
      <c r="E93" s="285">
        <v>35</v>
      </c>
      <c r="F93" s="285">
        <v>0</v>
      </c>
      <c r="G93" s="285" t="s">
        <v>273</v>
      </c>
      <c r="H93" s="203">
        <f t="shared" si="26"/>
        <v>1607</v>
      </c>
      <c r="I93" s="6">
        <f t="shared" si="27"/>
        <v>0</v>
      </c>
      <c r="J93" s="200">
        <f>'Synthèse Horaires'!$C$5</f>
        <v>46023</v>
      </c>
      <c r="K93" s="6" t="str">
        <f t="shared" si="28"/>
        <v>non</v>
      </c>
      <c r="L93" s="6" t="str">
        <f t="shared" si="29"/>
        <v>oui</v>
      </c>
      <c r="M93" s="204" t="str">
        <f t="shared" si="30"/>
        <v>non</v>
      </c>
      <c r="N93" s="204">
        <f t="shared" si="31"/>
        <v>1571.7780821917809</v>
      </c>
      <c r="O93" s="204" t="str">
        <f t="shared" si="32"/>
        <v>non</v>
      </c>
      <c r="P93" s="6" t="b">
        <f t="shared" si="33"/>
        <v>0</v>
      </c>
      <c r="Q93" s="6">
        <f t="shared" si="41"/>
        <v>0</v>
      </c>
      <c r="R93" s="6">
        <f t="shared" si="42"/>
        <v>0</v>
      </c>
      <c r="T93" s="205" t="s">
        <v>729</v>
      </c>
      <c r="U93">
        <f t="shared" ca="1" si="34"/>
        <v>-1</v>
      </c>
      <c r="V93">
        <f t="shared" ca="1" si="35"/>
        <v>0</v>
      </c>
      <c r="W93" t="b">
        <f t="shared" si="36"/>
        <v>0</v>
      </c>
      <c r="X93" s="6" t="str">
        <f t="shared" si="37"/>
        <v>non</v>
      </c>
      <c r="Y93">
        <f t="shared" si="38"/>
        <v>1571.7780821917809</v>
      </c>
      <c r="Z93" t="b">
        <f t="shared" si="39"/>
        <v>0</v>
      </c>
      <c r="AA93" s="206">
        <f t="shared" si="43"/>
        <v>1742.9424657534246</v>
      </c>
      <c r="AB93">
        <f t="shared" si="49"/>
        <v>0</v>
      </c>
      <c r="AC93">
        <f t="shared" si="50"/>
        <v>29.342465753424658</v>
      </c>
      <c r="AD93">
        <f t="shared" si="51"/>
        <v>1742.9424657534246</v>
      </c>
      <c r="AE93">
        <f t="shared" si="44"/>
        <v>0</v>
      </c>
      <c r="AF93">
        <f t="shared" si="52"/>
        <v>0</v>
      </c>
      <c r="AG93">
        <f t="shared" si="45"/>
        <v>0</v>
      </c>
      <c r="AH93">
        <f t="shared" si="25"/>
        <v>0</v>
      </c>
      <c r="AK93" s="205">
        <v>37475</v>
      </c>
      <c r="AL93" t="s">
        <v>670</v>
      </c>
      <c r="AQ93">
        <v>1300000002</v>
      </c>
      <c r="AR93">
        <v>30</v>
      </c>
      <c r="AS93">
        <v>0</v>
      </c>
    </row>
    <row r="94" spans="2:45" x14ac:dyDescent="0.25">
      <c r="B94" s="17">
        <v>800000038</v>
      </c>
      <c r="C94" s="3" t="s">
        <v>721</v>
      </c>
      <c r="D94" s="200">
        <v>45502</v>
      </c>
      <c r="E94">
        <v>35</v>
      </c>
      <c r="F94">
        <v>0</v>
      </c>
      <c r="G94" t="s">
        <v>273</v>
      </c>
      <c r="H94" s="203">
        <f t="shared" si="26"/>
        <v>1607</v>
      </c>
      <c r="I94" s="6">
        <f t="shared" si="27"/>
        <v>0</v>
      </c>
      <c r="J94" s="200">
        <f>'Synthèse Horaires'!$C$5</f>
        <v>46023</v>
      </c>
      <c r="K94" s="6" t="str">
        <f t="shared" si="28"/>
        <v>oui</v>
      </c>
      <c r="L94" s="6" t="str">
        <f t="shared" si="29"/>
        <v>non</v>
      </c>
      <c r="M94" s="204">
        <f t="shared" si="30"/>
        <v>1607</v>
      </c>
      <c r="N94" s="204">
        <f t="shared" si="31"/>
        <v>0</v>
      </c>
      <c r="O94" s="204" t="str">
        <f t="shared" si="32"/>
        <v>non</v>
      </c>
      <c r="P94" s="6" t="b">
        <f t="shared" si="33"/>
        <v>0</v>
      </c>
      <c r="Q94" s="6">
        <f t="shared" si="41"/>
        <v>0</v>
      </c>
      <c r="R94" s="6">
        <f t="shared" si="42"/>
        <v>0</v>
      </c>
      <c r="T94" s="205" t="s">
        <v>192</v>
      </c>
      <c r="U94">
        <f t="shared" ca="1" si="34"/>
        <v>679</v>
      </c>
      <c r="V94">
        <f t="shared" ca="1" si="35"/>
        <v>0</v>
      </c>
      <c r="W94" t="b">
        <f t="shared" si="36"/>
        <v>0</v>
      </c>
      <c r="X94" s="6" t="str">
        <f t="shared" si="37"/>
        <v>non</v>
      </c>
      <c r="Y94">
        <f t="shared" si="38"/>
        <v>1607</v>
      </c>
      <c r="Z94" t="b">
        <f t="shared" si="39"/>
        <v>0</v>
      </c>
      <c r="AA94" s="206">
        <f t="shared" si="43"/>
        <v>1607</v>
      </c>
      <c r="AB94">
        <f t="shared" si="49"/>
        <v>0</v>
      </c>
      <c r="AC94">
        <f t="shared" si="50"/>
        <v>0</v>
      </c>
      <c r="AD94">
        <f t="shared" si="51"/>
        <v>1607</v>
      </c>
      <c r="AE94">
        <f t="shared" si="44"/>
        <v>0</v>
      </c>
      <c r="AF94">
        <f t="shared" si="52"/>
        <v>0</v>
      </c>
      <c r="AG94">
        <f t="shared" si="45"/>
        <v>0</v>
      </c>
      <c r="AH94">
        <f t="shared" si="25"/>
        <v>0</v>
      </c>
      <c r="AK94" s="205">
        <v>37942</v>
      </c>
      <c r="AL94" t="s">
        <v>506</v>
      </c>
      <c r="AQ94">
        <v>1300000004</v>
      </c>
      <c r="AR94">
        <v>30</v>
      </c>
      <c r="AS94">
        <v>0</v>
      </c>
    </row>
    <row r="95" spans="2:45" x14ac:dyDescent="0.25">
      <c r="B95" s="17">
        <v>800000010</v>
      </c>
      <c r="C95" s="3" t="s">
        <v>45</v>
      </c>
      <c r="D95" s="200">
        <v>38742</v>
      </c>
      <c r="E95">
        <v>38</v>
      </c>
      <c r="F95">
        <v>0</v>
      </c>
      <c r="G95" t="s">
        <v>273</v>
      </c>
      <c r="H95" s="203">
        <f t="shared" si="26"/>
        <v>1745</v>
      </c>
      <c r="I95" s="6">
        <f t="shared" si="27"/>
        <v>0</v>
      </c>
      <c r="J95" s="200">
        <f>'Synthèse Horaires'!$C$5</f>
        <v>46023</v>
      </c>
      <c r="K95" s="6" t="str">
        <f t="shared" si="28"/>
        <v>oui</v>
      </c>
      <c r="L95" s="6" t="str">
        <f t="shared" si="29"/>
        <v>non</v>
      </c>
      <c r="M95" s="204">
        <f t="shared" si="30"/>
        <v>1745</v>
      </c>
      <c r="N95" s="204">
        <f t="shared" si="31"/>
        <v>0</v>
      </c>
      <c r="O95" s="204" t="str">
        <f t="shared" si="32"/>
        <v>non</v>
      </c>
      <c r="P95" s="6" t="b">
        <f t="shared" si="33"/>
        <v>0</v>
      </c>
      <c r="Q95" s="6">
        <f t="shared" si="41"/>
        <v>0</v>
      </c>
      <c r="R95" s="6">
        <f t="shared" si="42"/>
        <v>0</v>
      </c>
      <c r="T95" s="205" t="s">
        <v>192</v>
      </c>
      <c r="U95">
        <f t="shared" ca="1" si="34"/>
        <v>7439</v>
      </c>
      <c r="V95">
        <f t="shared" ca="1" si="35"/>
        <v>2</v>
      </c>
      <c r="W95" t="b">
        <f t="shared" si="36"/>
        <v>0</v>
      </c>
      <c r="X95" s="6" t="str">
        <f t="shared" si="37"/>
        <v>non</v>
      </c>
      <c r="Y95">
        <f t="shared" si="38"/>
        <v>1745</v>
      </c>
      <c r="Z95" t="b">
        <f t="shared" si="39"/>
        <v>0</v>
      </c>
      <c r="AA95" s="206">
        <f t="shared" si="43"/>
        <v>1745</v>
      </c>
      <c r="AB95">
        <f t="shared" si="49"/>
        <v>0</v>
      </c>
      <c r="AC95">
        <f t="shared" si="50"/>
        <v>0</v>
      </c>
      <c r="AD95">
        <f t="shared" si="51"/>
        <v>1745</v>
      </c>
      <c r="AE95">
        <f t="shared" si="44"/>
        <v>0</v>
      </c>
      <c r="AF95">
        <f t="shared" si="52"/>
        <v>0</v>
      </c>
      <c r="AG95">
        <f t="shared" si="45"/>
        <v>0</v>
      </c>
      <c r="AH95">
        <f t="shared" si="25"/>
        <v>0</v>
      </c>
      <c r="AK95" s="205">
        <v>30137</v>
      </c>
      <c r="AL95" t="s">
        <v>575</v>
      </c>
      <c r="AQ95">
        <v>1300000006</v>
      </c>
      <c r="AR95">
        <v>70</v>
      </c>
      <c r="AS95">
        <v>0</v>
      </c>
    </row>
    <row r="96" spans="2:45" x14ac:dyDescent="0.25">
      <c r="B96" s="17">
        <v>1200000048</v>
      </c>
      <c r="C96" s="3" t="s">
        <v>703</v>
      </c>
      <c r="D96" s="200">
        <v>45411</v>
      </c>
      <c r="E96">
        <v>35</v>
      </c>
      <c r="F96">
        <v>0</v>
      </c>
      <c r="G96" t="s">
        <v>273</v>
      </c>
      <c r="H96" s="203">
        <f t="shared" si="26"/>
        <v>1607</v>
      </c>
      <c r="I96" s="6">
        <f t="shared" si="27"/>
        <v>0</v>
      </c>
      <c r="J96" s="200">
        <f>'Synthèse Horaires'!$C$5</f>
        <v>46023</v>
      </c>
      <c r="K96" s="6" t="str">
        <f t="shared" si="28"/>
        <v>oui</v>
      </c>
      <c r="L96" s="6" t="str">
        <f t="shared" si="29"/>
        <v>non</v>
      </c>
      <c r="M96" s="204">
        <f t="shared" si="30"/>
        <v>1607</v>
      </c>
      <c r="N96" s="204">
        <f t="shared" si="31"/>
        <v>0</v>
      </c>
      <c r="O96" s="204" t="str">
        <f t="shared" si="32"/>
        <v>non</v>
      </c>
      <c r="P96" s="6" t="b">
        <f t="shared" si="33"/>
        <v>0</v>
      </c>
      <c r="Q96" s="6">
        <f t="shared" si="41"/>
        <v>0</v>
      </c>
      <c r="R96" s="6">
        <f t="shared" si="42"/>
        <v>0</v>
      </c>
      <c r="T96" s="205" t="s">
        <v>195</v>
      </c>
      <c r="U96">
        <f t="shared" ca="1" si="34"/>
        <v>770</v>
      </c>
      <c r="V96">
        <f t="shared" ca="1" si="35"/>
        <v>0</v>
      </c>
      <c r="W96" t="b">
        <f t="shared" si="36"/>
        <v>0</v>
      </c>
      <c r="X96" s="6" t="str">
        <f t="shared" si="37"/>
        <v>non</v>
      </c>
      <c r="Y96">
        <f t="shared" si="38"/>
        <v>1607</v>
      </c>
      <c r="Z96" t="b">
        <f t="shared" si="39"/>
        <v>0</v>
      </c>
      <c r="AA96" s="206">
        <f t="shared" si="43"/>
        <v>1481</v>
      </c>
      <c r="AB96">
        <f t="shared" si="49"/>
        <v>0</v>
      </c>
      <c r="AC96">
        <f t="shared" si="50"/>
        <v>0</v>
      </c>
      <c r="AD96">
        <f t="shared" si="51"/>
        <v>1607</v>
      </c>
      <c r="AE96">
        <f t="shared" si="44"/>
        <v>-18</v>
      </c>
      <c r="AF96">
        <f t="shared" si="52"/>
        <v>-126</v>
      </c>
      <c r="AG96">
        <f t="shared" si="45"/>
        <v>-18</v>
      </c>
      <c r="AH96">
        <f t="shared" si="25"/>
        <v>0</v>
      </c>
      <c r="AK96" s="205">
        <v>33539</v>
      </c>
      <c r="AL96" t="s">
        <v>509</v>
      </c>
      <c r="AQ96">
        <v>1300000010</v>
      </c>
      <c r="AR96">
        <v>30</v>
      </c>
      <c r="AS96">
        <v>0</v>
      </c>
    </row>
    <row r="97" spans="2:45" x14ac:dyDescent="0.25">
      <c r="B97" s="17">
        <v>900000001</v>
      </c>
      <c r="C97" s="3" t="s">
        <v>46</v>
      </c>
      <c r="D97" s="200">
        <v>40224</v>
      </c>
      <c r="E97">
        <v>39</v>
      </c>
      <c r="G97" t="s">
        <v>273</v>
      </c>
      <c r="H97" s="203">
        <f t="shared" si="26"/>
        <v>1787</v>
      </c>
      <c r="I97" s="6">
        <f t="shared" si="27"/>
        <v>0</v>
      </c>
      <c r="J97" s="200">
        <f>'Synthèse Horaires'!$C$5</f>
        <v>46023</v>
      </c>
      <c r="K97" s="6" t="str">
        <f t="shared" si="28"/>
        <v>oui</v>
      </c>
      <c r="L97" s="6" t="str">
        <f t="shared" si="29"/>
        <v>non</v>
      </c>
      <c r="M97" s="204">
        <f t="shared" si="30"/>
        <v>1787</v>
      </c>
      <c r="N97" s="204">
        <f t="shared" si="31"/>
        <v>0</v>
      </c>
      <c r="O97" s="204" t="str">
        <f t="shared" si="32"/>
        <v>non</v>
      </c>
      <c r="P97" s="6" t="b">
        <f t="shared" si="33"/>
        <v>0</v>
      </c>
      <c r="Q97" s="6">
        <f t="shared" si="41"/>
        <v>0</v>
      </c>
      <c r="R97" s="6">
        <f t="shared" si="42"/>
        <v>0</v>
      </c>
      <c r="T97" s="205" t="s">
        <v>198</v>
      </c>
      <c r="U97">
        <f t="shared" ca="1" si="34"/>
        <v>5957</v>
      </c>
      <c r="V97">
        <f t="shared" ca="1" si="35"/>
        <v>1</v>
      </c>
      <c r="W97" t="b">
        <f t="shared" si="36"/>
        <v>0</v>
      </c>
      <c r="X97" s="6" t="str">
        <f t="shared" si="37"/>
        <v>non</v>
      </c>
      <c r="Y97">
        <f t="shared" si="38"/>
        <v>1787</v>
      </c>
      <c r="Z97" t="b">
        <f t="shared" si="39"/>
        <v>0</v>
      </c>
      <c r="AA97" s="206">
        <f t="shared" si="43"/>
        <v>1787</v>
      </c>
      <c r="AB97">
        <f t="shared" si="49"/>
        <v>0</v>
      </c>
      <c r="AC97">
        <f t="shared" si="50"/>
        <v>0</v>
      </c>
      <c r="AD97">
        <f t="shared" si="51"/>
        <v>1787</v>
      </c>
      <c r="AE97">
        <f t="shared" si="44"/>
        <v>0</v>
      </c>
      <c r="AF97">
        <f t="shared" si="52"/>
        <v>0</v>
      </c>
      <c r="AG97">
        <f t="shared" si="45"/>
        <v>0</v>
      </c>
      <c r="AH97">
        <f t="shared" si="25"/>
        <v>0</v>
      </c>
      <c r="AK97" s="205">
        <v>29455</v>
      </c>
      <c r="AL97" t="s">
        <v>508</v>
      </c>
      <c r="AQ97">
        <v>1300000020</v>
      </c>
      <c r="AR97">
        <v>34</v>
      </c>
      <c r="AS97">
        <v>0</v>
      </c>
    </row>
    <row r="98" spans="2:45" x14ac:dyDescent="0.25">
      <c r="B98" s="17">
        <v>900000002</v>
      </c>
      <c r="C98" s="3" t="s">
        <v>47</v>
      </c>
      <c r="D98" s="200">
        <v>42173</v>
      </c>
      <c r="E98">
        <v>35</v>
      </c>
      <c r="G98" t="s">
        <v>273</v>
      </c>
      <c r="H98" s="203">
        <f t="shared" si="26"/>
        <v>1607</v>
      </c>
      <c r="I98" s="6">
        <f t="shared" si="27"/>
        <v>0</v>
      </c>
      <c r="J98" s="200">
        <f>'Synthèse Horaires'!$C$5</f>
        <v>46023</v>
      </c>
      <c r="K98" s="6" t="str">
        <f t="shared" si="28"/>
        <v>oui</v>
      </c>
      <c r="L98" s="6" t="str">
        <f t="shared" si="29"/>
        <v>non</v>
      </c>
      <c r="M98" s="204">
        <f t="shared" si="30"/>
        <v>1607</v>
      </c>
      <c r="N98" s="204">
        <f t="shared" si="31"/>
        <v>0</v>
      </c>
      <c r="O98" s="204" t="str">
        <f t="shared" si="32"/>
        <v>non</v>
      </c>
      <c r="P98" s="6" t="b">
        <f t="shared" si="33"/>
        <v>0</v>
      </c>
      <c r="Q98" s="6">
        <f t="shared" si="41"/>
        <v>0</v>
      </c>
      <c r="R98" s="6">
        <f t="shared" si="42"/>
        <v>0</v>
      </c>
      <c r="T98" s="205" t="s">
        <v>198</v>
      </c>
      <c r="U98">
        <f t="shared" ca="1" si="34"/>
        <v>4008</v>
      </c>
      <c r="V98">
        <f t="shared" ca="1" si="35"/>
        <v>0</v>
      </c>
      <c r="W98" t="b">
        <f t="shared" si="36"/>
        <v>0</v>
      </c>
      <c r="X98" s="6" t="str">
        <f t="shared" si="37"/>
        <v>non</v>
      </c>
      <c r="Y98">
        <f t="shared" si="38"/>
        <v>1607</v>
      </c>
      <c r="Z98" t="b">
        <f t="shared" si="39"/>
        <v>0</v>
      </c>
      <c r="AA98" s="206">
        <f t="shared" si="43"/>
        <v>1607</v>
      </c>
      <c r="AB98">
        <f t="shared" si="49"/>
        <v>0</v>
      </c>
      <c r="AC98">
        <f t="shared" si="50"/>
        <v>0</v>
      </c>
      <c r="AD98">
        <f t="shared" si="51"/>
        <v>1607</v>
      </c>
      <c r="AE98">
        <f t="shared" si="44"/>
        <v>0</v>
      </c>
      <c r="AF98">
        <f t="shared" si="52"/>
        <v>0</v>
      </c>
      <c r="AG98">
        <f t="shared" si="45"/>
        <v>0</v>
      </c>
      <c r="AH98">
        <f t="shared" si="25"/>
        <v>0</v>
      </c>
      <c r="AK98" s="205">
        <v>32188</v>
      </c>
      <c r="AL98" t="s">
        <v>506</v>
      </c>
      <c r="AQ98">
        <v>1300000022</v>
      </c>
      <c r="AR98">
        <v>29</v>
      </c>
      <c r="AS98">
        <v>1</v>
      </c>
    </row>
    <row r="99" spans="2:45" x14ac:dyDescent="0.25">
      <c r="B99" s="17">
        <v>2100000019</v>
      </c>
      <c r="C99" s="3" t="s">
        <v>684</v>
      </c>
      <c r="D99" s="200">
        <v>45194</v>
      </c>
      <c r="E99">
        <v>35</v>
      </c>
      <c r="F99">
        <v>0</v>
      </c>
      <c r="G99" t="s">
        <v>273</v>
      </c>
      <c r="H99" s="203">
        <f t="shared" si="26"/>
        <v>1607</v>
      </c>
      <c r="I99" s="6">
        <f t="shared" si="27"/>
        <v>0</v>
      </c>
      <c r="J99" s="200">
        <f>'Synthèse Horaires'!$C$5</f>
        <v>46023</v>
      </c>
      <c r="K99" s="6" t="str">
        <f t="shared" si="28"/>
        <v>oui</v>
      </c>
      <c r="L99" s="6" t="str">
        <f t="shared" si="29"/>
        <v>non</v>
      </c>
      <c r="M99" s="204">
        <f t="shared" si="30"/>
        <v>1607</v>
      </c>
      <c r="N99" s="204">
        <f t="shared" si="31"/>
        <v>0</v>
      </c>
      <c r="O99" s="204" t="str">
        <f t="shared" si="32"/>
        <v>non</v>
      </c>
      <c r="P99" s="6" t="b">
        <f t="shared" si="33"/>
        <v>0</v>
      </c>
      <c r="Q99" s="6">
        <f t="shared" si="41"/>
        <v>0</v>
      </c>
      <c r="R99" s="6">
        <f t="shared" si="42"/>
        <v>0</v>
      </c>
      <c r="T99" s="205" t="s">
        <v>607</v>
      </c>
      <c r="U99">
        <f t="shared" ca="1" si="34"/>
        <v>987</v>
      </c>
      <c r="V99">
        <f t="shared" ca="1" si="35"/>
        <v>0</v>
      </c>
      <c r="W99" t="b">
        <f t="shared" si="36"/>
        <v>0</v>
      </c>
      <c r="X99" s="6" t="str">
        <f t="shared" si="37"/>
        <v>non</v>
      </c>
      <c r="Y99">
        <f t="shared" si="38"/>
        <v>1607</v>
      </c>
      <c r="Z99" t="b">
        <f t="shared" si="39"/>
        <v>0</v>
      </c>
      <c r="AA99" s="206">
        <f t="shared" si="43"/>
        <v>1614</v>
      </c>
      <c r="AB99">
        <f t="shared" si="49"/>
        <v>0</v>
      </c>
      <c r="AC99">
        <f t="shared" si="50"/>
        <v>0</v>
      </c>
      <c r="AD99">
        <f t="shared" si="51"/>
        <v>1607</v>
      </c>
      <c r="AE99">
        <f t="shared" si="44"/>
        <v>1</v>
      </c>
      <c r="AF99">
        <f t="shared" si="52"/>
        <v>7</v>
      </c>
      <c r="AG99">
        <f t="shared" si="45"/>
        <v>1</v>
      </c>
      <c r="AH99">
        <f t="shared" si="25"/>
        <v>0</v>
      </c>
      <c r="AK99" s="205">
        <v>36838</v>
      </c>
      <c r="AL99" t="s">
        <v>580</v>
      </c>
      <c r="AQ99">
        <v>1900000002</v>
      </c>
      <c r="AR99">
        <v>58</v>
      </c>
      <c r="AS99">
        <v>0</v>
      </c>
    </row>
    <row r="100" spans="2:45" x14ac:dyDescent="0.25">
      <c r="B100" s="283">
        <v>700000040</v>
      </c>
      <c r="C100" s="284" t="s">
        <v>755</v>
      </c>
      <c r="D100" s="282">
        <v>45901</v>
      </c>
      <c r="E100" s="285">
        <v>35</v>
      </c>
      <c r="F100" s="285">
        <v>0</v>
      </c>
      <c r="G100" s="285" t="s">
        <v>273</v>
      </c>
      <c r="H100" s="203">
        <f t="shared" si="26"/>
        <v>1607</v>
      </c>
      <c r="I100" s="6">
        <f t="shared" si="27"/>
        <v>0</v>
      </c>
      <c r="J100" s="200">
        <f>'Synthèse Horaires'!$C$5</f>
        <v>46023</v>
      </c>
      <c r="K100" s="6" t="str">
        <f t="shared" si="28"/>
        <v>oui</v>
      </c>
      <c r="L100" s="6" t="str">
        <f t="shared" si="29"/>
        <v>non</v>
      </c>
      <c r="M100" s="204">
        <f t="shared" si="30"/>
        <v>1607</v>
      </c>
      <c r="N100" s="204">
        <f t="shared" si="31"/>
        <v>0</v>
      </c>
      <c r="O100" s="204" t="str">
        <f t="shared" si="32"/>
        <v>non</v>
      </c>
      <c r="P100" s="6" t="b">
        <f t="shared" si="33"/>
        <v>0</v>
      </c>
      <c r="Q100" s="6">
        <f t="shared" si="41"/>
        <v>0</v>
      </c>
      <c r="R100" s="6">
        <f t="shared" si="42"/>
        <v>0</v>
      </c>
      <c r="T100" s="205" t="s">
        <v>199</v>
      </c>
      <c r="U100">
        <f t="shared" ca="1" si="34"/>
        <v>280</v>
      </c>
      <c r="V100">
        <f t="shared" ca="1" si="35"/>
        <v>0</v>
      </c>
      <c r="W100" t="b">
        <f t="shared" si="36"/>
        <v>0</v>
      </c>
      <c r="X100" s="6" t="str">
        <f t="shared" si="37"/>
        <v>non</v>
      </c>
      <c r="Y100">
        <f t="shared" si="38"/>
        <v>1607</v>
      </c>
      <c r="Z100" t="b">
        <f t="shared" si="39"/>
        <v>0</v>
      </c>
      <c r="AA100" s="206">
        <f t="shared" si="43"/>
        <v>1656</v>
      </c>
      <c r="AB100">
        <f t="shared" si="49"/>
        <v>0</v>
      </c>
      <c r="AC100">
        <f t="shared" si="50"/>
        <v>0</v>
      </c>
      <c r="AD100">
        <f t="shared" si="51"/>
        <v>1607</v>
      </c>
      <c r="AE100">
        <f t="shared" si="44"/>
        <v>7</v>
      </c>
      <c r="AF100">
        <f t="shared" si="52"/>
        <v>49</v>
      </c>
      <c r="AG100">
        <f t="shared" si="45"/>
        <v>7</v>
      </c>
      <c r="AH100">
        <f t="shared" si="25"/>
        <v>0</v>
      </c>
      <c r="AK100" s="205">
        <v>39118</v>
      </c>
      <c r="AL100" t="s">
        <v>539</v>
      </c>
      <c r="AQ100">
        <v>2000000006</v>
      </c>
      <c r="AR100">
        <v>30</v>
      </c>
      <c r="AS100">
        <v>0</v>
      </c>
    </row>
    <row r="101" spans="2:45" x14ac:dyDescent="0.25">
      <c r="B101" s="17">
        <v>900000006</v>
      </c>
      <c r="C101" s="3" t="s">
        <v>48</v>
      </c>
      <c r="D101" s="200">
        <v>38443</v>
      </c>
      <c r="F101">
        <v>218</v>
      </c>
      <c r="G101" t="s">
        <v>102</v>
      </c>
      <c r="H101" s="203">
        <f t="shared" si="26"/>
        <v>0</v>
      </c>
      <c r="I101" s="6">
        <f t="shared" si="27"/>
        <v>436</v>
      </c>
      <c r="J101" s="200">
        <f>'Synthèse Horaires'!$C$5</f>
        <v>46023</v>
      </c>
      <c r="K101" s="6" t="str">
        <f t="shared" si="28"/>
        <v>oui</v>
      </c>
      <c r="L101" s="6" t="str">
        <f t="shared" si="29"/>
        <v>non</v>
      </c>
      <c r="M101" s="204" t="str">
        <f t="shared" si="30"/>
        <v>non</v>
      </c>
      <c r="N101" s="204" t="b">
        <f t="shared" si="31"/>
        <v>0</v>
      </c>
      <c r="O101" s="204">
        <f t="shared" si="32"/>
        <v>218</v>
      </c>
      <c r="P101" s="6">
        <f t="shared" si="33"/>
        <v>0</v>
      </c>
      <c r="Q101" s="6">
        <f t="shared" si="41"/>
        <v>436</v>
      </c>
      <c r="R101" s="6">
        <f t="shared" si="42"/>
        <v>0</v>
      </c>
      <c r="T101" s="205" t="s">
        <v>198</v>
      </c>
      <c r="U101">
        <f t="shared" ca="1" si="34"/>
        <v>7738</v>
      </c>
      <c r="V101" t="b">
        <f t="shared" si="35"/>
        <v>0</v>
      </c>
      <c r="W101">
        <f t="shared" ca="1" si="36"/>
        <v>2</v>
      </c>
      <c r="X101" s="6" t="str">
        <f t="shared" si="37"/>
        <v>non</v>
      </c>
      <c r="Y101" t="b">
        <f t="shared" si="38"/>
        <v>0</v>
      </c>
      <c r="Z101">
        <f t="shared" si="39"/>
        <v>218</v>
      </c>
      <c r="AA101" s="206">
        <f t="shared" si="43"/>
        <v>218</v>
      </c>
      <c r="AB101">
        <f t="shared" si="49"/>
        <v>0</v>
      </c>
      <c r="AC101">
        <f t="shared" si="50"/>
        <v>0</v>
      </c>
      <c r="AD101">
        <f t="shared" si="51"/>
        <v>0</v>
      </c>
      <c r="AE101">
        <f t="shared" si="44"/>
        <v>0</v>
      </c>
      <c r="AF101">
        <f t="shared" si="52"/>
        <v>0</v>
      </c>
      <c r="AG101">
        <f t="shared" si="45"/>
        <v>0</v>
      </c>
      <c r="AH101">
        <f t="shared" si="25"/>
        <v>0</v>
      </c>
      <c r="AK101" s="205">
        <v>28423</v>
      </c>
      <c r="AL101" t="s">
        <v>575</v>
      </c>
      <c r="AQ101">
        <v>2100000001</v>
      </c>
      <c r="AR101">
        <v>30</v>
      </c>
      <c r="AS101">
        <v>0</v>
      </c>
    </row>
    <row r="102" spans="2:45" x14ac:dyDescent="0.25">
      <c r="B102" s="17">
        <v>5000000036</v>
      </c>
      <c r="C102" s="3" t="s">
        <v>723</v>
      </c>
      <c r="D102" s="200">
        <v>45537</v>
      </c>
      <c r="E102">
        <v>35</v>
      </c>
      <c r="F102">
        <v>0</v>
      </c>
      <c r="G102" t="s">
        <v>273</v>
      </c>
      <c r="H102" s="203">
        <f t="shared" si="26"/>
        <v>1607</v>
      </c>
      <c r="I102" s="6">
        <f t="shared" si="27"/>
        <v>0</v>
      </c>
      <c r="J102" s="200">
        <f>'Synthèse Horaires'!$C$5</f>
        <v>46023</v>
      </c>
      <c r="K102" s="6" t="str">
        <f t="shared" si="28"/>
        <v>oui</v>
      </c>
      <c r="L102" s="6" t="str">
        <f t="shared" si="29"/>
        <v>non</v>
      </c>
      <c r="M102" s="204">
        <f t="shared" si="30"/>
        <v>1607</v>
      </c>
      <c r="N102" s="204">
        <f t="shared" si="31"/>
        <v>0</v>
      </c>
      <c r="O102" s="204" t="str">
        <f t="shared" si="32"/>
        <v>non</v>
      </c>
      <c r="P102" s="6" t="b">
        <f t="shared" si="33"/>
        <v>0</v>
      </c>
      <c r="Q102" s="6">
        <f t="shared" si="41"/>
        <v>0</v>
      </c>
      <c r="R102" s="6">
        <f t="shared" si="42"/>
        <v>0</v>
      </c>
      <c r="T102" s="205" t="s">
        <v>458</v>
      </c>
      <c r="U102">
        <f t="shared" ca="1" si="34"/>
        <v>644</v>
      </c>
      <c r="V102">
        <f t="shared" ca="1" si="35"/>
        <v>0</v>
      </c>
      <c r="W102" t="b">
        <f t="shared" si="36"/>
        <v>0</v>
      </c>
      <c r="X102" s="6" t="str">
        <f t="shared" si="37"/>
        <v>non</v>
      </c>
      <c r="Y102">
        <f t="shared" si="38"/>
        <v>1607</v>
      </c>
      <c r="Z102" t="b">
        <f t="shared" si="39"/>
        <v>0</v>
      </c>
      <c r="AA102" s="206">
        <f t="shared" si="43"/>
        <v>1607</v>
      </c>
      <c r="AB102">
        <f t="shared" si="49"/>
        <v>0</v>
      </c>
      <c r="AC102">
        <f t="shared" si="50"/>
        <v>0</v>
      </c>
      <c r="AD102">
        <f t="shared" si="51"/>
        <v>1607</v>
      </c>
      <c r="AE102">
        <f t="shared" si="44"/>
        <v>0</v>
      </c>
      <c r="AF102">
        <f t="shared" si="52"/>
        <v>0</v>
      </c>
      <c r="AG102">
        <f t="shared" si="45"/>
        <v>0</v>
      </c>
      <c r="AH102">
        <f t="shared" si="25"/>
        <v>0</v>
      </c>
      <c r="AK102" s="205">
        <v>38704</v>
      </c>
      <c r="AL102" t="s">
        <v>532</v>
      </c>
      <c r="AQ102">
        <v>2100000003</v>
      </c>
      <c r="AR102">
        <v>30</v>
      </c>
      <c r="AS102">
        <v>0</v>
      </c>
    </row>
    <row r="103" spans="2:45" x14ac:dyDescent="0.25">
      <c r="B103" s="17">
        <v>1000000001</v>
      </c>
      <c r="C103" s="3" t="s">
        <v>49</v>
      </c>
      <c r="D103" s="200">
        <v>41001</v>
      </c>
      <c r="F103">
        <v>218</v>
      </c>
      <c r="G103" t="s">
        <v>102</v>
      </c>
      <c r="H103" s="203">
        <f t="shared" si="26"/>
        <v>0</v>
      </c>
      <c r="I103" s="6">
        <f t="shared" si="27"/>
        <v>436</v>
      </c>
      <c r="J103" s="200">
        <f>'Synthèse Horaires'!$C$5</f>
        <v>46023</v>
      </c>
      <c r="K103" s="6" t="str">
        <f t="shared" si="28"/>
        <v>oui</v>
      </c>
      <c r="L103" s="6" t="str">
        <f t="shared" si="29"/>
        <v>non</v>
      </c>
      <c r="M103" s="204" t="str">
        <f t="shared" si="30"/>
        <v>non</v>
      </c>
      <c r="N103" s="204" t="b">
        <f t="shared" si="31"/>
        <v>0</v>
      </c>
      <c r="O103" s="204">
        <f t="shared" si="32"/>
        <v>218</v>
      </c>
      <c r="P103" s="6">
        <f t="shared" si="33"/>
        <v>0</v>
      </c>
      <c r="Q103" s="6">
        <f t="shared" si="41"/>
        <v>436</v>
      </c>
      <c r="R103" s="6">
        <f t="shared" si="42"/>
        <v>0</v>
      </c>
      <c r="T103" s="205" t="s">
        <v>192</v>
      </c>
      <c r="U103">
        <f t="shared" ca="1" si="34"/>
        <v>5180</v>
      </c>
      <c r="V103" t="b">
        <f t="shared" si="35"/>
        <v>0</v>
      </c>
      <c r="W103">
        <f t="shared" ca="1" si="36"/>
        <v>2</v>
      </c>
      <c r="X103" s="6" t="str">
        <f t="shared" si="37"/>
        <v>non</v>
      </c>
      <c r="Y103" t="b">
        <f t="shared" si="38"/>
        <v>0</v>
      </c>
      <c r="Z103">
        <f t="shared" si="39"/>
        <v>218</v>
      </c>
      <c r="AA103" s="206">
        <f t="shared" si="43"/>
        <v>219</v>
      </c>
      <c r="AB103">
        <f t="shared" si="49"/>
        <v>0</v>
      </c>
      <c r="AC103">
        <f t="shared" si="50"/>
        <v>0</v>
      </c>
      <c r="AD103">
        <f t="shared" si="51"/>
        <v>0</v>
      </c>
      <c r="AE103">
        <f t="shared" si="44"/>
        <v>1</v>
      </c>
      <c r="AF103">
        <f t="shared" si="52"/>
        <v>0</v>
      </c>
      <c r="AG103">
        <f t="shared" si="45"/>
        <v>1</v>
      </c>
      <c r="AH103">
        <f t="shared" si="25"/>
        <v>1</v>
      </c>
      <c r="AK103" s="205">
        <v>32963</v>
      </c>
      <c r="AL103" t="s">
        <v>495</v>
      </c>
      <c r="AQ103">
        <v>2100000004</v>
      </c>
      <c r="AR103">
        <v>30</v>
      </c>
      <c r="AS103">
        <v>0</v>
      </c>
    </row>
    <row r="104" spans="2:45" x14ac:dyDescent="0.25">
      <c r="B104" s="17">
        <v>1000000002</v>
      </c>
      <c r="C104" s="3" t="s">
        <v>50</v>
      </c>
      <c r="D104" s="200">
        <v>41985</v>
      </c>
      <c r="E104">
        <v>28</v>
      </c>
      <c r="G104" t="s">
        <v>273</v>
      </c>
      <c r="H104" s="203">
        <f t="shared" si="26"/>
        <v>1286</v>
      </c>
      <c r="I104" s="6">
        <f t="shared" si="27"/>
        <v>0</v>
      </c>
      <c r="J104" s="200">
        <f>'Synthèse Horaires'!$C$5</f>
        <v>46023</v>
      </c>
      <c r="K104" s="6" t="str">
        <f t="shared" si="28"/>
        <v>oui</v>
      </c>
      <c r="L104" s="6" t="str">
        <f t="shared" si="29"/>
        <v>non</v>
      </c>
      <c r="M104" s="204">
        <f t="shared" si="30"/>
        <v>1286</v>
      </c>
      <c r="N104" s="204">
        <f t="shared" si="31"/>
        <v>0</v>
      </c>
      <c r="O104" s="204" t="str">
        <f t="shared" si="32"/>
        <v>non</v>
      </c>
      <c r="P104" s="6" t="b">
        <f t="shared" si="33"/>
        <v>0</v>
      </c>
      <c r="Q104" s="6">
        <f t="shared" si="41"/>
        <v>0</v>
      </c>
      <c r="R104" s="6">
        <f t="shared" si="42"/>
        <v>0</v>
      </c>
      <c r="S104" t="s">
        <v>342</v>
      </c>
      <c r="T104" s="205" t="s">
        <v>193</v>
      </c>
      <c r="U104">
        <f t="shared" ca="1" si="34"/>
        <v>4196</v>
      </c>
      <c r="V104">
        <f t="shared" ca="1" si="35"/>
        <v>0</v>
      </c>
      <c r="W104" t="b">
        <f t="shared" si="36"/>
        <v>0</v>
      </c>
      <c r="X104" s="6">
        <f t="shared" si="37"/>
        <v>28</v>
      </c>
      <c r="Y104">
        <f t="shared" si="38"/>
        <v>1286</v>
      </c>
      <c r="Z104" t="b">
        <f t="shared" si="39"/>
        <v>0</v>
      </c>
      <c r="AA104" s="206">
        <f t="shared" si="43"/>
        <v>1286</v>
      </c>
      <c r="AB104">
        <f t="shared" si="49"/>
        <v>0</v>
      </c>
      <c r="AC104">
        <f t="shared" si="50"/>
        <v>0</v>
      </c>
      <c r="AD104">
        <f t="shared" si="51"/>
        <v>1286</v>
      </c>
      <c r="AE104">
        <f t="shared" si="44"/>
        <v>0</v>
      </c>
      <c r="AF104">
        <f t="shared" si="52"/>
        <v>0</v>
      </c>
      <c r="AG104">
        <f t="shared" si="45"/>
        <v>0</v>
      </c>
      <c r="AH104">
        <f t="shared" si="25"/>
        <v>0</v>
      </c>
      <c r="AK104" s="205">
        <v>33638</v>
      </c>
      <c r="AL104" t="s">
        <v>583</v>
      </c>
      <c r="AQ104">
        <v>2100000006</v>
      </c>
      <c r="AR104">
        <v>30</v>
      </c>
      <c r="AS104">
        <v>0</v>
      </c>
    </row>
    <row r="105" spans="2:45" x14ac:dyDescent="0.25">
      <c r="B105" s="283">
        <v>100000046</v>
      </c>
      <c r="C105" s="284" t="s">
        <v>763</v>
      </c>
      <c r="D105" s="282">
        <v>45958</v>
      </c>
      <c r="E105" s="285">
        <v>35</v>
      </c>
      <c r="F105" s="285">
        <v>0</v>
      </c>
      <c r="G105" s="285" t="s">
        <v>273</v>
      </c>
      <c r="H105" s="203">
        <f t="shared" si="26"/>
        <v>1607</v>
      </c>
      <c r="I105" s="6">
        <f t="shared" si="27"/>
        <v>0</v>
      </c>
      <c r="J105" s="200">
        <f>'Synthèse Horaires'!$C$5</f>
        <v>46023</v>
      </c>
      <c r="K105" s="6" t="str">
        <f t="shared" si="28"/>
        <v>oui</v>
      </c>
      <c r="L105" s="6" t="str">
        <f t="shared" si="29"/>
        <v>non</v>
      </c>
      <c r="M105" s="204">
        <f t="shared" si="30"/>
        <v>1607</v>
      </c>
      <c r="N105" s="204">
        <f t="shared" si="31"/>
        <v>0</v>
      </c>
      <c r="O105" s="204" t="str">
        <f t="shared" si="32"/>
        <v>non</v>
      </c>
      <c r="P105" s="6" t="b">
        <f t="shared" si="33"/>
        <v>0</v>
      </c>
      <c r="Q105" s="6">
        <f t="shared" si="41"/>
        <v>0</v>
      </c>
      <c r="R105" s="6">
        <f t="shared" si="42"/>
        <v>0</v>
      </c>
      <c r="T105" s="205" t="s">
        <v>196</v>
      </c>
      <c r="U105">
        <f t="shared" ca="1" si="34"/>
        <v>223</v>
      </c>
      <c r="V105">
        <f t="shared" ca="1" si="35"/>
        <v>0</v>
      </c>
      <c r="W105" t="b">
        <f t="shared" si="36"/>
        <v>0</v>
      </c>
      <c r="X105" s="6" t="str">
        <f t="shared" si="37"/>
        <v>non</v>
      </c>
      <c r="Y105">
        <f t="shared" si="38"/>
        <v>1607</v>
      </c>
      <c r="Z105" t="b">
        <f t="shared" si="39"/>
        <v>0</v>
      </c>
      <c r="AA105" s="206">
        <f t="shared" si="43"/>
        <v>1691</v>
      </c>
      <c r="AB105">
        <f t="shared" si="49"/>
        <v>0</v>
      </c>
      <c r="AC105">
        <f t="shared" si="50"/>
        <v>0</v>
      </c>
      <c r="AD105">
        <f t="shared" si="51"/>
        <v>1607</v>
      </c>
      <c r="AE105">
        <f t="shared" si="44"/>
        <v>12</v>
      </c>
      <c r="AF105">
        <f t="shared" si="52"/>
        <v>84</v>
      </c>
      <c r="AG105">
        <f t="shared" si="45"/>
        <v>12</v>
      </c>
      <c r="AH105">
        <f t="shared" si="25"/>
        <v>0</v>
      </c>
      <c r="AK105" s="205">
        <v>35232</v>
      </c>
      <c r="AL105" t="s">
        <v>506</v>
      </c>
      <c r="AQ105">
        <v>2100000019</v>
      </c>
      <c r="AR105">
        <v>29</v>
      </c>
      <c r="AS105">
        <v>1</v>
      </c>
    </row>
    <row r="106" spans="2:45" x14ac:dyDescent="0.25">
      <c r="B106" s="283">
        <v>2100000030</v>
      </c>
      <c r="C106" s="284" t="s">
        <v>805</v>
      </c>
      <c r="D106" s="282">
        <v>46175</v>
      </c>
      <c r="E106" s="285">
        <v>35</v>
      </c>
      <c r="F106" s="285">
        <v>0</v>
      </c>
      <c r="G106" s="285" t="s">
        <v>273</v>
      </c>
      <c r="H106" s="203">
        <f t="shared" si="26"/>
        <v>1607</v>
      </c>
      <c r="I106" s="6">
        <f t="shared" si="27"/>
        <v>0</v>
      </c>
      <c r="J106" s="200">
        <f>'Synthèse Horaires'!$C$5</f>
        <v>46023</v>
      </c>
      <c r="K106" s="6" t="str">
        <f t="shared" si="28"/>
        <v>non</v>
      </c>
      <c r="L106" s="6" t="str">
        <f t="shared" si="29"/>
        <v>oui</v>
      </c>
      <c r="M106" s="204" t="str">
        <f t="shared" si="30"/>
        <v>non</v>
      </c>
      <c r="N106" s="204">
        <f t="shared" si="31"/>
        <v>1602.5972602739726</v>
      </c>
      <c r="O106" s="204" t="str">
        <f t="shared" si="32"/>
        <v>non</v>
      </c>
      <c r="P106" s="6" t="b">
        <f t="shared" si="33"/>
        <v>0</v>
      </c>
      <c r="Q106" s="6">
        <f t="shared" si="41"/>
        <v>0</v>
      </c>
      <c r="R106" s="6">
        <f t="shared" si="42"/>
        <v>0</v>
      </c>
      <c r="T106" s="205" t="s">
        <v>607</v>
      </c>
      <c r="U106">
        <f t="shared" ca="1" si="34"/>
        <v>6</v>
      </c>
      <c r="V106">
        <f t="shared" ca="1" si="35"/>
        <v>0</v>
      </c>
      <c r="W106" t="b">
        <f t="shared" si="36"/>
        <v>0</v>
      </c>
      <c r="X106" s="6" t="str">
        <f t="shared" si="37"/>
        <v>non</v>
      </c>
      <c r="Y106">
        <f t="shared" si="38"/>
        <v>1602.5972602739726</v>
      </c>
      <c r="Z106" t="b">
        <f t="shared" si="39"/>
        <v>0</v>
      </c>
      <c r="AA106" s="206">
        <f t="shared" si="43"/>
        <v>1777.117808219178</v>
      </c>
      <c r="AB106">
        <f t="shared" si="49"/>
        <v>0</v>
      </c>
      <c r="AC106">
        <f t="shared" si="50"/>
        <v>29.917808219178081</v>
      </c>
      <c r="AD106">
        <f t="shared" si="51"/>
        <v>1777.117808219178</v>
      </c>
      <c r="AE106">
        <f t="shared" si="44"/>
        <v>0</v>
      </c>
      <c r="AF106">
        <f t="shared" si="52"/>
        <v>0</v>
      </c>
      <c r="AG106">
        <f t="shared" si="45"/>
        <v>0</v>
      </c>
      <c r="AH106">
        <f t="shared" si="25"/>
        <v>0</v>
      </c>
      <c r="AK106" s="205">
        <v>35923</v>
      </c>
      <c r="AL106" t="s">
        <v>506</v>
      </c>
      <c r="AQ106">
        <v>3000000002</v>
      </c>
      <c r="AR106">
        <v>30</v>
      </c>
      <c r="AS106">
        <v>0</v>
      </c>
    </row>
    <row r="107" spans="2:45" x14ac:dyDescent="0.25">
      <c r="B107" s="17">
        <v>5000000033</v>
      </c>
      <c r="C107" s="3" t="s">
        <v>695</v>
      </c>
      <c r="D107" s="200">
        <v>45327</v>
      </c>
      <c r="E107">
        <v>35</v>
      </c>
      <c r="F107">
        <v>0</v>
      </c>
      <c r="G107" t="s">
        <v>273</v>
      </c>
      <c r="H107" s="203">
        <f t="shared" si="26"/>
        <v>1607</v>
      </c>
      <c r="I107" s="6">
        <f t="shared" si="27"/>
        <v>0</v>
      </c>
      <c r="J107" s="200">
        <f>'Synthèse Horaires'!$C$5</f>
        <v>46023</v>
      </c>
      <c r="K107" s="6" t="str">
        <f t="shared" si="28"/>
        <v>oui</v>
      </c>
      <c r="L107" s="6" t="str">
        <f t="shared" si="29"/>
        <v>non</v>
      </c>
      <c r="M107" s="204">
        <f t="shared" si="30"/>
        <v>1607</v>
      </c>
      <c r="N107" s="204">
        <f t="shared" si="31"/>
        <v>0</v>
      </c>
      <c r="O107" s="204" t="str">
        <f t="shared" si="32"/>
        <v>non</v>
      </c>
      <c r="P107" s="6" t="b">
        <f t="shared" si="33"/>
        <v>0</v>
      </c>
      <c r="Q107" s="6">
        <f t="shared" si="41"/>
        <v>0</v>
      </c>
      <c r="R107" s="6">
        <f t="shared" si="42"/>
        <v>0</v>
      </c>
      <c r="T107" s="205" t="s">
        <v>458</v>
      </c>
      <c r="U107">
        <f t="shared" ca="1" si="34"/>
        <v>854</v>
      </c>
      <c r="V107">
        <f t="shared" ca="1" si="35"/>
        <v>0</v>
      </c>
      <c r="W107" t="b">
        <f t="shared" si="36"/>
        <v>0</v>
      </c>
      <c r="X107" s="6" t="str">
        <f t="shared" si="37"/>
        <v>non</v>
      </c>
      <c r="Y107">
        <f t="shared" si="38"/>
        <v>1607</v>
      </c>
      <c r="Z107" t="b">
        <f t="shared" si="39"/>
        <v>0</v>
      </c>
      <c r="AA107" s="206">
        <f t="shared" si="43"/>
        <v>1631.5</v>
      </c>
      <c r="AB107">
        <f t="shared" si="49"/>
        <v>0</v>
      </c>
      <c r="AC107">
        <f t="shared" si="50"/>
        <v>0</v>
      </c>
      <c r="AD107">
        <f t="shared" si="51"/>
        <v>1607</v>
      </c>
      <c r="AE107">
        <f t="shared" si="44"/>
        <v>3.5</v>
      </c>
      <c r="AF107">
        <f t="shared" si="52"/>
        <v>24.5</v>
      </c>
      <c r="AG107">
        <f t="shared" si="45"/>
        <v>3.5</v>
      </c>
      <c r="AH107">
        <f t="shared" si="25"/>
        <v>0</v>
      </c>
      <c r="AK107" s="205">
        <v>33806</v>
      </c>
      <c r="AL107" t="s">
        <v>508</v>
      </c>
      <c r="AQ107">
        <v>3000000007</v>
      </c>
      <c r="AR107">
        <v>30</v>
      </c>
      <c r="AS107">
        <v>0</v>
      </c>
    </row>
    <row r="108" spans="2:45" x14ac:dyDescent="0.25">
      <c r="B108" s="283">
        <v>100000047</v>
      </c>
      <c r="C108" s="284" t="s">
        <v>764</v>
      </c>
      <c r="D108" s="282">
        <v>45958</v>
      </c>
      <c r="E108" s="285">
        <v>35</v>
      </c>
      <c r="F108" s="285">
        <v>0</v>
      </c>
      <c r="G108" s="285" t="s">
        <v>273</v>
      </c>
      <c r="H108" s="203">
        <f t="shared" si="26"/>
        <v>1607</v>
      </c>
      <c r="I108" s="6">
        <f t="shared" si="27"/>
        <v>0</v>
      </c>
      <c r="J108" s="200">
        <f>'Synthèse Horaires'!$C$5</f>
        <v>46023</v>
      </c>
      <c r="K108" s="6" t="str">
        <f t="shared" si="28"/>
        <v>oui</v>
      </c>
      <c r="L108" s="6" t="str">
        <f t="shared" si="29"/>
        <v>non</v>
      </c>
      <c r="M108" s="204">
        <f t="shared" si="30"/>
        <v>1607</v>
      </c>
      <c r="N108" s="204">
        <f t="shared" si="31"/>
        <v>0</v>
      </c>
      <c r="O108" s="204" t="str">
        <f t="shared" si="32"/>
        <v>non</v>
      </c>
      <c r="P108" s="6" t="b">
        <f t="shared" si="33"/>
        <v>0</v>
      </c>
      <c r="Q108" s="6">
        <f t="shared" si="41"/>
        <v>0</v>
      </c>
      <c r="R108" s="6">
        <f t="shared" si="42"/>
        <v>0</v>
      </c>
      <c r="T108" s="205" t="s">
        <v>196</v>
      </c>
      <c r="U108">
        <f t="shared" ca="1" si="34"/>
        <v>223</v>
      </c>
      <c r="V108">
        <f t="shared" ca="1" si="35"/>
        <v>0</v>
      </c>
      <c r="W108" t="b">
        <f t="shared" si="36"/>
        <v>0</v>
      </c>
      <c r="X108" s="6" t="str">
        <f t="shared" si="37"/>
        <v>non</v>
      </c>
      <c r="Y108">
        <f t="shared" si="38"/>
        <v>1607</v>
      </c>
      <c r="Z108" t="b">
        <f t="shared" si="39"/>
        <v>0</v>
      </c>
      <c r="AA108" s="206">
        <f t="shared" si="43"/>
        <v>1691</v>
      </c>
      <c r="AB108">
        <f t="shared" si="49"/>
        <v>0</v>
      </c>
      <c r="AC108">
        <f t="shared" si="50"/>
        <v>0</v>
      </c>
      <c r="AD108">
        <f t="shared" si="51"/>
        <v>1607</v>
      </c>
      <c r="AE108">
        <f t="shared" si="44"/>
        <v>12</v>
      </c>
      <c r="AF108">
        <f t="shared" si="52"/>
        <v>84</v>
      </c>
      <c r="AG108">
        <f t="shared" si="45"/>
        <v>12</v>
      </c>
      <c r="AH108">
        <f t="shared" si="25"/>
        <v>0</v>
      </c>
      <c r="AK108" s="205">
        <v>35746</v>
      </c>
      <c r="AL108" t="s">
        <v>508</v>
      </c>
      <c r="AQ108">
        <v>3000000028</v>
      </c>
      <c r="AR108">
        <v>24</v>
      </c>
      <c r="AS108">
        <v>0</v>
      </c>
    </row>
    <row r="109" spans="2:45" x14ac:dyDescent="0.25">
      <c r="B109" s="17">
        <v>6999999999</v>
      </c>
      <c r="C109" s="255" t="s">
        <v>480</v>
      </c>
      <c r="D109" s="256">
        <f ca="1">TODAY()</f>
        <v>46181</v>
      </c>
      <c r="E109">
        <v>35</v>
      </c>
      <c r="G109" t="s">
        <v>273</v>
      </c>
      <c r="H109" s="203">
        <f t="shared" si="26"/>
        <v>1607</v>
      </c>
      <c r="I109" s="6">
        <f t="shared" si="27"/>
        <v>0</v>
      </c>
      <c r="J109" s="200">
        <f>'Synthèse Horaires'!$C$5</f>
        <v>46023</v>
      </c>
      <c r="K109" s="6" t="str">
        <f t="shared" ca="1" si="28"/>
        <v>non</v>
      </c>
      <c r="L109" s="6" t="str">
        <f t="shared" ca="1" si="29"/>
        <v>oui</v>
      </c>
      <c r="M109" s="204" t="str">
        <f t="shared" ca="1" si="30"/>
        <v>non</v>
      </c>
      <c r="N109" s="204">
        <f t="shared" ca="1" si="31"/>
        <v>1576.1808219178083</v>
      </c>
      <c r="O109" s="204" t="str">
        <f t="shared" si="32"/>
        <v>non</v>
      </c>
      <c r="P109" s="6" t="b">
        <f t="shared" si="33"/>
        <v>0</v>
      </c>
      <c r="Q109" s="6">
        <f t="shared" si="41"/>
        <v>0</v>
      </c>
      <c r="R109" s="6">
        <f t="shared" si="42"/>
        <v>0</v>
      </c>
      <c r="T109" s="205" t="s">
        <v>473</v>
      </c>
      <c r="U109">
        <f t="shared" ca="1" si="34"/>
        <v>0</v>
      </c>
      <c r="V109">
        <f t="shared" ca="1" si="35"/>
        <v>0</v>
      </c>
      <c r="W109" t="b">
        <f t="shared" si="36"/>
        <v>0</v>
      </c>
      <c r="X109" s="6" t="str">
        <f t="shared" si="37"/>
        <v>non</v>
      </c>
      <c r="Y109">
        <f t="shared" ca="1" si="38"/>
        <v>1576.1808219178083</v>
      </c>
      <c r="Z109" t="b">
        <f t="shared" si="39"/>
        <v>0</v>
      </c>
      <c r="AA109" s="206">
        <f t="shared" ca="1" si="43"/>
        <v>1747.8246575342466</v>
      </c>
      <c r="AB109">
        <f t="shared" ca="1" si="49"/>
        <v>0</v>
      </c>
      <c r="AC109">
        <f t="shared" ca="1" si="50"/>
        <v>29.424657534246577</v>
      </c>
      <c r="AD109">
        <f t="shared" ca="1" si="51"/>
        <v>1747.8246575342466</v>
      </c>
      <c r="AE109">
        <f t="shared" si="44"/>
        <v>0</v>
      </c>
      <c r="AF109">
        <f t="shared" ca="1" si="52"/>
        <v>0</v>
      </c>
      <c r="AG109">
        <f t="shared" si="45"/>
        <v>0</v>
      </c>
      <c r="AH109">
        <f t="shared" si="25"/>
        <v>0</v>
      </c>
      <c r="AK109" s="205">
        <v>0</v>
      </c>
      <c r="AL109">
        <v>0</v>
      </c>
      <c r="AQ109">
        <v>3000000042</v>
      </c>
      <c r="AR109">
        <v>30</v>
      </c>
      <c r="AS109">
        <v>0</v>
      </c>
    </row>
    <row r="110" spans="2:45" x14ac:dyDescent="0.25">
      <c r="B110" s="17">
        <v>200000034</v>
      </c>
      <c r="C110" s="3" t="s">
        <v>681</v>
      </c>
      <c r="D110" s="200">
        <v>45153</v>
      </c>
      <c r="E110">
        <v>35</v>
      </c>
      <c r="F110">
        <v>0</v>
      </c>
      <c r="G110" t="s">
        <v>273</v>
      </c>
      <c r="H110" s="203">
        <f t="shared" si="26"/>
        <v>1607</v>
      </c>
      <c r="I110" s="6">
        <f t="shared" si="27"/>
        <v>0</v>
      </c>
      <c r="J110" s="200">
        <f>'Synthèse Horaires'!$C$5</f>
        <v>46023</v>
      </c>
      <c r="K110" s="6" t="str">
        <f t="shared" si="28"/>
        <v>oui</v>
      </c>
      <c r="L110" s="6" t="str">
        <f t="shared" si="29"/>
        <v>non</v>
      </c>
      <c r="M110" s="204">
        <f t="shared" si="30"/>
        <v>1607</v>
      </c>
      <c r="N110" s="204">
        <f t="shared" si="31"/>
        <v>0</v>
      </c>
      <c r="O110" s="204" t="str">
        <f t="shared" si="32"/>
        <v>non</v>
      </c>
      <c r="P110" s="6" t="b">
        <f t="shared" si="33"/>
        <v>0</v>
      </c>
      <c r="Q110" s="6">
        <f t="shared" si="41"/>
        <v>0</v>
      </c>
      <c r="R110" s="6">
        <f t="shared" si="42"/>
        <v>0</v>
      </c>
      <c r="T110" s="205" t="s">
        <v>404</v>
      </c>
      <c r="U110">
        <f t="shared" ca="1" si="34"/>
        <v>1028</v>
      </c>
      <c r="V110">
        <f t="shared" ca="1" si="35"/>
        <v>0</v>
      </c>
      <c r="W110" t="b">
        <f t="shared" si="36"/>
        <v>0</v>
      </c>
      <c r="X110" s="6" t="str">
        <f t="shared" si="37"/>
        <v>non</v>
      </c>
      <c r="Y110">
        <f t="shared" si="38"/>
        <v>1607</v>
      </c>
      <c r="Z110" t="b">
        <f t="shared" si="39"/>
        <v>0</v>
      </c>
      <c r="AA110" s="206">
        <f t="shared" si="43"/>
        <v>1628</v>
      </c>
      <c r="AB110">
        <f t="shared" si="49"/>
        <v>0</v>
      </c>
      <c r="AC110">
        <f t="shared" si="50"/>
        <v>0</v>
      </c>
      <c r="AD110">
        <f t="shared" si="51"/>
        <v>1607</v>
      </c>
      <c r="AE110">
        <f t="shared" si="44"/>
        <v>3</v>
      </c>
      <c r="AF110">
        <f t="shared" si="52"/>
        <v>21</v>
      </c>
      <c r="AG110">
        <f t="shared" si="45"/>
        <v>3</v>
      </c>
      <c r="AH110">
        <f t="shared" si="25"/>
        <v>0</v>
      </c>
      <c r="AK110" s="205">
        <v>24161</v>
      </c>
      <c r="AL110" t="s">
        <v>506</v>
      </c>
      <c r="AQ110">
        <v>3000000048</v>
      </c>
      <c r="AR110">
        <v>30</v>
      </c>
      <c r="AS110">
        <v>0</v>
      </c>
    </row>
    <row r="111" spans="2:45" x14ac:dyDescent="0.25">
      <c r="B111" s="296">
        <v>600000032</v>
      </c>
      <c r="C111" s="297" t="s">
        <v>685</v>
      </c>
      <c r="D111" s="200">
        <v>45243</v>
      </c>
      <c r="E111">
        <v>35</v>
      </c>
      <c r="F111">
        <v>0</v>
      </c>
      <c r="G111" t="s">
        <v>273</v>
      </c>
      <c r="H111" s="203">
        <f t="shared" si="26"/>
        <v>1607</v>
      </c>
      <c r="I111" s="6">
        <f t="shared" si="27"/>
        <v>0</v>
      </c>
      <c r="J111" s="200">
        <f>'Synthèse Horaires'!$C$5</f>
        <v>46023</v>
      </c>
      <c r="K111" s="6" t="str">
        <f t="shared" si="28"/>
        <v>oui</v>
      </c>
      <c r="L111" s="6" t="str">
        <f t="shared" si="29"/>
        <v>non</v>
      </c>
      <c r="M111" s="204">
        <f t="shared" si="30"/>
        <v>1607</v>
      </c>
      <c r="N111" s="204">
        <f t="shared" si="31"/>
        <v>0</v>
      </c>
      <c r="O111" s="204" t="str">
        <f t="shared" si="32"/>
        <v>non</v>
      </c>
      <c r="P111" s="6" t="b">
        <f t="shared" si="33"/>
        <v>0</v>
      </c>
      <c r="Q111" s="6">
        <f t="shared" si="41"/>
        <v>0</v>
      </c>
      <c r="R111" s="6">
        <f t="shared" si="42"/>
        <v>0</v>
      </c>
      <c r="T111" s="205" t="s">
        <v>194</v>
      </c>
      <c r="U111">
        <f t="shared" ca="1" si="34"/>
        <v>938</v>
      </c>
      <c r="V111">
        <f t="shared" ca="1" si="35"/>
        <v>0</v>
      </c>
      <c r="W111" t="b">
        <f t="shared" si="36"/>
        <v>0</v>
      </c>
      <c r="X111" s="6" t="str">
        <f t="shared" si="37"/>
        <v>non</v>
      </c>
      <c r="Y111">
        <f t="shared" si="38"/>
        <v>1607</v>
      </c>
      <c r="Z111" t="b">
        <f t="shared" si="39"/>
        <v>0</v>
      </c>
      <c r="AA111" s="206">
        <f t="shared" si="43"/>
        <v>1817</v>
      </c>
      <c r="AB111">
        <f t="shared" si="49"/>
        <v>0</v>
      </c>
      <c r="AC111">
        <f t="shared" si="50"/>
        <v>0</v>
      </c>
      <c r="AD111">
        <f t="shared" si="51"/>
        <v>1607</v>
      </c>
      <c r="AE111">
        <f t="shared" si="44"/>
        <v>30</v>
      </c>
      <c r="AF111">
        <f t="shared" si="52"/>
        <v>210</v>
      </c>
      <c r="AG111">
        <f t="shared" si="45"/>
        <v>30</v>
      </c>
      <c r="AH111">
        <f t="shared" si="25"/>
        <v>0</v>
      </c>
      <c r="AK111" s="205">
        <v>32455</v>
      </c>
      <c r="AL111" t="s">
        <v>506</v>
      </c>
      <c r="AQ111">
        <v>3000000050</v>
      </c>
      <c r="AR111">
        <v>20</v>
      </c>
      <c r="AS111">
        <v>10</v>
      </c>
    </row>
    <row r="112" spans="2:45" x14ac:dyDescent="0.25">
      <c r="B112" s="283">
        <v>200000043</v>
      </c>
      <c r="C112" s="284" t="s">
        <v>765</v>
      </c>
      <c r="D112" s="282">
        <v>45966</v>
      </c>
      <c r="E112" s="285">
        <v>35</v>
      </c>
      <c r="F112" s="285">
        <v>0</v>
      </c>
      <c r="G112" s="285" t="s">
        <v>273</v>
      </c>
      <c r="H112" s="203">
        <f t="shared" si="26"/>
        <v>1607</v>
      </c>
      <c r="I112" s="6">
        <f t="shared" si="27"/>
        <v>0</v>
      </c>
      <c r="J112" s="200">
        <f>'Synthèse Horaires'!$C$5</f>
        <v>46023</v>
      </c>
      <c r="K112" s="6" t="str">
        <f t="shared" si="28"/>
        <v>oui</v>
      </c>
      <c r="L112" s="6" t="str">
        <f t="shared" si="29"/>
        <v>non</v>
      </c>
      <c r="M112" s="204">
        <f t="shared" si="30"/>
        <v>1607</v>
      </c>
      <c r="N112" s="204">
        <f t="shared" si="31"/>
        <v>0</v>
      </c>
      <c r="O112" s="204" t="str">
        <f t="shared" si="32"/>
        <v>non</v>
      </c>
      <c r="P112" s="6" t="b">
        <f t="shared" si="33"/>
        <v>0</v>
      </c>
      <c r="Q112" s="6">
        <f t="shared" si="41"/>
        <v>0</v>
      </c>
      <c r="R112" s="6">
        <f t="shared" si="42"/>
        <v>0</v>
      </c>
      <c r="T112" s="205" t="s">
        <v>404</v>
      </c>
      <c r="U112">
        <f t="shared" ca="1" si="34"/>
        <v>215</v>
      </c>
      <c r="V112">
        <f t="shared" ca="1" si="35"/>
        <v>0</v>
      </c>
      <c r="W112" t="b">
        <f t="shared" si="36"/>
        <v>0</v>
      </c>
      <c r="X112" s="6" t="str">
        <f t="shared" si="37"/>
        <v>non</v>
      </c>
      <c r="Y112">
        <f t="shared" si="38"/>
        <v>1607</v>
      </c>
      <c r="Z112" t="b">
        <f t="shared" si="39"/>
        <v>0</v>
      </c>
      <c r="AA112" s="206">
        <f t="shared" si="43"/>
        <v>1607</v>
      </c>
      <c r="AB112">
        <f t="shared" si="49"/>
        <v>0</v>
      </c>
      <c r="AC112">
        <f t="shared" si="50"/>
        <v>0</v>
      </c>
      <c r="AD112">
        <f t="shared" si="51"/>
        <v>1607</v>
      </c>
      <c r="AE112">
        <f t="shared" si="44"/>
        <v>0</v>
      </c>
      <c r="AF112">
        <f t="shared" si="52"/>
        <v>0</v>
      </c>
      <c r="AG112">
        <f t="shared" si="45"/>
        <v>0</v>
      </c>
      <c r="AH112">
        <f t="shared" si="25"/>
        <v>0</v>
      </c>
      <c r="AK112" s="205">
        <v>38673</v>
      </c>
      <c r="AL112" t="s">
        <v>532</v>
      </c>
      <c r="AQ112">
        <v>3000000054</v>
      </c>
      <c r="AR112">
        <v>17</v>
      </c>
      <c r="AS112">
        <v>10</v>
      </c>
    </row>
    <row r="113" spans="2:45" x14ac:dyDescent="0.25">
      <c r="B113" s="283">
        <v>5000000041</v>
      </c>
      <c r="C113" s="284" t="s">
        <v>758</v>
      </c>
      <c r="D113" s="287">
        <v>45901</v>
      </c>
      <c r="E113" s="288">
        <v>35</v>
      </c>
      <c r="F113" s="288">
        <v>0</v>
      </c>
      <c r="G113" s="288" t="s">
        <v>273</v>
      </c>
      <c r="H113" s="203">
        <f t="shared" si="26"/>
        <v>1607</v>
      </c>
      <c r="I113" s="6">
        <f t="shared" si="27"/>
        <v>0</v>
      </c>
      <c r="J113" s="200">
        <f>'Synthèse Horaires'!$C$5</f>
        <v>46023</v>
      </c>
      <c r="K113" s="6" t="str">
        <f t="shared" si="28"/>
        <v>oui</v>
      </c>
      <c r="L113" s="6" t="str">
        <f t="shared" si="29"/>
        <v>non</v>
      </c>
      <c r="M113" s="204">
        <f t="shared" si="30"/>
        <v>1607</v>
      </c>
      <c r="N113" s="204">
        <f t="shared" si="31"/>
        <v>0</v>
      </c>
      <c r="O113" s="204" t="str">
        <f t="shared" si="32"/>
        <v>non</v>
      </c>
      <c r="P113" s="6" t="b">
        <f t="shared" si="33"/>
        <v>0</v>
      </c>
      <c r="Q113" s="6">
        <f t="shared" si="41"/>
        <v>0</v>
      </c>
      <c r="R113" s="6">
        <f t="shared" si="42"/>
        <v>0</v>
      </c>
      <c r="T113" s="205" t="s">
        <v>458</v>
      </c>
      <c r="U113">
        <f t="shared" ca="1" si="34"/>
        <v>280</v>
      </c>
      <c r="V113">
        <f t="shared" ca="1" si="35"/>
        <v>0</v>
      </c>
      <c r="W113" t="b">
        <f t="shared" si="36"/>
        <v>0</v>
      </c>
      <c r="X113" s="6" t="str">
        <f t="shared" si="37"/>
        <v>non</v>
      </c>
      <c r="Y113">
        <f t="shared" si="38"/>
        <v>1607</v>
      </c>
      <c r="Z113" t="b">
        <f t="shared" si="39"/>
        <v>0</v>
      </c>
      <c r="AA113" s="206">
        <f t="shared" si="43"/>
        <v>1656</v>
      </c>
      <c r="AB113">
        <f t="shared" si="49"/>
        <v>0</v>
      </c>
      <c r="AC113">
        <f t="shared" si="50"/>
        <v>0</v>
      </c>
      <c r="AD113">
        <f t="shared" si="51"/>
        <v>1607</v>
      </c>
      <c r="AE113">
        <f t="shared" si="44"/>
        <v>7</v>
      </c>
      <c r="AF113">
        <f t="shared" si="52"/>
        <v>49</v>
      </c>
      <c r="AG113">
        <f t="shared" si="45"/>
        <v>7</v>
      </c>
      <c r="AH113">
        <f t="shared" si="25"/>
        <v>0</v>
      </c>
      <c r="AK113" s="205">
        <v>38617</v>
      </c>
      <c r="AL113" t="s">
        <v>539</v>
      </c>
      <c r="AQ113">
        <v>4000000001</v>
      </c>
      <c r="AR113">
        <v>30</v>
      </c>
      <c r="AS113">
        <v>0</v>
      </c>
    </row>
    <row r="114" spans="2:45" x14ac:dyDescent="0.25">
      <c r="B114" s="283">
        <v>8000000030</v>
      </c>
      <c r="C114" s="284" t="s">
        <v>806</v>
      </c>
      <c r="D114" s="282">
        <v>46177</v>
      </c>
      <c r="E114" s="285">
        <v>35</v>
      </c>
      <c r="F114" s="285">
        <v>0</v>
      </c>
      <c r="G114" s="285" t="s">
        <v>273</v>
      </c>
      <c r="H114" s="203">
        <f t="shared" si="26"/>
        <v>1607</v>
      </c>
      <c r="I114" s="6">
        <f t="shared" si="27"/>
        <v>0</v>
      </c>
      <c r="J114" s="200">
        <f>'Synthèse Horaires'!$C$5</f>
        <v>46023</v>
      </c>
      <c r="K114" s="6" t="str">
        <f t="shared" si="28"/>
        <v>non</v>
      </c>
      <c r="L114" s="6" t="str">
        <f t="shared" si="29"/>
        <v>oui</v>
      </c>
      <c r="M114" s="204" t="str">
        <f t="shared" si="30"/>
        <v>non</v>
      </c>
      <c r="N114" s="204">
        <f t="shared" si="31"/>
        <v>1593.7917808219179</v>
      </c>
      <c r="O114" s="204" t="str">
        <f t="shared" si="32"/>
        <v>non</v>
      </c>
      <c r="P114" s="6" t="b">
        <f t="shared" si="33"/>
        <v>0</v>
      </c>
      <c r="Q114" s="6">
        <f t="shared" si="41"/>
        <v>0</v>
      </c>
      <c r="R114" s="6">
        <f t="shared" si="42"/>
        <v>0</v>
      </c>
      <c r="T114" s="205" t="s">
        <v>608</v>
      </c>
      <c r="U114">
        <f t="shared" ca="1" si="34"/>
        <v>4</v>
      </c>
      <c r="V114">
        <f t="shared" ca="1" si="35"/>
        <v>0</v>
      </c>
      <c r="W114" t="b">
        <f t="shared" si="36"/>
        <v>0</v>
      </c>
      <c r="X114" s="6" t="str">
        <f t="shared" si="37"/>
        <v>non</v>
      </c>
      <c r="Y114">
        <f t="shared" si="38"/>
        <v>1593.7917808219179</v>
      </c>
      <c r="Z114" t="b">
        <f t="shared" si="39"/>
        <v>0</v>
      </c>
      <c r="AA114" s="206">
        <f t="shared" si="43"/>
        <v>1767.3534246575343</v>
      </c>
      <c r="AB114">
        <f t="shared" si="49"/>
        <v>0</v>
      </c>
      <c r="AC114">
        <f t="shared" si="50"/>
        <v>29.753424657534246</v>
      </c>
      <c r="AD114">
        <f t="shared" si="51"/>
        <v>1767.3534246575343</v>
      </c>
      <c r="AE114">
        <f t="shared" si="44"/>
        <v>0</v>
      </c>
      <c r="AF114">
        <f t="shared" si="52"/>
        <v>0</v>
      </c>
      <c r="AG114">
        <f t="shared" si="45"/>
        <v>0</v>
      </c>
      <c r="AH114">
        <f t="shared" si="25"/>
        <v>0</v>
      </c>
      <c r="AK114" s="205">
        <v>39316</v>
      </c>
      <c r="AL114" t="s">
        <v>509</v>
      </c>
      <c r="AQ114">
        <v>4000000002</v>
      </c>
      <c r="AR114">
        <v>30</v>
      </c>
      <c r="AS114">
        <v>0</v>
      </c>
    </row>
    <row r="115" spans="2:45" x14ac:dyDescent="0.25">
      <c r="B115" s="283">
        <v>7000000053</v>
      </c>
      <c r="C115" s="284" t="s">
        <v>798</v>
      </c>
      <c r="D115" s="282">
        <v>46139</v>
      </c>
      <c r="E115" s="285">
        <v>35</v>
      </c>
      <c r="F115" s="285">
        <v>0</v>
      </c>
      <c r="G115" s="285" t="s">
        <v>273</v>
      </c>
      <c r="H115" s="203">
        <f t="shared" si="26"/>
        <v>1607</v>
      </c>
      <c r="I115" s="6">
        <f t="shared" si="27"/>
        <v>0</v>
      </c>
      <c r="J115" s="200">
        <f>'Synthèse Horaires'!$C$5</f>
        <v>46023</v>
      </c>
      <c r="K115" s="6" t="str">
        <f t="shared" si="28"/>
        <v>oui</v>
      </c>
      <c r="L115" s="6" t="str">
        <f t="shared" si="29"/>
        <v>non</v>
      </c>
      <c r="M115" s="204">
        <f t="shared" si="30"/>
        <v>1607</v>
      </c>
      <c r="N115" s="204">
        <f t="shared" si="31"/>
        <v>0</v>
      </c>
      <c r="O115" s="204" t="str">
        <f t="shared" si="32"/>
        <v>non</v>
      </c>
      <c r="P115" s="6" t="b">
        <f t="shared" si="33"/>
        <v>0</v>
      </c>
      <c r="Q115" s="6">
        <f t="shared" si="41"/>
        <v>0</v>
      </c>
      <c r="R115" s="6">
        <f t="shared" si="42"/>
        <v>0</v>
      </c>
      <c r="T115" s="205" t="s">
        <v>474</v>
      </c>
      <c r="U115">
        <f t="shared" ca="1" si="34"/>
        <v>42</v>
      </c>
      <c r="V115">
        <f t="shared" ca="1" si="35"/>
        <v>0</v>
      </c>
      <c r="W115" t="b">
        <f t="shared" si="36"/>
        <v>0</v>
      </c>
      <c r="X115" s="6" t="str">
        <f t="shared" si="37"/>
        <v>non</v>
      </c>
      <c r="Y115">
        <f t="shared" si="38"/>
        <v>1607</v>
      </c>
      <c r="Z115" t="b">
        <f t="shared" si="39"/>
        <v>0</v>
      </c>
      <c r="AA115" s="206">
        <f t="shared" si="43"/>
        <v>1796</v>
      </c>
      <c r="AB115">
        <f t="shared" si="49"/>
        <v>0</v>
      </c>
      <c r="AC115">
        <f t="shared" si="50"/>
        <v>0</v>
      </c>
      <c r="AD115">
        <f t="shared" si="51"/>
        <v>1607</v>
      </c>
      <c r="AE115">
        <f t="shared" si="44"/>
        <v>27</v>
      </c>
      <c r="AF115">
        <f t="shared" si="52"/>
        <v>189</v>
      </c>
      <c r="AG115">
        <f t="shared" si="45"/>
        <v>27</v>
      </c>
      <c r="AH115">
        <f t="shared" si="25"/>
        <v>0</v>
      </c>
      <c r="AK115" s="205">
        <v>37383</v>
      </c>
      <c r="AL115" t="s">
        <v>509</v>
      </c>
      <c r="AQ115">
        <v>5000000002</v>
      </c>
      <c r="AR115">
        <v>29</v>
      </c>
      <c r="AS115">
        <v>1</v>
      </c>
    </row>
    <row r="116" spans="2:45" x14ac:dyDescent="0.25">
      <c r="B116" s="17">
        <v>1100000005</v>
      </c>
      <c r="C116" s="3" t="s">
        <v>51</v>
      </c>
      <c r="D116" s="200">
        <v>38537</v>
      </c>
      <c r="E116">
        <v>20</v>
      </c>
      <c r="G116" t="s">
        <v>273</v>
      </c>
      <c r="H116" s="203">
        <f t="shared" si="26"/>
        <v>919</v>
      </c>
      <c r="I116" s="6">
        <f t="shared" si="27"/>
        <v>0</v>
      </c>
      <c r="J116" s="200">
        <f>'Synthèse Horaires'!$C$5</f>
        <v>46023</v>
      </c>
      <c r="K116" s="6" t="str">
        <f t="shared" si="28"/>
        <v>oui</v>
      </c>
      <c r="L116" s="6" t="str">
        <f t="shared" si="29"/>
        <v>non</v>
      </c>
      <c r="M116" s="204">
        <f t="shared" si="30"/>
        <v>919</v>
      </c>
      <c r="N116" s="204">
        <f t="shared" si="31"/>
        <v>0</v>
      </c>
      <c r="O116" s="204" t="str">
        <f t="shared" si="32"/>
        <v>non</v>
      </c>
      <c r="P116" s="6" t="b">
        <f t="shared" si="33"/>
        <v>0</v>
      </c>
      <c r="Q116" s="6">
        <f t="shared" si="41"/>
        <v>0</v>
      </c>
      <c r="R116" s="6">
        <f t="shared" si="42"/>
        <v>0</v>
      </c>
      <c r="S116" t="s">
        <v>342</v>
      </c>
      <c r="T116" s="205" t="s">
        <v>190</v>
      </c>
      <c r="U116">
        <f t="shared" ca="1" si="34"/>
        <v>7644</v>
      </c>
      <c r="V116">
        <f t="shared" ca="1" si="35"/>
        <v>2</v>
      </c>
      <c r="W116" t="b">
        <f t="shared" si="36"/>
        <v>0</v>
      </c>
      <c r="X116" s="6">
        <f t="shared" si="37"/>
        <v>20</v>
      </c>
      <c r="Y116">
        <f t="shared" si="38"/>
        <v>919</v>
      </c>
      <c r="Z116" t="b">
        <f t="shared" si="39"/>
        <v>0</v>
      </c>
      <c r="AA116" s="206">
        <f t="shared" si="43"/>
        <v>919</v>
      </c>
      <c r="AB116">
        <f t="shared" si="49"/>
        <v>0</v>
      </c>
      <c r="AC116">
        <f t="shared" si="50"/>
        <v>0</v>
      </c>
      <c r="AD116">
        <f t="shared" si="51"/>
        <v>919</v>
      </c>
      <c r="AE116">
        <f t="shared" si="44"/>
        <v>0</v>
      </c>
      <c r="AF116">
        <f t="shared" si="52"/>
        <v>0</v>
      </c>
      <c r="AG116">
        <f t="shared" si="45"/>
        <v>0</v>
      </c>
      <c r="AH116">
        <f t="shared" si="25"/>
        <v>0</v>
      </c>
      <c r="AK116" s="205">
        <v>28163</v>
      </c>
      <c r="AL116" t="s">
        <v>508</v>
      </c>
      <c r="AQ116">
        <v>5000000005</v>
      </c>
      <c r="AR116">
        <v>30</v>
      </c>
      <c r="AS116">
        <v>0</v>
      </c>
    </row>
    <row r="117" spans="2:45" x14ac:dyDescent="0.25">
      <c r="B117" s="17">
        <v>600000024</v>
      </c>
      <c r="C117" s="3" t="s">
        <v>535</v>
      </c>
      <c r="D117" s="200">
        <v>44119</v>
      </c>
      <c r="E117">
        <v>35</v>
      </c>
      <c r="F117">
        <v>0</v>
      </c>
      <c r="G117" t="s">
        <v>273</v>
      </c>
      <c r="H117" s="203">
        <f t="shared" si="26"/>
        <v>1607</v>
      </c>
      <c r="I117" s="6">
        <f t="shared" si="27"/>
        <v>0</v>
      </c>
      <c r="J117" s="200">
        <f>'Synthèse Horaires'!$C$5</f>
        <v>46023</v>
      </c>
      <c r="K117" s="6" t="str">
        <f t="shared" si="28"/>
        <v>oui</v>
      </c>
      <c r="L117" s="6" t="str">
        <f t="shared" si="29"/>
        <v>non</v>
      </c>
      <c r="M117" s="204">
        <f t="shared" si="30"/>
        <v>1607</v>
      </c>
      <c r="N117" s="204">
        <f t="shared" si="31"/>
        <v>0</v>
      </c>
      <c r="O117" s="204" t="str">
        <f t="shared" si="32"/>
        <v>non</v>
      </c>
      <c r="P117" s="6" t="b">
        <f t="shared" si="33"/>
        <v>0</v>
      </c>
      <c r="Q117" s="6">
        <f t="shared" si="41"/>
        <v>0</v>
      </c>
      <c r="R117" s="6">
        <f t="shared" si="42"/>
        <v>0</v>
      </c>
      <c r="T117" s="205" t="s">
        <v>199</v>
      </c>
      <c r="U117">
        <f t="shared" ca="1" si="34"/>
        <v>2062</v>
      </c>
      <c r="V117">
        <f t="shared" ca="1" si="35"/>
        <v>0</v>
      </c>
      <c r="W117" t="b">
        <f t="shared" si="36"/>
        <v>0</v>
      </c>
      <c r="X117" s="6" t="str">
        <f t="shared" si="37"/>
        <v>non</v>
      </c>
      <c r="Y117">
        <f t="shared" si="38"/>
        <v>1607</v>
      </c>
      <c r="Z117" t="b">
        <f t="shared" si="39"/>
        <v>0</v>
      </c>
      <c r="AA117" s="206">
        <f t="shared" si="43"/>
        <v>1607</v>
      </c>
      <c r="AB117">
        <f t="shared" si="49"/>
        <v>0</v>
      </c>
      <c r="AC117">
        <f t="shared" si="50"/>
        <v>0</v>
      </c>
      <c r="AD117">
        <f t="shared" si="51"/>
        <v>1607</v>
      </c>
      <c r="AE117">
        <f t="shared" si="44"/>
        <v>0</v>
      </c>
      <c r="AF117">
        <f t="shared" si="52"/>
        <v>0</v>
      </c>
      <c r="AG117">
        <f t="shared" si="45"/>
        <v>0</v>
      </c>
      <c r="AH117">
        <f t="shared" ref="AH117:AH180" si="53">IF(G117="Cadre",AG117,0)</f>
        <v>0</v>
      </c>
      <c r="AK117" s="205">
        <v>33381</v>
      </c>
      <c r="AL117" t="s">
        <v>509</v>
      </c>
      <c r="AQ117">
        <v>5000000033</v>
      </c>
      <c r="AR117">
        <v>26.5</v>
      </c>
      <c r="AS117">
        <v>3.5</v>
      </c>
    </row>
    <row r="118" spans="2:45" x14ac:dyDescent="0.25">
      <c r="B118" s="17">
        <v>7000000001</v>
      </c>
      <c r="C118" s="3" t="s">
        <v>475</v>
      </c>
      <c r="D118" s="200">
        <v>43431</v>
      </c>
      <c r="F118">
        <v>218</v>
      </c>
      <c r="G118" t="s">
        <v>102</v>
      </c>
      <c r="H118" s="203">
        <f t="shared" si="26"/>
        <v>0</v>
      </c>
      <c r="I118" s="6">
        <f t="shared" si="27"/>
        <v>436</v>
      </c>
      <c r="J118" s="200">
        <f>'Synthèse Horaires'!$C$5</f>
        <v>46023</v>
      </c>
      <c r="K118" s="6" t="str">
        <f t="shared" si="28"/>
        <v>oui</v>
      </c>
      <c r="L118" s="6" t="str">
        <f t="shared" si="29"/>
        <v>non</v>
      </c>
      <c r="M118" s="204" t="str">
        <f t="shared" si="30"/>
        <v>non</v>
      </c>
      <c r="N118" s="204" t="b">
        <f t="shared" si="31"/>
        <v>0</v>
      </c>
      <c r="O118" s="204">
        <f t="shared" si="32"/>
        <v>218</v>
      </c>
      <c r="P118" s="6">
        <f t="shared" si="33"/>
        <v>0</v>
      </c>
      <c r="Q118" s="6">
        <f t="shared" si="41"/>
        <v>436</v>
      </c>
      <c r="R118" s="6">
        <f t="shared" si="42"/>
        <v>0</v>
      </c>
      <c r="T118" s="205" t="s">
        <v>474</v>
      </c>
      <c r="U118">
        <f t="shared" ca="1" si="34"/>
        <v>2750</v>
      </c>
      <c r="V118" t="b">
        <f t="shared" si="35"/>
        <v>0</v>
      </c>
      <c r="W118">
        <f t="shared" ca="1" si="36"/>
        <v>1</v>
      </c>
      <c r="X118" s="6" t="str">
        <f t="shared" si="37"/>
        <v>non</v>
      </c>
      <c r="Y118" t="b">
        <f t="shared" si="38"/>
        <v>0</v>
      </c>
      <c r="Z118">
        <f t="shared" si="39"/>
        <v>218</v>
      </c>
      <c r="AA118" s="206">
        <f t="shared" si="43"/>
        <v>218</v>
      </c>
      <c r="AB118">
        <f t="shared" si="49"/>
        <v>0</v>
      </c>
      <c r="AC118">
        <f t="shared" si="50"/>
        <v>0</v>
      </c>
      <c r="AD118">
        <f t="shared" si="51"/>
        <v>0</v>
      </c>
      <c r="AE118">
        <f t="shared" si="44"/>
        <v>0</v>
      </c>
      <c r="AF118">
        <f t="shared" si="52"/>
        <v>0</v>
      </c>
      <c r="AG118">
        <f t="shared" si="45"/>
        <v>0</v>
      </c>
      <c r="AH118">
        <f t="shared" si="53"/>
        <v>0</v>
      </c>
      <c r="AJ118" s="9"/>
      <c r="AK118" s="205">
        <v>29025</v>
      </c>
      <c r="AL118" t="s">
        <v>584</v>
      </c>
      <c r="AQ118">
        <v>5000000035</v>
      </c>
      <c r="AR118">
        <v>30</v>
      </c>
      <c r="AS118">
        <v>0</v>
      </c>
    </row>
    <row r="119" spans="2:45" x14ac:dyDescent="0.25">
      <c r="B119" s="17">
        <v>1000000014</v>
      </c>
      <c r="C119" s="3" t="s">
        <v>470</v>
      </c>
      <c r="D119" s="200">
        <v>43619</v>
      </c>
      <c r="E119">
        <v>35</v>
      </c>
      <c r="G119" t="s">
        <v>273</v>
      </c>
      <c r="H119" s="203">
        <f t="shared" si="26"/>
        <v>1607</v>
      </c>
      <c r="I119" s="6">
        <f t="shared" si="27"/>
        <v>0</v>
      </c>
      <c r="J119" s="200">
        <f>'Synthèse Horaires'!$C$5</f>
        <v>46023</v>
      </c>
      <c r="K119" s="6" t="str">
        <f t="shared" si="28"/>
        <v>oui</v>
      </c>
      <c r="L119" s="6" t="str">
        <f t="shared" si="29"/>
        <v>non</v>
      </c>
      <c r="M119" s="204">
        <f t="shared" si="30"/>
        <v>1607</v>
      </c>
      <c r="N119" s="204">
        <f t="shared" si="31"/>
        <v>0</v>
      </c>
      <c r="O119" s="204" t="str">
        <f t="shared" si="32"/>
        <v>non</v>
      </c>
      <c r="P119" s="6" t="b">
        <f t="shared" si="33"/>
        <v>0</v>
      </c>
      <c r="Q119" s="6">
        <f t="shared" si="41"/>
        <v>0</v>
      </c>
      <c r="R119" s="6">
        <f t="shared" si="42"/>
        <v>0</v>
      </c>
      <c r="T119" s="205" t="s">
        <v>193</v>
      </c>
      <c r="U119">
        <f t="shared" ca="1" si="34"/>
        <v>2562</v>
      </c>
      <c r="V119">
        <f t="shared" ca="1" si="35"/>
        <v>0</v>
      </c>
      <c r="W119" t="b">
        <f t="shared" si="36"/>
        <v>0</v>
      </c>
      <c r="X119" s="6" t="str">
        <f t="shared" si="37"/>
        <v>non</v>
      </c>
      <c r="Y119">
        <f t="shared" si="38"/>
        <v>1607</v>
      </c>
      <c r="Z119" t="b">
        <f t="shared" si="39"/>
        <v>0</v>
      </c>
      <c r="AA119" s="206">
        <f t="shared" si="43"/>
        <v>1607</v>
      </c>
      <c r="AB119">
        <f t="shared" si="49"/>
        <v>0</v>
      </c>
      <c r="AC119">
        <f t="shared" si="50"/>
        <v>0</v>
      </c>
      <c r="AD119">
        <f t="shared" si="51"/>
        <v>1607</v>
      </c>
      <c r="AE119">
        <f t="shared" si="44"/>
        <v>0</v>
      </c>
      <c r="AF119">
        <f t="shared" si="52"/>
        <v>0</v>
      </c>
      <c r="AG119">
        <f t="shared" si="45"/>
        <v>0</v>
      </c>
      <c r="AH119">
        <f t="shared" si="53"/>
        <v>0</v>
      </c>
      <c r="AK119" s="205">
        <v>35110</v>
      </c>
      <c r="AL119" t="s">
        <v>581</v>
      </c>
      <c r="AQ119">
        <v>6000000002</v>
      </c>
      <c r="AR119">
        <v>30</v>
      </c>
      <c r="AS119">
        <v>0</v>
      </c>
    </row>
    <row r="120" spans="2:45" x14ac:dyDescent="0.25">
      <c r="B120" s="283">
        <v>9000000019</v>
      </c>
      <c r="C120" s="284" t="s">
        <v>785</v>
      </c>
      <c r="D120" s="282">
        <v>46069</v>
      </c>
      <c r="E120" s="285">
        <v>35</v>
      </c>
      <c r="F120" s="285">
        <v>0</v>
      </c>
      <c r="G120" s="285" t="s">
        <v>273</v>
      </c>
      <c r="H120" s="203">
        <f t="shared" si="26"/>
        <v>1607</v>
      </c>
      <c r="I120" s="6">
        <f t="shared" si="27"/>
        <v>0</v>
      </c>
      <c r="J120" s="200">
        <f>'Synthèse Horaires'!$C$5</f>
        <v>46023</v>
      </c>
      <c r="K120" s="6" t="str">
        <f t="shared" si="28"/>
        <v>oui</v>
      </c>
      <c r="L120" s="6" t="str">
        <f t="shared" si="29"/>
        <v>non</v>
      </c>
      <c r="M120" s="204">
        <f t="shared" si="30"/>
        <v>1607</v>
      </c>
      <c r="N120" s="204">
        <f t="shared" si="31"/>
        <v>0</v>
      </c>
      <c r="O120" s="204" t="str">
        <f t="shared" si="32"/>
        <v>non</v>
      </c>
      <c r="P120" s="6" t="b">
        <f t="shared" si="33"/>
        <v>0</v>
      </c>
      <c r="Q120" s="6">
        <f t="shared" si="41"/>
        <v>0</v>
      </c>
      <c r="R120" s="6">
        <f t="shared" si="42"/>
        <v>0</v>
      </c>
      <c r="T120" s="205" t="s">
        <v>184</v>
      </c>
      <c r="U120">
        <f t="shared" ca="1" si="34"/>
        <v>112</v>
      </c>
      <c r="V120">
        <f t="shared" ca="1" si="35"/>
        <v>0</v>
      </c>
      <c r="W120" t="b">
        <f t="shared" si="36"/>
        <v>0</v>
      </c>
      <c r="X120" s="6" t="str">
        <f t="shared" si="37"/>
        <v>non</v>
      </c>
      <c r="Y120">
        <f t="shared" si="38"/>
        <v>1607</v>
      </c>
      <c r="Z120" t="b">
        <f t="shared" si="39"/>
        <v>0</v>
      </c>
      <c r="AA120" s="206">
        <f t="shared" si="43"/>
        <v>1607</v>
      </c>
      <c r="AB120">
        <f t="shared" si="49"/>
        <v>0</v>
      </c>
      <c r="AC120">
        <f t="shared" si="50"/>
        <v>0</v>
      </c>
      <c r="AD120">
        <f t="shared" si="51"/>
        <v>1607</v>
      </c>
      <c r="AE120">
        <f t="shared" si="44"/>
        <v>0</v>
      </c>
      <c r="AF120">
        <f t="shared" si="52"/>
        <v>0</v>
      </c>
      <c r="AG120">
        <f t="shared" si="45"/>
        <v>0</v>
      </c>
      <c r="AH120">
        <f t="shared" si="53"/>
        <v>0</v>
      </c>
      <c r="AK120" s="205">
        <v>40015</v>
      </c>
      <c r="AL120" t="s">
        <v>509</v>
      </c>
      <c r="AQ120">
        <v>6000000017</v>
      </c>
      <c r="AR120">
        <v>30</v>
      </c>
      <c r="AS120">
        <v>0</v>
      </c>
    </row>
    <row r="121" spans="2:45" x14ac:dyDescent="0.25">
      <c r="B121" s="17">
        <v>800000033</v>
      </c>
      <c r="C121" s="3" t="s">
        <v>619</v>
      </c>
      <c r="D121" s="200">
        <v>44678</v>
      </c>
      <c r="E121">
        <v>35</v>
      </c>
      <c r="F121">
        <v>0</v>
      </c>
      <c r="G121" t="s">
        <v>273</v>
      </c>
      <c r="H121" s="203">
        <f t="shared" si="26"/>
        <v>1607</v>
      </c>
      <c r="I121" s="6">
        <f t="shared" si="27"/>
        <v>0</v>
      </c>
      <c r="J121" s="200">
        <f>'Synthèse Horaires'!$C$5</f>
        <v>46023</v>
      </c>
      <c r="K121" s="6" t="str">
        <f t="shared" si="28"/>
        <v>oui</v>
      </c>
      <c r="L121" s="6" t="str">
        <f t="shared" si="29"/>
        <v>non</v>
      </c>
      <c r="M121" s="204">
        <f t="shared" si="30"/>
        <v>1607</v>
      </c>
      <c r="N121" s="204">
        <f t="shared" si="31"/>
        <v>0</v>
      </c>
      <c r="O121" s="204" t="str">
        <f t="shared" si="32"/>
        <v>non</v>
      </c>
      <c r="P121" s="6" t="b">
        <f t="shared" si="33"/>
        <v>0</v>
      </c>
      <c r="Q121" s="6">
        <f t="shared" si="41"/>
        <v>0</v>
      </c>
      <c r="R121" s="6">
        <f t="shared" si="42"/>
        <v>0</v>
      </c>
      <c r="T121" s="205" t="s">
        <v>192</v>
      </c>
      <c r="U121">
        <f t="shared" ca="1" si="34"/>
        <v>1503</v>
      </c>
      <c r="V121">
        <f t="shared" ca="1" si="35"/>
        <v>0</v>
      </c>
      <c r="W121" t="b">
        <f t="shared" si="36"/>
        <v>0</v>
      </c>
      <c r="X121" s="6" t="str">
        <f t="shared" si="37"/>
        <v>non</v>
      </c>
      <c r="Y121">
        <f t="shared" si="38"/>
        <v>1607</v>
      </c>
      <c r="Z121" t="b">
        <f t="shared" si="39"/>
        <v>0</v>
      </c>
      <c r="AA121" s="206">
        <f t="shared" si="43"/>
        <v>1607</v>
      </c>
      <c r="AB121">
        <f t="shared" si="49"/>
        <v>0</v>
      </c>
      <c r="AC121">
        <f t="shared" si="50"/>
        <v>0</v>
      </c>
      <c r="AD121">
        <f t="shared" si="51"/>
        <v>1607</v>
      </c>
      <c r="AE121">
        <f t="shared" si="44"/>
        <v>0</v>
      </c>
      <c r="AF121">
        <f t="shared" si="52"/>
        <v>0</v>
      </c>
      <c r="AG121">
        <f t="shared" si="45"/>
        <v>0</v>
      </c>
      <c r="AH121">
        <f t="shared" si="53"/>
        <v>0</v>
      </c>
      <c r="AK121" s="205">
        <v>34563</v>
      </c>
      <c r="AL121" t="s">
        <v>514</v>
      </c>
      <c r="AQ121">
        <v>6000000020</v>
      </c>
      <c r="AR121">
        <v>30</v>
      </c>
      <c r="AS121">
        <v>0</v>
      </c>
    </row>
    <row r="122" spans="2:45" x14ac:dyDescent="0.25">
      <c r="B122" s="283">
        <v>900000032</v>
      </c>
      <c r="C122" s="284" t="s">
        <v>799</v>
      </c>
      <c r="D122" s="282">
        <v>46139</v>
      </c>
      <c r="E122" s="285">
        <v>35</v>
      </c>
      <c r="F122" s="285">
        <v>0</v>
      </c>
      <c r="G122" s="285" t="s">
        <v>273</v>
      </c>
      <c r="H122" s="203">
        <f t="shared" si="26"/>
        <v>1607</v>
      </c>
      <c r="I122" s="6">
        <f t="shared" si="27"/>
        <v>0</v>
      </c>
      <c r="J122" s="200">
        <f>'Synthèse Horaires'!$C$5</f>
        <v>46023</v>
      </c>
      <c r="K122" s="6" t="str">
        <f t="shared" si="28"/>
        <v>oui</v>
      </c>
      <c r="L122" s="6" t="str">
        <f t="shared" si="29"/>
        <v>non</v>
      </c>
      <c r="M122" s="204">
        <f t="shared" si="30"/>
        <v>1607</v>
      </c>
      <c r="N122" s="204">
        <f t="shared" si="31"/>
        <v>0</v>
      </c>
      <c r="O122" s="204" t="str">
        <f t="shared" si="32"/>
        <v>non</v>
      </c>
      <c r="P122" s="6" t="b">
        <f t="shared" si="33"/>
        <v>0</v>
      </c>
      <c r="Q122" s="6">
        <f t="shared" si="41"/>
        <v>0</v>
      </c>
      <c r="R122" s="6">
        <f t="shared" si="42"/>
        <v>0</v>
      </c>
      <c r="T122" s="205" t="s">
        <v>198</v>
      </c>
      <c r="U122">
        <f t="shared" ca="1" si="34"/>
        <v>42</v>
      </c>
      <c r="V122">
        <f t="shared" ca="1" si="35"/>
        <v>0</v>
      </c>
      <c r="W122" t="b">
        <f t="shared" si="36"/>
        <v>0</v>
      </c>
      <c r="X122" s="6" t="str">
        <f t="shared" si="37"/>
        <v>non</v>
      </c>
      <c r="Y122">
        <f t="shared" si="38"/>
        <v>1607</v>
      </c>
      <c r="Z122" t="b">
        <f t="shared" si="39"/>
        <v>0</v>
      </c>
      <c r="AA122" s="206">
        <f t="shared" si="43"/>
        <v>1796</v>
      </c>
      <c r="AB122">
        <f t="shared" si="49"/>
        <v>0</v>
      </c>
      <c r="AC122">
        <f t="shared" si="50"/>
        <v>0</v>
      </c>
      <c r="AD122">
        <f t="shared" si="51"/>
        <v>1607</v>
      </c>
      <c r="AE122">
        <f t="shared" si="44"/>
        <v>27</v>
      </c>
      <c r="AF122">
        <f t="shared" si="52"/>
        <v>189</v>
      </c>
      <c r="AG122">
        <f t="shared" si="45"/>
        <v>27</v>
      </c>
      <c r="AH122">
        <f t="shared" si="53"/>
        <v>0</v>
      </c>
      <c r="AK122" s="205">
        <v>39087</v>
      </c>
      <c r="AL122" t="s">
        <v>539</v>
      </c>
      <c r="AQ122">
        <v>7000000001</v>
      </c>
      <c r="AR122">
        <v>30</v>
      </c>
      <c r="AS122">
        <v>0</v>
      </c>
    </row>
    <row r="123" spans="2:45" x14ac:dyDescent="0.25">
      <c r="B123" s="283">
        <v>3000000073</v>
      </c>
      <c r="C123" s="284" t="s">
        <v>790</v>
      </c>
      <c r="D123" s="282">
        <v>46113</v>
      </c>
      <c r="E123" s="285">
        <v>35</v>
      </c>
      <c r="F123" s="285">
        <v>0</v>
      </c>
      <c r="G123" s="285" t="s">
        <v>273</v>
      </c>
      <c r="H123" s="203">
        <f t="shared" si="26"/>
        <v>1607</v>
      </c>
      <c r="I123" s="6">
        <f t="shared" si="27"/>
        <v>0</v>
      </c>
      <c r="J123" s="200">
        <f>'Synthèse Horaires'!$C$5</f>
        <v>46023</v>
      </c>
      <c r="K123" s="6" t="str">
        <f t="shared" si="28"/>
        <v>oui</v>
      </c>
      <c r="L123" s="6" t="str">
        <f t="shared" si="29"/>
        <v>non</v>
      </c>
      <c r="M123" s="204">
        <f t="shared" si="30"/>
        <v>1607</v>
      </c>
      <c r="N123" s="204">
        <f t="shared" si="31"/>
        <v>0</v>
      </c>
      <c r="O123" s="204" t="str">
        <f t="shared" si="32"/>
        <v>non</v>
      </c>
      <c r="P123" s="6" t="b">
        <f t="shared" si="33"/>
        <v>0</v>
      </c>
      <c r="Q123" s="6">
        <f t="shared" si="41"/>
        <v>0</v>
      </c>
      <c r="R123" s="6">
        <f t="shared" si="42"/>
        <v>0</v>
      </c>
      <c r="T123" s="205" t="s">
        <v>465</v>
      </c>
      <c r="U123">
        <f t="shared" ca="1" si="34"/>
        <v>68</v>
      </c>
      <c r="V123">
        <f t="shared" ca="1" si="35"/>
        <v>0</v>
      </c>
      <c r="W123" t="b">
        <f t="shared" si="36"/>
        <v>0</v>
      </c>
      <c r="X123" s="6" t="str">
        <f t="shared" si="37"/>
        <v>non</v>
      </c>
      <c r="Y123">
        <f t="shared" si="38"/>
        <v>1607</v>
      </c>
      <c r="Z123" t="b">
        <f t="shared" si="39"/>
        <v>0</v>
      </c>
      <c r="AA123" s="206">
        <f t="shared" si="43"/>
        <v>1789</v>
      </c>
      <c r="AB123">
        <f t="shared" si="49"/>
        <v>0</v>
      </c>
      <c r="AC123">
        <f t="shared" si="50"/>
        <v>0</v>
      </c>
      <c r="AD123">
        <f t="shared" si="51"/>
        <v>1607</v>
      </c>
      <c r="AE123">
        <f t="shared" si="44"/>
        <v>26</v>
      </c>
      <c r="AF123">
        <f t="shared" si="52"/>
        <v>182</v>
      </c>
      <c r="AG123">
        <f t="shared" si="45"/>
        <v>26</v>
      </c>
      <c r="AH123">
        <f t="shared" si="53"/>
        <v>0</v>
      </c>
      <c r="AK123" s="205">
        <v>31534</v>
      </c>
      <c r="AL123" t="s">
        <v>506</v>
      </c>
      <c r="AQ123">
        <v>7000000024</v>
      </c>
      <c r="AR123">
        <v>30</v>
      </c>
      <c r="AS123">
        <v>0</v>
      </c>
    </row>
    <row r="124" spans="2:45" x14ac:dyDescent="0.25">
      <c r="B124" s="17">
        <v>3000000054</v>
      </c>
      <c r="C124" s="3" t="s">
        <v>743</v>
      </c>
      <c r="D124" s="200">
        <v>45418</v>
      </c>
      <c r="E124">
        <v>35</v>
      </c>
      <c r="F124">
        <v>0</v>
      </c>
      <c r="G124" t="s">
        <v>273</v>
      </c>
      <c r="H124" s="203">
        <f t="shared" si="26"/>
        <v>1607</v>
      </c>
      <c r="I124" s="6">
        <f t="shared" si="27"/>
        <v>0</v>
      </c>
      <c r="J124" s="200">
        <f>'Synthèse Horaires'!$C$5</f>
        <v>46023</v>
      </c>
      <c r="K124" s="6" t="str">
        <f t="shared" si="28"/>
        <v>oui</v>
      </c>
      <c r="L124" s="6" t="str">
        <f t="shared" si="29"/>
        <v>non</v>
      </c>
      <c r="M124" s="204">
        <f t="shared" si="30"/>
        <v>1607</v>
      </c>
      <c r="N124" s="204">
        <f t="shared" si="31"/>
        <v>0</v>
      </c>
      <c r="O124" s="204" t="str">
        <f t="shared" si="32"/>
        <v>non</v>
      </c>
      <c r="P124" s="6" t="b">
        <f t="shared" si="33"/>
        <v>0</v>
      </c>
      <c r="Q124" s="6">
        <f t="shared" si="41"/>
        <v>0</v>
      </c>
      <c r="R124" s="6">
        <f t="shared" si="42"/>
        <v>0</v>
      </c>
      <c r="T124" s="205" t="s">
        <v>465</v>
      </c>
      <c r="U124">
        <f t="shared" ca="1" si="34"/>
        <v>763</v>
      </c>
      <c r="V124">
        <f t="shared" ca="1" si="35"/>
        <v>0</v>
      </c>
      <c r="W124" t="b">
        <f t="shared" si="36"/>
        <v>0</v>
      </c>
      <c r="X124" s="6" t="str">
        <f t="shared" si="37"/>
        <v>non</v>
      </c>
      <c r="Y124">
        <f t="shared" si="38"/>
        <v>1607</v>
      </c>
      <c r="Z124" t="b">
        <f t="shared" si="39"/>
        <v>0</v>
      </c>
      <c r="AA124" s="206">
        <f t="shared" si="43"/>
        <v>1698</v>
      </c>
      <c r="AB124">
        <f t="shared" si="49"/>
        <v>0</v>
      </c>
      <c r="AC124">
        <f t="shared" si="50"/>
        <v>0</v>
      </c>
      <c r="AD124">
        <f t="shared" si="51"/>
        <v>1607</v>
      </c>
      <c r="AE124">
        <f t="shared" si="44"/>
        <v>13</v>
      </c>
      <c r="AF124">
        <f t="shared" si="52"/>
        <v>91</v>
      </c>
      <c r="AG124">
        <f t="shared" si="45"/>
        <v>13</v>
      </c>
      <c r="AH124">
        <f t="shared" si="53"/>
        <v>0</v>
      </c>
      <c r="AK124" s="205">
        <v>37416</v>
      </c>
      <c r="AL124" t="s">
        <v>704</v>
      </c>
      <c r="AQ124">
        <v>7000000037</v>
      </c>
      <c r="AR124">
        <v>30</v>
      </c>
      <c r="AS124">
        <v>0</v>
      </c>
    </row>
    <row r="125" spans="2:45" x14ac:dyDescent="0.25">
      <c r="B125" s="283">
        <v>7000000050</v>
      </c>
      <c r="C125" s="284" t="s">
        <v>791</v>
      </c>
      <c r="D125" s="282">
        <v>46104</v>
      </c>
      <c r="E125" s="285">
        <v>35</v>
      </c>
      <c r="F125" s="285">
        <v>0</v>
      </c>
      <c r="G125" s="285" t="s">
        <v>273</v>
      </c>
      <c r="H125" s="203">
        <f t="shared" si="26"/>
        <v>1607</v>
      </c>
      <c r="I125" s="6">
        <f t="shared" si="27"/>
        <v>0</v>
      </c>
      <c r="J125" s="200">
        <f>'Synthèse Horaires'!$C$5</f>
        <v>46023</v>
      </c>
      <c r="K125" s="6" t="str">
        <f t="shared" si="28"/>
        <v>oui</v>
      </c>
      <c r="L125" s="6" t="str">
        <f t="shared" si="29"/>
        <v>non</v>
      </c>
      <c r="M125" s="204">
        <f t="shared" si="30"/>
        <v>1607</v>
      </c>
      <c r="N125" s="204">
        <f t="shared" si="31"/>
        <v>0</v>
      </c>
      <c r="O125" s="204" t="str">
        <f t="shared" si="32"/>
        <v>non</v>
      </c>
      <c r="P125" s="6" t="b">
        <f t="shared" si="33"/>
        <v>0</v>
      </c>
      <c r="Q125" s="6">
        <f t="shared" si="41"/>
        <v>0</v>
      </c>
      <c r="R125" s="6">
        <f t="shared" si="42"/>
        <v>0</v>
      </c>
      <c r="T125" s="205" t="s">
        <v>474</v>
      </c>
      <c r="U125">
        <f t="shared" ca="1" si="34"/>
        <v>77</v>
      </c>
      <c r="V125">
        <f t="shared" ca="1" si="35"/>
        <v>0</v>
      </c>
      <c r="W125" t="b">
        <f t="shared" si="36"/>
        <v>0</v>
      </c>
      <c r="X125" s="6" t="str">
        <f t="shared" si="37"/>
        <v>non</v>
      </c>
      <c r="Y125">
        <f t="shared" si="38"/>
        <v>1607</v>
      </c>
      <c r="Z125" t="b">
        <f t="shared" si="39"/>
        <v>0</v>
      </c>
      <c r="AA125" s="206">
        <f t="shared" si="43"/>
        <v>1607</v>
      </c>
      <c r="AB125">
        <f t="shared" si="49"/>
        <v>0</v>
      </c>
      <c r="AC125">
        <f t="shared" si="50"/>
        <v>0</v>
      </c>
      <c r="AD125">
        <f t="shared" si="51"/>
        <v>1607</v>
      </c>
      <c r="AE125">
        <f t="shared" si="44"/>
        <v>0</v>
      </c>
      <c r="AF125">
        <f t="shared" si="52"/>
        <v>0</v>
      </c>
      <c r="AG125">
        <f t="shared" si="45"/>
        <v>0</v>
      </c>
      <c r="AH125">
        <f t="shared" si="53"/>
        <v>0</v>
      </c>
      <c r="AK125" s="205">
        <v>32742</v>
      </c>
      <c r="AL125" t="s">
        <v>509</v>
      </c>
      <c r="AQ125">
        <v>8000000002</v>
      </c>
      <c r="AR125">
        <v>29</v>
      </c>
      <c r="AS125">
        <v>1</v>
      </c>
    </row>
    <row r="126" spans="2:45" x14ac:dyDescent="0.25">
      <c r="B126" s="17">
        <v>1200000005</v>
      </c>
      <c r="C126" s="3" t="s">
        <v>52</v>
      </c>
      <c r="D126" s="200">
        <v>41580</v>
      </c>
      <c r="F126">
        <v>218</v>
      </c>
      <c r="G126" t="s">
        <v>102</v>
      </c>
      <c r="H126" s="203">
        <f t="shared" si="26"/>
        <v>0</v>
      </c>
      <c r="I126" s="6">
        <f t="shared" si="27"/>
        <v>436</v>
      </c>
      <c r="J126" s="200">
        <f>'Synthèse Horaires'!$C$5</f>
        <v>46023</v>
      </c>
      <c r="K126" s="6" t="str">
        <f t="shared" si="28"/>
        <v>oui</v>
      </c>
      <c r="L126" s="6" t="str">
        <f t="shared" si="29"/>
        <v>non</v>
      </c>
      <c r="M126" s="204" t="str">
        <f t="shared" si="30"/>
        <v>non</v>
      </c>
      <c r="N126" s="204" t="b">
        <f t="shared" si="31"/>
        <v>0</v>
      </c>
      <c r="O126" s="204">
        <f t="shared" si="32"/>
        <v>218</v>
      </c>
      <c r="P126" s="6">
        <f t="shared" si="33"/>
        <v>0</v>
      </c>
      <c r="Q126" s="6">
        <f t="shared" si="41"/>
        <v>436</v>
      </c>
      <c r="R126" s="6">
        <f t="shared" si="42"/>
        <v>0</v>
      </c>
      <c r="T126" s="205" t="s">
        <v>199</v>
      </c>
      <c r="U126">
        <f t="shared" ca="1" si="34"/>
        <v>4601</v>
      </c>
      <c r="V126" t="b">
        <f t="shared" si="35"/>
        <v>0</v>
      </c>
      <c r="W126">
        <f t="shared" ca="1" si="36"/>
        <v>2</v>
      </c>
      <c r="X126" s="6" t="str">
        <f t="shared" si="37"/>
        <v>non</v>
      </c>
      <c r="Y126" t="b">
        <f t="shared" si="38"/>
        <v>0</v>
      </c>
      <c r="Z126">
        <f t="shared" si="39"/>
        <v>218</v>
      </c>
      <c r="AA126" s="206">
        <f t="shared" si="43"/>
        <v>218</v>
      </c>
      <c r="AB126">
        <f t="shared" si="49"/>
        <v>0</v>
      </c>
      <c r="AC126">
        <f t="shared" si="50"/>
        <v>0</v>
      </c>
      <c r="AD126">
        <f t="shared" si="51"/>
        <v>0</v>
      </c>
      <c r="AE126">
        <f t="shared" si="44"/>
        <v>0</v>
      </c>
      <c r="AF126">
        <f t="shared" si="52"/>
        <v>0</v>
      </c>
      <c r="AG126">
        <f t="shared" si="45"/>
        <v>0</v>
      </c>
      <c r="AH126">
        <f t="shared" si="53"/>
        <v>0</v>
      </c>
      <c r="AK126" s="205">
        <v>25930</v>
      </c>
      <c r="AL126" t="s">
        <v>585</v>
      </c>
      <c r="AQ126">
        <v>8000000012</v>
      </c>
      <c r="AR126">
        <v>0</v>
      </c>
      <c r="AS126">
        <v>0</v>
      </c>
    </row>
    <row r="127" spans="2:45" x14ac:dyDescent="0.25">
      <c r="B127" s="283">
        <v>1200000057</v>
      </c>
      <c r="C127" s="284" t="s">
        <v>766</v>
      </c>
      <c r="D127" s="282">
        <v>45943</v>
      </c>
      <c r="E127" s="285">
        <v>35</v>
      </c>
      <c r="F127" s="285">
        <v>0</v>
      </c>
      <c r="G127" s="285" t="s">
        <v>273</v>
      </c>
      <c r="H127" s="203">
        <f t="shared" si="26"/>
        <v>1607</v>
      </c>
      <c r="I127" s="6">
        <f t="shared" si="27"/>
        <v>0</v>
      </c>
      <c r="J127" s="200">
        <f>'Synthèse Horaires'!$C$5</f>
        <v>46023</v>
      </c>
      <c r="K127" s="6" t="str">
        <f t="shared" si="28"/>
        <v>oui</v>
      </c>
      <c r="L127" s="6" t="str">
        <f t="shared" si="29"/>
        <v>non</v>
      </c>
      <c r="M127" s="204">
        <f t="shared" si="30"/>
        <v>1607</v>
      </c>
      <c r="N127" s="204">
        <f t="shared" si="31"/>
        <v>0</v>
      </c>
      <c r="O127" s="204" t="str">
        <f t="shared" si="32"/>
        <v>non</v>
      </c>
      <c r="P127" s="6" t="b">
        <f t="shared" si="33"/>
        <v>0</v>
      </c>
      <c r="Q127" s="6">
        <f t="shared" si="41"/>
        <v>0</v>
      </c>
      <c r="R127" s="6">
        <f t="shared" si="42"/>
        <v>0</v>
      </c>
      <c r="T127" s="205" t="s">
        <v>195</v>
      </c>
      <c r="U127">
        <f t="shared" ca="1" si="34"/>
        <v>238</v>
      </c>
      <c r="V127">
        <f t="shared" ca="1" si="35"/>
        <v>0</v>
      </c>
      <c r="W127" t="b">
        <f t="shared" si="36"/>
        <v>0</v>
      </c>
      <c r="X127" s="6" t="str">
        <f t="shared" si="37"/>
        <v>non</v>
      </c>
      <c r="Y127">
        <f t="shared" si="38"/>
        <v>1607</v>
      </c>
      <c r="Z127" t="b">
        <f t="shared" si="39"/>
        <v>0</v>
      </c>
      <c r="AA127" s="206">
        <f t="shared" si="43"/>
        <v>1740</v>
      </c>
      <c r="AB127">
        <f t="shared" si="49"/>
        <v>0</v>
      </c>
      <c r="AC127">
        <f t="shared" si="50"/>
        <v>0</v>
      </c>
      <c r="AD127">
        <f t="shared" si="51"/>
        <v>1607</v>
      </c>
      <c r="AE127">
        <f t="shared" si="44"/>
        <v>19</v>
      </c>
      <c r="AF127">
        <f t="shared" si="52"/>
        <v>133</v>
      </c>
      <c r="AG127">
        <f t="shared" si="45"/>
        <v>19</v>
      </c>
      <c r="AH127">
        <f t="shared" si="53"/>
        <v>0</v>
      </c>
      <c r="AK127" s="205">
        <v>32805</v>
      </c>
      <c r="AL127" t="s">
        <v>514</v>
      </c>
      <c r="AQ127">
        <v>8000000013</v>
      </c>
      <c r="AR127">
        <v>25</v>
      </c>
      <c r="AS127">
        <v>5</v>
      </c>
    </row>
    <row r="128" spans="2:45" x14ac:dyDescent="0.25">
      <c r="B128" s="17">
        <v>7999999999</v>
      </c>
      <c r="C128" s="255" t="s">
        <v>481</v>
      </c>
      <c r="D128" s="256">
        <f ca="1">TODAY()</f>
        <v>46181</v>
      </c>
      <c r="E128">
        <v>35</v>
      </c>
      <c r="G128" t="s">
        <v>273</v>
      </c>
      <c r="H128" s="203">
        <f t="shared" si="26"/>
        <v>1607</v>
      </c>
      <c r="I128" s="6">
        <f t="shared" si="27"/>
        <v>0</v>
      </c>
      <c r="J128" s="200">
        <f>'Synthèse Horaires'!$C$5</f>
        <v>46023</v>
      </c>
      <c r="K128" s="6" t="str">
        <f t="shared" ca="1" si="28"/>
        <v>non</v>
      </c>
      <c r="L128" s="6" t="str">
        <f t="shared" ca="1" si="29"/>
        <v>oui</v>
      </c>
      <c r="M128" s="204" t="str">
        <f t="shared" ca="1" si="30"/>
        <v>non</v>
      </c>
      <c r="N128" s="204">
        <f t="shared" ca="1" si="31"/>
        <v>1576.1808219178083</v>
      </c>
      <c r="O128" s="204" t="str">
        <f t="shared" si="32"/>
        <v>non</v>
      </c>
      <c r="P128" s="6" t="b">
        <f t="shared" si="33"/>
        <v>0</v>
      </c>
      <c r="Q128" s="6">
        <f t="shared" si="41"/>
        <v>0</v>
      </c>
      <c r="R128" s="6">
        <f t="shared" si="42"/>
        <v>0</v>
      </c>
      <c r="T128" s="205" t="s">
        <v>474</v>
      </c>
      <c r="U128">
        <f t="shared" ca="1" si="34"/>
        <v>0</v>
      </c>
      <c r="V128">
        <f t="shared" ca="1" si="35"/>
        <v>0</v>
      </c>
      <c r="W128" t="b">
        <f t="shared" si="36"/>
        <v>0</v>
      </c>
      <c r="X128" s="6" t="str">
        <f t="shared" si="37"/>
        <v>non</v>
      </c>
      <c r="Y128">
        <f t="shared" ca="1" si="38"/>
        <v>1576.1808219178083</v>
      </c>
      <c r="Z128" t="b">
        <f t="shared" si="39"/>
        <v>0</v>
      </c>
      <c r="AA128" s="206">
        <f t="shared" ca="1" si="43"/>
        <v>1747.8246575342466</v>
      </c>
      <c r="AB128">
        <f t="shared" ca="1" si="49"/>
        <v>0</v>
      </c>
      <c r="AC128">
        <f t="shared" ca="1" si="50"/>
        <v>29.424657534246577</v>
      </c>
      <c r="AD128">
        <f t="shared" ca="1" si="51"/>
        <v>1747.8246575342466</v>
      </c>
      <c r="AE128">
        <f t="shared" si="44"/>
        <v>0</v>
      </c>
      <c r="AF128">
        <f t="shared" ca="1" si="52"/>
        <v>0</v>
      </c>
      <c r="AG128">
        <f t="shared" si="45"/>
        <v>0</v>
      </c>
      <c r="AH128">
        <f t="shared" si="53"/>
        <v>0</v>
      </c>
      <c r="AJ128" s="9"/>
      <c r="AK128" s="205">
        <v>0</v>
      </c>
      <c r="AL128">
        <v>0</v>
      </c>
      <c r="AQ128">
        <v>9000000005</v>
      </c>
      <c r="AR128">
        <v>30</v>
      </c>
      <c r="AS128">
        <v>0</v>
      </c>
    </row>
    <row r="129" spans="2:45" x14ac:dyDescent="0.25">
      <c r="B129" s="283">
        <v>7000000049</v>
      </c>
      <c r="C129" s="284" t="s">
        <v>786</v>
      </c>
      <c r="D129" s="282">
        <v>46097</v>
      </c>
      <c r="E129" s="285">
        <v>35</v>
      </c>
      <c r="F129" s="285">
        <v>0</v>
      </c>
      <c r="G129" s="285" t="s">
        <v>273</v>
      </c>
      <c r="H129" s="203">
        <f t="shared" si="26"/>
        <v>1607</v>
      </c>
      <c r="I129" s="6">
        <f t="shared" si="27"/>
        <v>0</v>
      </c>
      <c r="J129" s="200">
        <f>'Synthèse Horaires'!$C$5</f>
        <v>46023</v>
      </c>
      <c r="K129" s="6" t="str">
        <f t="shared" si="28"/>
        <v>oui</v>
      </c>
      <c r="L129" s="6" t="str">
        <f t="shared" si="29"/>
        <v>non</v>
      </c>
      <c r="M129" s="204">
        <f t="shared" si="30"/>
        <v>1607</v>
      </c>
      <c r="N129" s="204">
        <f t="shared" si="31"/>
        <v>0</v>
      </c>
      <c r="O129" s="204" t="str">
        <f t="shared" si="32"/>
        <v>non</v>
      </c>
      <c r="P129" s="6" t="b">
        <f t="shared" si="33"/>
        <v>0</v>
      </c>
      <c r="Q129" s="6">
        <f t="shared" si="41"/>
        <v>0</v>
      </c>
      <c r="R129" s="6">
        <f t="shared" si="42"/>
        <v>0</v>
      </c>
      <c r="T129" s="205" t="s">
        <v>474</v>
      </c>
      <c r="U129">
        <f t="shared" ca="1" si="34"/>
        <v>84</v>
      </c>
      <c r="V129">
        <f t="shared" ca="1" si="35"/>
        <v>0</v>
      </c>
      <c r="W129" t="b">
        <f t="shared" si="36"/>
        <v>0</v>
      </c>
      <c r="X129" s="6" t="str">
        <f t="shared" si="37"/>
        <v>non</v>
      </c>
      <c r="Y129">
        <f t="shared" si="38"/>
        <v>1607</v>
      </c>
      <c r="Z129" t="b">
        <f t="shared" si="39"/>
        <v>0</v>
      </c>
      <c r="AA129" s="206">
        <f t="shared" si="43"/>
        <v>1768</v>
      </c>
      <c r="AB129">
        <f t="shared" si="49"/>
        <v>0</v>
      </c>
      <c r="AC129">
        <f t="shared" si="50"/>
        <v>0</v>
      </c>
      <c r="AD129">
        <f t="shared" si="51"/>
        <v>1607</v>
      </c>
      <c r="AE129">
        <f t="shared" si="44"/>
        <v>23</v>
      </c>
      <c r="AF129">
        <f t="shared" si="52"/>
        <v>161</v>
      </c>
      <c r="AG129">
        <f t="shared" si="45"/>
        <v>23</v>
      </c>
      <c r="AH129">
        <f t="shared" si="53"/>
        <v>0</v>
      </c>
      <c r="AJ129" s="9"/>
      <c r="AK129" s="205">
        <v>34760</v>
      </c>
      <c r="AL129" t="s">
        <v>508</v>
      </c>
      <c r="AQ129" t="s">
        <v>740</v>
      </c>
      <c r="AR129">
        <v>0</v>
      </c>
      <c r="AS129">
        <v>0</v>
      </c>
    </row>
    <row r="130" spans="2:45" x14ac:dyDescent="0.25">
      <c r="B130" s="296">
        <v>8000000026</v>
      </c>
      <c r="C130" s="297" t="s">
        <v>759</v>
      </c>
      <c r="D130" s="282">
        <v>45901</v>
      </c>
      <c r="E130" s="285">
        <v>35</v>
      </c>
      <c r="F130" s="285">
        <v>0</v>
      </c>
      <c r="G130" s="285" t="s">
        <v>273</v>
      </c>
      <c r="H130" s="203">
        <f t="shared" si="26"/>
        <v>1607</v>
      </c>
      <c r="I130" s="6">
        <f t="shared" si="27"/>
        <v>0</v>
      </c>
      <c r="J130" s="200">
        <f>'Synthèse Horaires'!$C$5</f>
        <v>46023</v>
      </c>
      <c r="K130" s="6" t="str">
        <f t="shared" si="28"/>
        <v>oui</v>
      </c>
      <c r="L130" s="6" t="str">
        <f t="shared" si="29"/>
        <v>non</v>
      </c>
      <c r="M130" s="204">
        <f t="shared" si="30"/>
        <v>1607</v>
      </c>
      <c r="N130" s="204">
        <f t="shared" si="31"/>
        <v>0</v>
      </c>
      <c r="O130" s="204" t="str">
        <f t="shared" si="32"/>
        <v>non</v>
      </c>
      <c r="P130" s="6" t="b">
        <f t="shared" si="33"/>
        <v>0</v>
      </c>
      <c r="Q130" s="6">
        <f t="shared" si="41"/>
        <v>0</v>
      </c>
      <c r="R130" s="6">
        <f t="shared" si="42"/>
        <v>0</v>
      </c>
      <c r="T130" s="205" t="s">
        <v>608</v>
      </c>
      <c r="U130">
        <f t="shared" ca="1" si="34"/>
        <v>280</v>
      </c>
      <c r="V130">
        <f t="shared" ca="1" si="35"/>
        <v>0</v>
      </c>
      <c r="W130" t="b">
        <f t="shared" si="36"/>
        <v>0</v>
      </c>
      <c r="X130" s="6" t="str">
        <f t="shared" si="37"/>
        <v>non</v>
      </c>
      <c r="Y130">
        <f t="shared" si="38"/>
        <v>1607</v>
      </c>
      <c r="Z130" t="b">
        <f t="shared" si="39"/>
        <v>0</v>
      </c>
      <c r="AA130" s="206">
        <f t="shared" si="43"/>
        <v>1817</v>
      </c>
      <c r="AB130">
        <f t="shared" si="49"/>
        <v>0</v>
      </c>
      <c r="AC130">
        <f t="shared" si="50"/>
        <v>0</v>
      </c>
      <c r="AD130">
        <f t="shared" si="51"/>
        <v>1607</v>
      </c>
      <c r="AE130">
        <f t="shared" si="44"/>
        <v>30</v>
      </c>
      <c r="AF130">
        <f t="shared" si="52"/>
        <v>210</v>
      </c>
      <c r="AG130">
        <f t="shared" si="45"/>
        <v>30</v>
      </c>
      <c r="AH130">
        <f t="shared" si="53"/>
        <v>0</v>
      </c>
      <c r="AK130" s="205">
        <v>29704</v>
      </c>
      <c r="AL130" t="s">
        <v>508</v>
      </c>
      <c r="AQ130">
        <v>800000036</v>
      </c>
      <c r="AR130">
        <v>28</v>
      </c>
      <c r="AS130">
        <v>2</v>
      </c>
    </row>
    <row r="131" spans="2:45" x14ac:dyDescent="0.25">
      <c r="B131" s="17">
        <v>400000024</v>
      </c>
      <c r="C131" s="3" t="s">
        <v>686</v>
      </c>
      <c r="D131" s="200">
        <v>45146</v>
      </c>
      <c r="E131">
        <v>35</v>
      </c>
      <c r="F131">
        <v>0</v>
      </c>
      <c r="G131" t="s">
        <v>273</v>
      </c>
      <c r="H131" s="203">
        <f t="shared" si="26"/>
        <v>1607</v>
      </c>
      <c r="I131" s="6">
        <f t="shared" si="27"/>
        <v>0</v>
      </c>
      <c r="J131" s="200">
        <f>'Synthèse Horaires'!$C$5</f>
        <v>46023</v>
      </c>
      <c r="K131" s="6" t="str">
        <f t="shared" si="28"/>
        <v>oui</v>
      </c>
      <c r="L131" s="6" t="str">
        <f t="shared" si="29"/>
        <v>non</v>
      </c>
      <c r="M131" s="204">
        <f t="shared" si="30"/>
        <v>1607</v>
      </c>
      <c r="N131" s="204">
        <f t="shared" si="31"/>
        <v>0</v>
      </c>
      <c r="O131" s="204" t="str">
        <f t="shared" si="32"/>
        <v>non</v>
      </c>
      <c r="P131" s="6" t="b">
        <f t="shared" si="33"/>
        <v>0</v>
      </c>
      <c r="Q131" s="6">
        <f t="shared" si="41"/>
        <v>0</v>
      </c>
      <c r="R131" s="6">
        <f t="shared" si="42"/>
        <v>0</v>
      </c>
      <c r="T131" s="205" t="s">
        <v>189</v>
      </c>
      <c r="U131">
        <f t="shared" ca="1" si="34"/>
        <v>1035</v>
      </c>
      <c r="V131">
        <f t="shared" ca="1" si="35"/>
        <v>0</v>
      </c>
      <c r="W131" t="b">
        <f t="shared" si="36"/>
        <v>0</v>
      </c>
      <c r="X131" s="6" t="str">
        <f t="shared" si="37"/>
        <v>non</v>
      </c>
      <c r="Y131">
        <f t="shared" si="38"/>
        <v>1607</v>
      </c>
      <c r="Z131" t="b">
        <f t="shared" si="39"/>
        <v>0</v>
      </c>
      <c r="AA131" s="206">
        <f t="shared" si="43"/>
        <v>1740</v>
      </c>
      <c r="AB131">
        <f t="shared" si="49"/>
        <v>0</v>
      </c>
      <c r="AC131">
        <f t="shared" si="50"/>
        <v>0</v>
      </c>
      <c r="AD131">
        <f t="shared" si="51"/>
        <v>1607</v>
      </c>
      <c r="AE131">
        <f t="shared" si="44"/>
        <v>19</v>
      </c>
      <c r="AF131">
        <f t="shared" si="52"/>
        <v>133</v>
      </c>
      <c r="AG131">
        <f t="shared" si="45"/>
        <v>19</v>
      </c>
      <c r="AH131">
        <f t="shared" si="53"/>
        <v>0</v>
      </c>
      <c r="AK131" s="205">
        <v>38251</v>
      </c>
      <c r="AL131" t="s">
        <v>532</v>
      </c>
      <c r="AQ131">
        <v>500000032</v>
      </c>
      <c r="AR131">
        <v>30</v>
      </c>
      <c r="AS131">
        <v>0</v>
      </c>
    </row>
    <row r="132" spans="2:45" x14ac:dyDescent="0.25">
      <c r="B132" s="17">
        <v>300000018</v>
      </c>
      <c r="C132" s="3" t="s">
        <v>471</v>
      </c>
      <c r="D132" s="200">
        <v>43657</v>
      </c>
      <c r="E132">
        <v>35</v>
      </c>
      <c r="G132" t="s">
        <v>273</v>
      </c>
      <c r="H132" s="203">
        <f t="shared" si="26"/>
        <v>1607</v>
      </c>
      <c r="I132" s="6">
        <f t="shared" si="27"/>
        <v>0</v>
      </c>
      <c r="J132" s="200">
        <f>'Synthèse Horaires'!$C$5</f>
        <v>46023</v>
      </c>
      <c r="K132" s="6" t="str">
        <f t="shared" si="28"/>
        <v>oui</v>
      </c>
      <c r="L132" s="6" t="str">
        <f t="shared" si="29"/>
        <v>non</v>
      </c>
      <c r="M132" s="204">
        <f t="shared" si="30"/>
        <v>1607</v>
      </c>
      <c r="N132" s="204">
        <f t="shared" si="31"/>
        <v>0</v>
      </c>
      <c r="O132" s="204" t="str">
        <f t="shared" si="32"/>
        <v>non</v>
      </c>
      <c r="P132" s="6" t="b">
        <f t="shared" si="33"/>
        <v>0</v>
      </c>
      <c r="Q132" s="6">
        <f t="shared" si="41"/>
        <v>0</v>
      </c>
      <c r="R132" s="6">
        <f t="shared" si="42"/>
        <v>0</v>
      </c>
      <c r="T132" s="205" t="s">
        <v>188</v>
      </c>
      <c r="U132">
        <f t="shared" ca="1" si="34"/>
        <v>2524</v>
      </c>
      <c r="V132">
        <f t="shared" ca="1" si="35"/>
        <v>0</v>
      </c>
      <c r="W132" t="b">
        <f t="shared" si="36"/>
        <v>0</v>
      </c>
      <c r="X132" s="6" t="str">
        <f t="shared" si="37"/>
        <v>non</v>
      </c>
      <c r="Y132">
        <f t="shared" si="38"/>
        <v>1607</v>
      </c>
      <c r="Z132" t="b">
        <f t="shared" si="39"/>
        <v>0</v>
      </c>
      <c r="AA132" s="206">
        <f t="shared" si="43"/>
        <v>1607</v>
      </c>
      <c r="AB132">
        <f t="shared" si="49"/>
        <v>0</v>
      </c>
      <c r="AC132">
        <f t="shared" si="50"/>
        <v>0</v>
      </c>
      <c r="AD132">
        <f t="shared" si="51"/>
        <v>1607</v>
      </c>
      <c r="AE132">
        <f t="shared" si="44"/>
        <v>0</v>
      </c>
      <c r="AF132">
        <f t="shared" si="52"/>
        <v>0</v>
      </c>
      <c r="AG132">
        <f t="shared" si="45"/>
        <v>0</v>
      </c>
      <c r="AH132">
        <f t="shared" si="53"/>
        <v>0</v>
      </c>
      <c r="AK132" s="205">
        <v>30955</v>
      </c>
      <c r="AL132" t="s">
        <v>586</v>
      </c>
      <c r="AQ132">
        <v>200000039</v>
      </c>
      <c r="AR132">
        <v>30</v>
      </c>
      <c r="AS132">
        <v>0</v>
      </c>
    </row>
    <row r="133" spans="2:45" x14ac:dyDescent="0.25">
      <c r="B133" s="17">
        <v>1300000002</v>
      </c>
      <c r="C133" s="3" t="s">
        <v>53</v>
      </c>
      <c r="D133" s="200">
        <v>39727</v>
      </c>
      <c r="E133">
        <v>40</v>
      </c>
      <c r="G133" t="s">
        <v>273</v>
      </c>
      <c r="H133" s="203">
        <f t="shared" si="26"/>
        <v>1837</v>
      </c>
      <c r="I133" s="6">
        <f t="shared" si="27"/>
        <v>0</v>
      </c>
      <c r="J133" s="200">
        <f>'Synthèse Horaires'!$C$5</f>
        <v>46023</v>
      </c>
      <c r="K133" s="6" t="str">
        <f t="shared" si="28"/>
        <v>oui</v>
      </c>
      <c r="L133" s="6" t="str">
        <f t="shared" si="29"/>
        <v>non</v>
      </c>
      <c r="M133" s="204">
        <f t="shared" si="30"/>
        <v>1837</v>
      </c>
      <c r="N133" s="204">
        <f t="shared" si="31"/>
        <v>0</v>
      </c>
      <c r="O133" s="204" t="str">
        <f t="shared" si="32"/>
        <v>non</v>
      </c>
      <c r="P133" s="6" t="b">
        <f t="shared" si="33"/>
        <v>0</v>
      </c>
      <c r="Q133" s="6">
        <f t="shared" si="41"/>
        <v>0</v>
      </c>
      <c r="R133" s="6">
        <f t="shared" si="42"/>
        <v>0</v>
      </c>
      <c r="T133" s="205" t="s">
        <v>191</v>
      </c>
      <c r="U133">
        <f t="shared" ca="1" si="34"/>
        <v>6454</v>
      </c>
      <c r="V133">
        <f t="shared" ca="1" si="35"/>
        <v>1</v>
      </c>
      <c r="W133" t="b">
        <f t="shared" si="36"/>
        <v>0</v>
      </c>
      <c r="X133" s="6" t="str">
        <f t="shared" si="37"/>
        <v>non</v>
      </c>
      <c r="Y133">
        <f t="shared" si="38"/>
        <v>1837</v>
      </c>
      <c r="Z133" t="b">
        <f t="shared" si="39"/>
        <v>0</v>
      </c>
      <c r="AA133" s="206">
        <f t="shared" si="43"/>
        <v>1837</v>
      </c>
      <c r="AB133">
        <f t="shared" si="49"/>
        <v>0</v>
      </c>
      <c r="AC133">
        <f t="shared" si="50"/>
        <v>0</v>
      </c>
      <c r="AD133">
        <f t="shared" si="51"/>
        <v>1837</v>
      </c>
      <c r="AE133">
        <f t="shared" si="44"/>
        <v>0</v>
      </c>
      <c r="AF133">
        <f t="shared" si="52"/>
        <v>0</v>
      </c>
      <c r="AG133">
        <f t="shared" si="45"/>
        <v>0</v>
      </c>
      <c r="AH133">
        <f t="shared" si="53"/>
        <v>0</v>
      </c>
      <c r="AK133" s="205">
        <v>30380</v>
      </c>
      <c r="AL133" t="s">
        <v>506</v>
      </c>
      <c r="AQ133">
        <v>600000035</v>
      </c>
      <c r="AR133">
        <v>30</v>
      </c>
      <c r="AS133">
        <v>0</v>
      </c>
    </row>
    <row r="134" spans="2:45" x14ac:dyDescent="0.25">
      <c r="B134" s="17">
        <v>1000000015</v>
      </c>
      <c r="C134" s="3" t="s">
        <v>472</v>
      </c>
      <c r="D134" s="200">
        <v>43647</v>
      </c>
      <c r="E134">
        <v>0</v>
      </c>
      <c r="F134">
        <v>218</v>
      </c>
      <c r="G134" t="s">
        <v>102</v>
      </c>
      <c r="H134" s="203">
        <f t="shared" si="26"/>
        <v>0</v>
      </c>
      <c r="I134" s="6">
        <f t="shared" si="27"/>
        <v>436</v>
      </c>
      <c r="J134" s="200">
        <f>'Synthèse Horaires'!$C$5</f>
        <v>46023</v>
      </c>
      <c r="K134" s="6" t="str">
        <f t="shared" si="28"/>
        <v>oui</v>
      </c>
      <c r="L134" s="6" t="str">
        <f t="shared" si="29"/>
        <v>non</v>
      </c>
      <c r="M134" s="204" t="str">
        <f t="shared" si="30"/>
        <v>non</v>
      </c>
      <c r="N134" s="204" t="b">
        <f t="shared" si="31"/>
        <v>0</v>
      </c>
      <c r="O134" s="204">
        <f t="shared" si="32"/>
        <v>218</v>
      </c>
      <c r="P134" s="6">
        <f t="shared" si="33"/>
        <v>0</v>
      </c>
      <c r="Q134" s="6">
        <f t="shared" si="41"/>
        <v>436</v>
      </c>
      <c r="R134" s="6">
        <f t="shared" si="42"/>
        <v>0</v>
      </c>
      <c r="T134" s="205" t="s">
        <v>193</v>
      </c>
      <c r="U134">
        <f t="shared" ca="1" si="34"/>
        <v>2534</v>
      </c>
      <c r="V134" t="b">
        <f t="shared" si="35"/>
        <v>0</v>
      </c>
      <c r="W134">
        <f t="shared" ca="1" si="36"/>
        <v>1</v>
      </c>
      <c r="X134" s="6" t="str">
        <f t="shared" si="37"/>
        <v>non</v>
      </c>
      <c r="Y134" t="b">
        <f t="shared" si="38"/>
        <v>0</v>
      </c>
      <c r="Z134">
        <f t="shared" si="39"/>
        <v>218</v>
      </c>
      <c r="AA134" s="206">
        <f t="shared" si="43"/>
        <v>218</v>
      </c>
      <c r="AB134">
        <f t="shared" si="49"/>
        <v>0</v>
      </c>
      <c r="AC134">
        <f t="shared" si="50"/>
        <v>0</v>
      </c>
      <c r="AD134">
        <f t="shared" si="51"/>
        <v>0</v>
      </c>
      <c r="AE134">
        <f t="shared" si="44"/>
        <v>0</v>
      </c>
      <c r="AF134">
        <f t="shared" si="52"/>
        <v>0</v>
      </c>
      <c r="AG134">
        <f t="shared" si="45"/>
        <v>0</v>
      </c>
      <c r="AH134">
        <f t="shared" si="53"/>
        <v>0</v>
      </c>
      <c r="AK134" s="205">
        <v>29294</v>
      </c>
      <c r="AL134" t="s">
        <v>585</v>
      </c>
      <c r="AQ134">
        <v>2000000022</v>
      </c>
      <c r="AR134">
        <v>28</v>
      </c>
      <c r="AS134">
        <v>2</v>
      </c>
    </row>
    <row r="135" spans="2:45" x14ac:dyDescent="0.25">
      <c r="B135" s="17">
        <v>1300000004</v>
      </c>
      <c r="C135" s="3" t="s">
        <v>504</v>
      </c>
      <c r="D135" s="200">
        <v>40281</v>
      </c>
      <c r="E135">
        <v>35</v>
      </c>
      <c r="G135" t="s">
        <v>273</v>
      </c>
      <c r="H135" s="203">
        <f t="shared" si="26"/>
        <v>1607</v>
      </c>
      <c r="I135" s="6">
        <f t="shared" si="27"/>
        <v>0</v>
      </c>
      <c r="J135" s="200">
        <f>'Synthèse Horaires'!$C$5</f>
        <v>46023</v>
      </c>
      <c r="K135" s="6" t="str">
        <f t="shared" si="28"/>
        <v>oui</v>
      </c>
      <c r="L135" s="6" t="str">
        <f t="shared" si="29"/>
        <v>non</v>
      </c>
      <c r="M135" s="204">
        <f t="shared" si="30"/>
        <v>1607</v>
      </c>
      <c r="N135" s="204">
        <f t="shared" si="31"/>
        <v>0</v>
      </c>
      <c r="O135" s="204" t="str">
        <f t="shared" si="32"/>
        <v>non</v>
      </c>
      <c r="P135" s="6" t="b">
        <f t="shared" si="33"/>
        <v>0</v>
      </c>
      <c r="Q135" s="6">
        <f t="shared" si="41"/>
        <v>0</v>
      </c>
      <c r="R135" s="6">
        <f t="shared" si="42"/>
        <v>0</v>
      </c>
      <c r="S135" t="s">
        <v>342</v>
      </c>
      <c r="T135" s="205" t="s">
        <v>191</v>
      </c>
      <c r="U135">
        <f t="shared" ca="1" si="34"/>
        <v>5900</v>
      </c>
      <c r="V135">
        <f t="shared" ca="1" si="35"/>
        <v>1</v>
      </c>
      <c r="W135" t="b">
        <f t="shared" si="36"/>
        <v>0</v>
      </c>
      <c r="X135" s="6" t="str">
        <f t="shared" si="37"/>
        <v>non</v>
      </c>
      <c r="Y135">
        <f t="shared" si="38"/>
        <v>1607</v>
      </c>
      <c r="Z135" t="b">
        <f t="shared" si="39"/>
        <v>0</v>
      </c>
      <c r="AA135" s="206">
        <f t="shared" si="43"/>
        <v>1607</v>
      </c>
      <c r="AB135">
        <f t="shared" si="49"/>
        <v>0</v>
      </c>
      <c r="AC135">
        <f t="shared" si="50"/>
        <v>0</v>
      </c>
      <c r="AD135">
        <f t="shared" si="51"/>
        <v>1607</v>
      </c>
      <c r="AE135">
        <f t="shared" si="44"/>
        <v>0</v>
      </c>
      <c r="AF135">
        <f t="shared" si="52"/>
        <v>0</v>
      </c>
      <c r="AG135">
        <f t="shared" si="45"/>
        <v>0</v>
      </c>
      <c r="AH135">
        <f t="shared" si="53"/>
        <v>0</v>
      </c>
      <c r="AK135" s="205">
        <v>26594</v>
      </c>
      <c r="AL135" t="s">
        <v>508</v>
      </c>
      <c r="AQ135">
        <v>500000031</v>
      </c>
      <c r="AR135">
        <v>28.5</v>
      </c>
      <c r="AS135">
        <v>1.5</v>
      </c>
    </row>
    <row r="136" spans="2:45" x14ac:dyDescent="0.25">
      <c r="B136" s="17">
        <v>4000000006</v>
      </c>
      <c r="C136" s="3" t="s">
        <v>705</v>
      </c>
      <c r="D136" s="200">
        <v>45414</v>
      </c>
      <c r="E136">
        <v>35</v>
      </c>
      <c r="F136">
        <v>0</v>
      </c>
      <c r="G136" t="s">
        <v>273</v>
      </c>
      <c r="H136" s="203">
        <f t="shared" si="26"/>
        <v>1607</v>
      </c>
      <c r="I136" s="6">
        <f t="shared" si="27"/>
        <v>0</v>
      </c>
      <c r="J136" s="200">
        <f>'Synthèse Horaires'!$C$5</f>
        <v>46023</v>
      </c>
      <c r="K136" s="6" t="str">
        <f t="shared" si="28"/>
        <v>oui</v>
      </c>
      <c r="L136" s="6" t="str">
        <f t="shared" si="29"/>
        <v>non</v>
      </c>
      <c r="M136" s="204">
        <f t="shared" si="30"/>
        <v>1607</v>
      </c>
      <c r="N136" s="204">
        <f t="shared" si="31"/>
        <v>0</v>
      </c>
      <c r="O136" s="204" t="str">
        <f t="shared" si="32"/>
        <v>non</v>
      </c>
      <c r="P136" s="6" t="b">
        <f t="shared" si="33"/>
        <v>0</v>
      </c>
      <c r="Q136" s="6">
        <f t="shared" si="41"/>
        <v>0</v>
      </c>
      <c r="R136" s="6">
        <f t="shared" si="42"/>
        <v>0</v>
      </c>
      <c r="T136" s="205" t="s">
        <v>642</v>
      </c>
      <c r="U136">
        <f t="shared" ca="1" si="34"/>
        <v>767</v>
      </c>
      <c r="V136">
        <f t="shared" ca="1" si="35"/>
        <v>0</v>
      </c>
      <c r="W136" t="b">
        <f t="shared" si="36"/>
        <v>0</v>
      </c>
      <c r="X136" s="6" t="str">
        <f t="shared" si="37"/>
        <v>non</v>
      </c>
      <c r="Y136">
        <f t="shared" si="38"/>
        <v>1607</v>
      </c>
      <c r="Z136" t="b">
        <f t="shared" si="39"/>
        <v>0</v>
      </c>
      <c r="AA136" s="206">
        <f t="shared" si="43"/>
        <v>1607</v>
      </c>
      <c r="AB136">
        <f t="shared" si="49"/>
        <v>0</v>
      </c>
      <c r="AC136">
        <f t="shared" si="50"/>
        <v>0</v>
      </c>
      <c r="AD136">
        <f t="shared" si="51"/>
        <v>1607</v>
      </c>
      <c r="AE136">
        <f t="shared" si="44"/>
        <v>0</v>
      </c>
      <c r="AF136">
        <f t="shared" si="52"/>
        <v>0</v>
      </c>
      <c r="AG136">
        <f t="shared" si="45"/>
        <v>0</v>
      </c>
      <c r="AH136">
        <f t="shared" si="53"/>
        <v>0</v>
      </c>
      <c r="AJ136" s="9"/>
      <c r="AK136" s="205">
        <v>36500</v>
      </c>
      <c r="AL136" t="s">
        <v>706</v>
      </c>
      <c r="AQ136">
        <v>600000028</v>
      </c>
      <c r="AR136">
        <v>29</v>
      </c>
      <c r="AS136">
        <v>1</v>
      </c>
    </row>
    <row r="137" spans="2:45" x14ac:dyDescent="0.25">
      <c r="B137" s="17">
        <v>1300000006</v>
      </c>
      <c r="C137" s="3" t="s">
        <v>716</v>
      </c>
      <c r="D137" s="200">
        <v>41457</v>
      </c>
      <c r="E137">
        <v>35</v>
      </c>
      <c r="G137" t="s">
        <v>273</v>
      </c>
      <c r="H137" s="203">
        <f t="shared" si="26"/>
        <v>1607</v>
      </c>
      <c r="I137" s="6">
        <f t="shared" si="27"/>
        <v>0</v>
      </c>
      <c r="J137" s="200">
        <f>'Synthèse Horaires'!$C$5</f>
        <v>46023</v>
      </c>
      <c r="K137" s="6" t="str">
        <f t="shared" si="28"/>
        <v>oui</v>
      </c>
      <c r="L137" s="6" t="str">
        <f t="shared" si="29"/>
        <v>non</v>
      </c>
      <c r="M137" s="204">
        <f t="shared" si="30"/>
        <v>1607</v>
      </c>
      <c r="N137" s="204">
        <f t="shared" si="31"/>
        <v>0</v>
      </c>
      <c r="O137" s="204" t="str">
        <f t="shared" si="32"/>
        <v>non</v>
      </c>
      <c r="P137" s="6" t="b">
        <f t="shared" si="33"/>
        <v>0</v>
      </c>
      <c r="Q137" s="6">
        <f t="shared" si="41"/>
        <v>0</v>
      </c>
      <c r="R137" s="6">
        <f t="shared" si="42"/>
        <v>0</v>
      </c>
      <c r="T137" s="205" t="s">
        <v>191</v>
      </c>
      <c r="U137">
        <f t="shared" ca="1" si="34"/>
        <v>4724</v>
      </c>
      <c r="V137">
        <f t="shared" ca="1" si="35"/>
        <v>0</v>
      </c>
      <c r="W137" t="b">
        <f t="shared" si="36"/>
        <v>0</v>
      </c>
      <c r="X137" s="6" t="str">
        <f t="shared" si="37"/>
        <v>non</v>
      </c>
      <c r="Y137">
        <f t="shared" si="38"/>
        <v>1607</v>
      </c>
      <c r="Z137" t="b">
        <f t="shared" si="39"/>
        <v>0</v>
      </c>
      <c r="AA137" s="206">
        <f t="shared" si="43"/>
        <v>1327</v>
      </c>
      <c r="AB137">
        <f t="shared" si="49"/>
        <v>0</v>
      </c>
      <c r="AC137">
        <f t="shared" si="50"/>
        <v>0</v>
      </c>
      <c r="AD137">
        <f t="shared" si="51"/>
        <v>1607</v>
      </c>
      <c r="AE137">
        <f t="shared" si="44"/>
        <v>-40</v>
      </c>
      <c r="AF137">
        <f t="shared" si="52"/>
        <v>-280</v>
      </c>
      <c r="AG137">
        <f t="shared" si="45"/>
        <v>-40</v>
      </c>
      <c r="AH137">
        <f t="shared" si="53"/>
        <v>0</v>
      </c>
      <c r="AK137" s="205">
        <v>26320</v>
      </c>
      <c r="AL137" t="s">
        <v>508</v>
      </c>
      <c r="AQ137">
        <v>7000000046</v>
      </c>
      <c r="AR137">
        <v>28</v>
      </c>
      <c r="AS137">
        <v>0</v>
      </c>
    </row>
    <row r="138" spans="2:45" x14ac:dyDescent="0.25">
      <c r="B138" s="17">
        <v>9000000005</v>
      </c>
      <c r="C138" s="3" t="s">
        <v>620</v>
      </c>
      <c r="D138" s="200">
        <v>44697</v>
      </c>
      <c r="E138">
        <v>35</v>
      </c>
      <c r="G138" t="s">
        <v>273</v>
      </c>
      <c r="H138" s="203">
        <f t="shared" si="26"/>
        <v>1607</v>
      </c>
      <c r="I138" s="6">
        <f t="shared" si="27"/>
        <v>0</v>
      </c>
      <c r="J138" s="200">
        <f>'Synthèse Horaires'!$C$5</f>
        <v>46023</v>
      </c>
      <c r="K138" s="6" t="str">
        <f t="shared" si="28"/>
        <v>oui</v>
      </c>
      <c r="L138" s="6" t="str">
        <f t="shared" si="29"/>
        <v>non</v>
      </c>
      <c r="M138" s="204">
        <f t="shared" si="30"/>
        <v>1607</v>
      </c>
      <c r="N138" s="204">
        <f t="shared" si="31"/>
        <v>0</v>
      </c>
      <c r="O138" s="204" t="str">
        <f t="shared" si="32"/>
        <v>non</v>
      </c>
      <c r="P138" s="6" t="b">
        <f t="shared" si="33"/>
        <v>0</v>
      </c>
      <c r="Q138" s="6">
        <f t="shared" si="41"/>
        <v>0</v>
      </c>
      <c r="R138" s="6">
        <f t="shared" si="42"/>
        <v>0</v>
      </c>
      <c r="T138" s="205" t="s">
        <v>184</v>
      </c>
      <c r="U138">
        <f t="shared" ca="1" si="34"/>
        <v>1484</v>
      </c>
      <c r="V138">
        <f t="shared" ca="1" si="35"/>
        <v>0</v>
      </c>
      <c r="W138" t="b">
        <f t="shared" si="36"/>
        <v>0</v>
      </c>
      <c r="X138" s="6" t="str">
        <f t="shared" si="37"/>
        <v>non</v>
      </c>
      <c r="Y138">
        <f t="shared" si="38"/>
        <v>1607</v>
      </c>
      <c r="Z138" t="b">
        <f t="shared" si="39"/>
        <v>0</v>
      </c>
      <c r="AA138" s="206">
        <f t="shared" si="43"/>
        <v>1607</v>
      </c>
      <c r="AB138">
        <f t="shared" si="49"/>
        <v>0</v>
      </c>
      <c r="AC138">
        <f t="shared" si="50"/>
        <v>0</v>
      </c>
      <c r="AD138">
        <f t="shared" si="51"/>
        <v>1607</v>
      </c>
      <c r="AE138">
        <f t="shared" si="44"/>
        <v>0</v>
      </c>
      <c r="AF138">
        <f t="shared" si="52"/>
        <v>0</v>
      </c>
      <c r="AG138">
        <f t="shared" si="45"/>
        <v>0</v>
      </c>
      <c r="AH138">
        <f t="shared" si="53"/>
        <v>0</v>
      </c>
      <c r="AK138" s="205">
        <v>36013</v>
      </c>
      <c r="AL138" t="s">
        <v>508</v>
      </c>
      <c r="AQ138">
        <v>5000000039</v>
      </c>
      <c r="AR138">
        <v>20</v>
      </c>
      <c r="AS138">
        <v>0</v>
      </c>
    </row>
    <row r="139" spans="2:45" x14ac:dyDescent="0.25">
      <c r="B139" s="17">
        <v>1300000010</v>
      </c>
      <c r="C139" s="3" t="s">
        <v>671</v>
      </c>
      <c r="D139" s="200">
        <v>42430</v>
      </c>
      <c r="E139">
        <v>35</v>
      </c>
      <c r="G139" t="s">
        <v>273</v>
      </c>
      <c r="H139" s="203">
        <f t="shared" si="26"/>
        <v>1607</v>
      </c>
      <c r="I139" s="6">
        <f t="shared" si="27"/>
        <v>0</v>
      </c>
      <c r="J139" s="200">
        <f>'Synthèse Horaires'!$C$5</f>
        <v>46023</v>
      </c>
      <c r="K139" s="6" t="str">
        <f t="shared" si="28"/>
        <v>oui</v>
      </c>
      <c r="L139" s="6" t="str">
        <f t="shared" si="29"/>
        <v>non</v>
      </c>
      <c r="M139" s="204">
        <f t="shared" si="30"/>
        <v>1607</v>
      </c>
      <c r="N139" s="204">
        <f t="shared" si="31"/>
        <v>0</v>
      </c>
      <c r="O139" s="204" t="str">
        <f t="shared" si="32"/>
        <v>non</v>
      </c>
      <c r="P139" s="6" t="b">
        <f t="shared" si="33"/>
        <v>0</v>
      </c>
      <c r="Q139" s="6">
        <f t="shared" si="41"/>
        <v>0</v>
      </c>
      <c r="R139" s="6">
        <f t="shared" si="42"/>
        <v>0</v>
      </c>
      <c r="T139" s="205" t="s">
        <v>191</v>
      </c>
      <c r="U139">
        <f t="shared" ca="1" si="34"/>
        <v>3751</v>
      </c>
      <c r="V139">
        <f t="shared" ca="1" si="35"/>
        <v>0</v>
      </c>
      <c r="W139" t="b">
        <f t="shared" si="36"/>
        <v>0</v>
      </c>
      <c r="X139" s="6" t="str">
        <f t="shared" si="37"/>
        <v>non</v>
      </c>
      <c r="Y139">
        <f t="shared" si="38"/>
        <v>1607</v>
      </c>
      <c r="Z139" t="b">
        <f t="shared" si="39"/>
        <v>0</v>
      </c>
      <c r="AA139" s="206">
        <f t="shared" si="43"/>
        <v>1607</v>
      </c>
      <c r="AB139">
        <f t="shared" si="49"/>
        <v>0</v>
      </c>
      <c r="AC139">
        <f t="shared" si="50"/>
        <v>0</v>
      </c>
      <c r="AD139">
        <f t="shared" si="51"/>
        <v>1607</v>
      </c>
      <c r="AE139">
        <f t="shared" si="44"/>
        <v>0</v>
      </c>
      <c r="AF139">
        <f>IF(AND(G139="Employé",L139="oui"),0,(AE139*(E139/5)))</f>
        <v>0</v>
      </c>
      <c r="AG139">
        <f t="shared" si="45"/>
        <v>0</v>
      </c>
      <c r="AH139">
        <f t="shared" si="53"/>
        <v>0</v>
      </c>
      <c r="AK139" s="205">
        <v>26919</v>
      </c>
      <c r="AL139" t="s">
        <v>587</v>
      </c>
      <c r="AQ139">
        <v>2000000033</v>
      </c>
      <c r="AR139">
        <v>26</v>
      </c>
      <c r="AS139">
        <v>0</v>
      </c>
    </row>
    <row r="140" spans="2:45" x14ac:dyDescent="0.25">
      <c r="B140" s="283">
        <v>1200000058</v>
      </c>
      <c r="C140" s="284" t="s">
        <v>769</v>
      </c>
      <c r="D140" s="282">
        <v>45979</v>
      </c>
      <c r="E140" s="285">
        <v>35</v>
      </c>
      <c r="F140" s="285">
        <v>0</v>
      </c>
      <c r="G140" s="285" t="s">
        <v>273</v>
      </c>
      <c r="H140" s="203">
        <f t="shared" si="26"/>
        <v>1607</v>
      </c>
      <c r="I140" s="6">
        <f t="shared" si="27"/>
        <v>0</v>
      </c>
      <c r="J140" s="200">
        <f>'Synthèse Horaires'!$C$5</f>
        <v>46023</v>
      </c>
      <c r="K140" s="6" t="str">
        <f t="shared" si="28"/>
        <v>oui</v>
      </c>
      <c r="L140" s="6" t="str">
        <f t="shared" si="29"/>
        <v>non</v>
      </c>
      <c r="M140" s="204">
        <f t="shared" si="30"/>
        <v>1607</v>
      </c>
      <c r="N140" s="204">
        <f t="shared" si="31"/>
        <v>0</v>
      </c>
      <c r="O140" s="204" t="str">
        <f t="shared" si="32"/>
        <v>non</v>
      </c>
      <c r="P140" s="6" t="b">
        <f t="shared" si="33"/>
        <v>0</v>
      </c>
      <c r="Q140" s="6">
        <f t="shared" si="41"/>
        <v>0</v>
      </c>
      <c r="R140" s="6">
        <f t="shared" si="42"/>
        <v>0</v>
      </c>
      <c r="T140" s="205" t="s">
        <v>195</v>
      </c>
      <c r="U140">
        <f t="shared" ca="1" si="34"/>
        <v>202</v>
      </c>
      <c r="V140">
        <f t="shared" ca="1" si="35"/>
        <v>0</v>
      </c>
      <c r="W140" t="b">
        <f t="shared" si="36"/>
        <v>0</v>
      </c>
      <c r="X140" s="6" t="str">
        <f t="shared" si="37"/>
        <v>non</v>
      </c>
      <c r="Y140">
        <f t="shared" si="38"/>
        <v>1607</v>
      </c>
      <c r="Z140" t="b">
        <f t="shared" si="39"/>
        <v>0</v>
      </c>
      <c r="AA140" s="206">
        <f t="shared" si="43"/>
        <v>1698</v>
      </c>
      <c r="AB140">
        <f t="shared" si="49"/>
        <v>0</v>
      </c>
      <c r="AC140">
        <f t="shared" si="50"/>
        <v>0</v>
      </c>
      <c r="AD140">
        <f t="shared" si="51"/>
        <v>1607</v>
      </c>
      <c r="AE140">
        <f t="shared" si="44"/>
        <v>13</v>
      </c>
      <c r="AF140">
        <f t="shared" si="52"/>
        <v>91</v>
      </c>
      <c r="AG140">
        <f t="shared" si="45"/>
        <v>13</v>
      </c>
      <c r="AH140">
        <f t="shared" si="53"/>
        <v>0</v>
      </c>
      <c r="AK140" s="205">
        <v>38726</v>
      </c>
      <c r="AL140" t="s">
        <v>532</v>
      </c>
      <c r="AQ140">
        <v>1000000065</v>
      </c>
      <c r="AR140">
        <v>30</v>
      </c>
      <c r="AS140">
        <v>0</v>
      </c>
    </row>
    <row r="141" spans="2:45" x14ac:dyDescent="0.25">
      <c r="B141" s="17">
        <v>1000000030</v>
      </c>
      <c r="C141" s="3" t="s">
        <v>547</v>
      </c>
      <c r="D141" s="200">
        <v>44256</v>
      </c>
      <c r="E141">
        <v>35</v>
      </c>
      <c r="F141">
        <v>0</v>
      </c>
      <c r="G141" t="s">
        <v>273</v>
      </c>
      <c r="H141" s="203">
        <f t="shared" ref="H141:H193" si="54">ROUNDUP((($C$9/5)*E141)+($G$4*(E141/$G$5))+IF(E141=20,$G$10,(IF(E141=25,$G$9,(IF(E141=35,$G$6,IF(E141=39,$G$7,(IF(E141=41,$G$8,($G$6*(E141/$G$5)))))))))),0)</f>
        <v>1607</v>
      </c>
      <c r="I141" s="6">
        <f t="shared" ref="I141:I193" si="55">F141*2</f>
        <v>0</v>
      </c>
      <c r="J141" s="200">
        <f>'Synthèse Horaires'!$C$5</f>
        <v>46023</v>
      </c>
      <c r="K141" s="6" t="str">
        <f t="shared" ref="K141:K193" si="56">IF(N(D141)&lt;N($G$3),"oui","non")</f>
        <v>oui</v>
      </c>
      <c r="L141" s="6" t="str">
        <f t="shared" ref="L141:L193" si="57">IF(N(D141)&gt;N($G$3),"oui","non")</f>
        <v>non</v>
      </c>
      <c r="M141" s="204">
        <f t="shared" ref="M141:M193" si="58">IF(G141="Employé",(IF(K141="oui",H141,"non")),"non")</f>
        <v>1607</v>
      </c>
      <c r="N141" s="204">
        <f t="shared" ref="N141:N193" si="59">IF(G141="Employé",(IF(L141="oui",(H141*(($G$3+365)-D141+1)/365),0)))</f>
        <v>0</v>
      </c>
      <c r="O141" s="204" t="str">
        <f t="shared" ref="O141:O193" si="60">IF(G141="Cadre",(IF(K141="oui",F141,0)),"non")</f>
        <v>non</v>
      </c>
      <c r="P141" s="6" t="b">
        <f t="shared" ref="P141:P193" si="61">IF(G141="Cadre",(IF(L141="oui",((((($G$3+365)-D141+1)*F141)/365)),0)))</f>
        <v>0</v>
      </c>
      <c r="Q141" s="6">
        <f t="shared" si="41"/>
        <v>0</v>
      </c>
      <c r="R141" s="6">
        <f t="shared" si="42"/>
        <v>0</v>
      </c>
      <c r="T141" s="205" t="s">
        <v>193</v>
      </c>
      <c r="U141">
        <f t="shared" ref="U141:U193" ca="1" si="62">TODAY()-D141</f>
        <v>1925</v>
      </c>
      <c r="V141">
        <f t="shared" ref="V141:V193" ca="1" si="63">IF(G141="Employé",IF(U141&gt;9125,3,IF(U141&gt;7300,2,IF(U141&gt;5475,1,))))</f>
        <v>0</v>
      </c>
      <c r="W141" t="b">
        <f t="shared" ref="W141:W193" si="64">IF(G141="Cadre",IF(U141&gt;3650,2,IF(U141&gt;1825,1,)))</f>
        <v>0</v>
      </c>
      <c r="X141" s="6" t="str">
        <f t="shared" ref="X141:X193" si="65">IF(G141="Employé",IF(E141&lt;$G$5,E141,"non"),"non")</f>
        <v>non</v>
      </c>
      <c r="Y141">
        <f t="shared" ref="Y141:Y193" si="66">IF(AND(G141="Employé",N141=0),M141,N141)</f>
        <v>1607</v>
      </c>
      <c r="Z141" t="b">
        <f t="shared" ref="Z141:Z193" si="67">IF(AND(G141="Cadre",P141=0),O141,P141)</f>
        <v>0</v>
      </c>
      <c r="AA141" s="206">
        <f t="shared" si="43"/>
        <v>1607</v>
      </c>
      <c r="AB141">
        <f t="shared" ref="AB141:AB189" si="68">IF(AND(L141="oui",G141="Cadre"),(30*(Z141/F141)),0)</f>
        <v>0</v>
      </c>
      <c r="AC141">
        <f t="shared" ref="AC141:AC189" si="69">IF(AND(G141="Employé",L141="oui"),(30*(Y141/H141)),0)</f>
        <v>0</v>
      </c>
      <c r="AD141">
        <f t="shared" ref="AD141:AD189" si="70">Y141+(AC141*(E141/6))</f>
        <v>1607</v>
      </c>
      <c r="AE141">
        <f t="shared" si="44"/>
        <v>0</v>
      </c>
      <c r="AF141">
        <f t="shared" si="52"/>
        <v>0</v>
      </c>
      <c r="AG141">
        <f t="shared" si="45"/>
        <v>0</v>
      </c>
      <c r="AH141">
        <f t="shared" si="53"/>
        <v>0</v>
      </c>
      <c r="AK141" s="205">
        <v>33325</v>
      </c>
      <c r="AL141" t="s">
        <v>506</v>
      </c>
      <c r="AQ141">
        <v>1300000035</v>
      </c>
      <c r="AR141">
        <v>30</v>
      </c>
      <c r="AS141">
        <v>0</v>
      </c>
    </row>
    <row r="142" spans="2:45" x14ac:dyDescent="0.25">
      <c r="B142" s="17">
        <v>7000000037</v>
      </c>
      <c r="C142" s="3" t="s">
        <v>700</v>
      </c>
      <c r="D142" s="200">
        <v>45376</v>
      </c>
      <c r="E142">
        <v>0</v>
      </c>
      <c r="F142">
        <v>218</v>
      </c>
      <c r="G142" t="s">
        <v>102</v>
      </c>
      <c r="H142" s="203">
        <f t="shared" si="54"/>
        <v>0</v>
      </c>
      <c r="I142" s="6">
        <f t="shared" si="55"/>
        <v>436</v>
      </c>
      <c r="J142" s="200">
        <f>'Synthèse Horaires'!$C$5</f>
        <v>46023</v>
      </c>
      <c r="K142" s="6" t="str">
        <f t="shared" si="56"/>
        <v>oui</v>
      </c>
      <c r="L142" s="6" t="str">
        <f t="shared" si="57"/>
        <v>non</v>
      </c>
      <c r="M142" s="204" t="str">
        <f t="shared" si="58"/>
        <v>non</v>
      </c>
      <c r="N142" s="204" t="b">
        <f t="shared" si="59"/>
        <v>0</v>
      </c>
      <c r="O142" s="204">
        <f t="shared" si="60"/>
        <v>218</v>
      </c>
      <c r="P142" s="6">
        <f t="shared" si="61"/>
        <v>0</v>
      </c>
      <c r="Q142" s="6">
        <f t="shared" ref="Q142:Q193" si="71">IF(O142="non",0,O142*2)</f>
        <v>436</v>
      </c>
      <c r="R142" s="6">
        <f t="shared" ref="R142:R193" si="72">IF(ISERROR(P142),0,P142*2)</f>
        <v>0</v>
      </c>
      <c r="T142" s="205" t="s">
        <v>184</v>
      </c>
      <c r="U142">
        <f t="shared" ca="1" si="62"/>
        <v>805</v>
      </c>
      <c r="V142" t="b">
        <f t="shared" si="63"/>
        <v>0</v>
      </c>
      <c r="W142">
        <f t="shared" ca="1" si="64"/>
        <v>0</v>
      </c>
      <c r="X142" s="6" t="str">
        <f t="shared" si="65"/>
        <v>non</v>
      </c>
      <c r="Y142" t="b">
        <f t="shared" si="66"/>
        <v>0</v>
      </c>
      <c r="Z142">
        <f t="shared" si="67"/>
        <v>218</v>
      </c>
      <c r="AA142" s="206">
        <f t="shared" ref="AA142:AA205" si="73">(IF(Y142=FALSE(),(Z142+AB142),(AD142)))+AF142+AH142+AI142</f>
        <v>218</v>
      </c>
      <c r="AB142">
        <f t="shared" si="68"/>
        <v>0</v>
      </c>
      <c r="AC142">
        <f t="shared" si="69"/>
        <v>0</v>
      </c>
      <c r="AD142">
        <f t="shared" si="70"/>
        <v>0</v>
      </c>
      <c r="AE142">
        <f t="shared" ref="AE142:AE205" si="74">IFERROR(((VLOOKUP(B142,AQ:AS,2,0)-30)*-1),0)</f>
        <v>0</v>
      </c>
      <c r="AF142">
        <f t="shared" si="52"/>
        <v>0</v>
      </c>
      <c r="AG142">
        <f t="shared" ref="AG142:AG205" si="75">IFERROR(((VLOOKUP(B142,AQ:AS,2,0)-30)*-1),0)</f>
        <v>0</v>
      </c>
      <c r="AH142">
        <f t="shared" si="53"/>
        <v>0</v>
      </c>
      <c r="AK142" s="205">
        <v>34521</v>
      </c>
      <c r="AL142" t="s">
        <v>575</v>
      </c>
      <c r="AQ142">
        <v>1300000037</v>
      </c>
      <c r="AR142">
        <v>30</v>
      </c>
      <c r="AS142">
        <v>0</v>
      </c>
    </row>
    <row r="143" spans="2:45" x14ac:dyDescent="0.25">
      <c r="B143" s="17">
        <v>4000000010</v>
      </c>
      <c r="C143" s="3" t="s">
        <v>724</v>
      </c>
      <c r="D143" s="200">
        <v>45540</v>
      </c>
      <c r="E143">
        <v>35</v>
      </c>
      <c r="F143">
        <v>0</v>
      </c>
      <c r="G143" t="s">
        <v>273</v>
      </c>
      <c r="H143" s="203">
        <f t="shared" si="54"/>
        <v>1607</v>
      </c>
      <c r="I143" s="6">
        <f t="shared" si="55"/>
        <v>0</v>
      </c>
      <c r="J143" s="200">
        <f>'Synthèse Horaires'!$C$5</f>
        <v>46023</v>
      </c>
      <c r="K143" s="6" t="str">
        <f t="shared" si="56"/>
        <v>oui</v>
      </c>
      <c r="L143" s="6" t="str">
        <f t="shared" si="57"/>
        <v>non</v>
      </c>
      <c r="M143" s="204">
        <f t="shared" si="58"/>
        <v>1607</v>
      </c>
      <c r="N143" s="204">
        <f t="shared" si="59"/>
        <v>0</v>
      </c>
      <c r="O143" s="204" t="str">
        <f t="shared" si="60"/>
        <v>non</v>
      </c>
      <c r="P143" s="6" t="b">
        <f t="shared" si="61"/>
        <v>0</v>
      </c>
      <c r="Q143" s="6">
        <f t="shared" si="71"/>
        <v>0</v>
      </c>
      <c r="R143" s="6">
        <f t="shared" si="72"/>
        <v>0</v>
      </c>
      <c r="T143" s="205" t="s">
        <v>642</v>
      </c>
      <c r="U143">
        <f t="shared" ca="1" si="62"/>
        <v>641</v>
      </c>
      <c r="V143">
        <f t="shared" ca="1" si="63"/>
        <v>0</v>
      </c>
      <c r="W143" t="b">
        <f t="shared" si="64"/>
        <v>0</v>
      </c>
      <c r="X143" s="6" t="str">
        <f t="shared" si="65"/>
        <v>non</v>
      </c>
      <c r="Y143">
        <f t="shared" si="66"/>
        <v>1607</v>
      </c>
      <c r="Z143" t="b">
        <f t="shared" si="67"/>
        <v>0</v>
      </c>
      <c r="AA143" s="206">
        <f t="shared" si="73"/>
        <v>1607</v>
      </c>
      <c r="AB143">
        <f t="shared" si="68"/>
        <v>0</v>
      </c>
      <c r="AC143">
        <f t="shared" si="69"/>
        <v>0</v>
      </c>
      <c r="AD143">
        <f t="shared" si="70"/>
        <v>1607</v>
      </c>
      <c r="AE143">
        <f t="shared" si="74"/>
        <v>0</v>
      </c>
      <c r="AF143">
        <f t="shared" si="52"/>
        <v>0</v>
      </c>
      <c r="AG143">
        <f t="shared" si="75"/>
        <v>0</v>
      </c>
      <c r="AH143">
        <f t="shared" si="53"/>
        <v>0</v>
      </c>
      <c r="AK143" s="205">
        <v>37848</v>
      </c>
      <c r="AL143" t="s">
        <v>670</v>
      </c>
      <c r="AQ143">
        <v>800000037</v>
      </c>
      <c r="AR143">
        <v>30</v>
      </c>
      <c r="AS143">
        <v>0</v>
      </c>
    </row>
    <row r="144" spans="2:45" x14ac:dyDescent="0.25">
      <c r="B144" s="283">
        <v>2100000028</v>
      </c>
      <c r="C144" s="284" t="s">
        <v>767</v>
      </c>
      <c r="D144" s="282">
        <v>45947</v>
      </c>
      <c r="E144" s="285">
        <v>35</v>
      </c>
      <c r="F144" s="285">
        <v>0</v>
      </c>
      <c r="G144" s="285" t="s">
        <v>273</v>
      </c>
      <c r="H144" s="203">
        <f t="shared" si="54"/>
        <v>1607</v>
      </c>
      <c r="I144" s="6">
        <f t="shared" si="55"/>
        <v>0</v>
      </c>
      <c r="J144" s="200">
        <f>'Synthèse Horaires'!$C$5</f>
        <v>46023</v>
      </c>
      <c r="K144" s="6" t="str">
        <f t="shared" si="56"/>
        <v>oui</v>
      </c>
      <c r="L144" s="6" t="str">
        <f t="shared" si="57"/>
        <v>non</v>
      </c>
      <c r="M144" s="204">
        <f t="shared" si="58"/>
        <v>1607</v>
      </c>
      <c r="N144" s="204">
        <f t="shared" si="59"/>
        <v>0</v>
      </c>
      <c r="O144" s="204" t="str">
        <f t="shared" si="60"/>
        <v>non</v>
      </c>
      <c r="P144" s="6" t="b">
        <f t="shared" si="61"/>
        <v>0</v>
      </c>
      <c r="Q144" s="6">
        <f t="shared" si="71"/>
        <v>0</v>
      </c>
      <c r="R144" s="6">
        <f t="shared" si="72"/>
        <v>0</v>
      </c>
      <c r="T144" s="205" t="s">
        <v>607</v>
      </c>
      <c r="U144">
        <f t="shared" ca="1" si="62"/>
        <v>234</v>
      </c>
      <c r="V144">
        <f t="shared" ca="1" si="63"/>
        <v>0</v>
      </c>
      <c r="W144" t="b">
        <f t="shared" si="64"/>
        <v>0</v>
      </c>
      <c r="X144" s="6" t="str">
        <f t="shared" si="65"/>
        <v>non</v>
      </c>
      <c r="Y144">
        <f t="shared" si="66"/>
        <v>1607</v>
      </c>
      <c r="Z144" t="b">
        <f t="shared" si="67"/>
        <v>0</v>
      </c>
      <c r="AA144" s="206">
        <f t="shared" si="73"/>
        <v>1684</v>
      </c>
      <c r="AB144">
        <f t="shared" si="68"/>
        <v>0</v>
      </c>
      <c r="AC144">
        <f t="shared" si="69"/>
        <v>0</v>
      </c>
      <c r="AD144">
        <f t="shared" si="70"/>
        <v>1607</v>
      </c>
      <c r="AE144">
        <f t="shared" si="74"/>
        <v>11</v>
      </c>
      <c r="AF144">
        <f t="shared" si="52"/>
        <v>77</v>
      </c>
      <c r="AG144">
        <f t="shared" si="75"/>
        <v>11</v>
      </c>
      <c r="AH144">
        <f t="shared" si="53"/>
        <v>0</v>
      </c>
      <c r="AK144" s="205">
        <v>33257</v>
      </c>
      <c r="AL144" t="s">
        <v>514</v>
      </c>
      <c r="AQ144">
        <v>800000038</v>
      </c>
      <c r="AR144">
        <v>30</v>
      </c>
      <c r="AS144">
        <v>0</v>
      </c>
    </row>
    <row r="145" spans="2:45" x14ac:dyDescent="0.25">
      <c r="B145" s="17">
        <v>700000033</v>
      </c>
      <c r="C145" s="3" t="s">
        <v>568</v>
      </c>
      <c r="D145" s="200">
        <v>44481</v>
      </c>
      <c r="E145">
        <v>35</v>
      </c>
      <c r="F145">
        <v>0</v>
      </c>
      <c r="G145" t="s">
        <v>273</v>
      </c>
      <c r="H145" s="203">
        <f t="shared" si="54"/>
        <v>1607</v>
      </c>
      <c r="I145" s="6">
        <f t="shared" si="55"/>
        <v>0</v>
      </c>
      <c r="J145" s="200">
        <f>'Synthèse Horaires'!$C$5</f>
        <v>46023</v>
      </c>
      <c r="K145" s="6" t="str">
        <f t="shared" si="56"/>
        <v>oui</v>
      </c>
      <c r="L145" s="6" t="str">
        <f t="shared" si="57"/>
        <v>non</v>
      </c>
      <c r="M145" s="204">
        <f t="shared" si="58"/>
        <v>1607</v>
      </c>
      <c r="N145" s="204">
        <f t="shared" si="59"/>
        <v>0</v>
      </c>
      <c r="O145" s="204" t="str">
        <f t="shared" si="60"/>
        <v>non</v>
      </c>
      <c r="P145" s="6" t="b">
        <f t="shared" si="61"/>
        <v>0</v>
      </c>
      <c r="Q145" s="6">
        <f t="shared" si="71"/>
        <v>0</v>
      </c>
      <c r="R145" s="6">
        <f t="shared" si="72"/>
        <v>0</v>
      </c>
      <c r="T145" s="205" t="s">
        <v>199</v>
      </c>
      <c r="U145">
        <f t="shared" ca="1" si="62"/>
        <v>1700</v>
      </c>
      <c r="V145">
        <f t="shared" ca="1" si="63"/>
        <v>0</v>
      </c>
      <c r="W145" t="b">
        <f t="shared" si="64"/>
        <v>0</v>
      </c>
      <c r="X145" s="6" t="str">
        <f t="shared" si="65"/>
        <v>non</v>
      </c>
      <c r="Y145">
        <f t="shared" si="66"/>
        <v>1607</v>
      </c>
      <c r="Z145" t="b">
        <f t="shared" si="67"/>
        <v>0</v>
      </c>
      <c r="AA145" s="206">
        <f t="shared" si="73"/>
        <v>1607</v>
      </c>
      <c r="AB145">
        <f t="shared" si="68"/>
        <v>0</v>
      </c>
      <c r="AC145">
        <f t="shared" si="69"/>
        <v>0</v>
      </c>
      <c r="AD145">
        <f t="shared" si="70"/>
        <v>1607</v>
      </c>
      <c r="AE145">
        <f t="shared" si="74"/>
        <v>0</v>
      </c>
      <c r="AF145">
        <f t="shared" si="52"/>
        <v>0</v>
      </c>
      <c r="AG145">
        <f t="shared" si="75"/>
        <v>0</v>
      </c>
      <c r="AH145">
        <f t="shared" si="53"/>
        <v>0</v>
      </c>
      <c r="AK145" s="205">
        <v>35555</v>
      </c>
      <c r="AL145" t="s">
        <v>569</v>
      </c>
      <c r="AQ145">
        <v>2000000031</v>
      </c>
      <c r="AR145">
        <v>30</v>
      </c>
      <c r="AS145">
        <v>0</v>
      </c>
    </row>
    <row r="146" spans="2:45" x14ac:dyDescent="0.25">
      <c r="B146" s="283">
        <v>1100000047</v>
      </c>
      <c r="C146" s="284" t="s">
        <v>744</v>
      </c>
      <c r="D146" s="282">
        <v>45845</v>
      </c>
      <c r="E146" s="285">
        <v>35</v>
      </c>
      <c r="F146" s="285">
        <v>0</v>
      </c>
      <c r="G146" s="285" t="s">
        <v>273</v>
      </c>
      <c r="H146" s="203">
        <f t="shared" si="54"/>
        <v>1607</v>
      </c>
      <c r="I146" s="6">
        <f t="shared" si="55"/>
        <v>0</v>
      </c>
      <c r="J146" s="200">
        <f>'Synthèse Horaires'!$C$5</f>
        <v>46023</v>
      </c>
      <c r="K146" s="6" t="str">
        <f t="shared" si="56"/>
        <v>oui</v>
      </c>
      <c r="L146" s="6" t="str">
        <f t="shared" si="57"/>
        <v>non</v>
      </c>
      <c r="M146" s="204">
        <f t="shared" si="58"/>
        <v>1607</v>
      </c>
      <c r="N146" s="204">
        <f t="shared" si="59"/>
        <v>0</v>
      </c>
      <c r="O146" s="204" t="str">
        <f t="shared" si="60"/>
        <v>non</v>
      </c>
      <c r="P146" s="6" t="b">
        <f t="shared" si="61"/>
        <v>0</v>
      </c>
      <c r="Q146" s="6">
        <f t="shared" si="71"/>
        <v>0</v>
      </c>
      <c r="R146" s="6">
        <f t="shared" si="72"/>
        <v>0</v>
      </c>
      <c r="T146" s="205" t="s">
        <v>190</v>
      </c>
      <c r="U146">
        <f t="shared" ca="1" si="62"/>
        <v>336</v>
      </c>
      <c r="V146">
        <f t="shared" ca="1" si="63"/>
        <v>0</v>
      </c>
      <c r="W146" t="b">
        <f t="shared" si="64"/>
        <v>0</v>
      </c>
      <c r="X146" s="6" t="str">
        <f t="shared" si="65"/>
        <v>non</v>
      </c>
      <c r="Y146">
        <f t="shared" si="66"/>
        <v>1607</v>
      </c>
      <c r="Z146" t="b">
        <f t="shared" si="67"/>
        <v>0</v>
      </c>
      <c r="AA146" s="206">
        <f t="shared" si="73"/>
        <v>1621</v>
      </c>
      <c r="AB146">
        <f t="shared" si="68"/>
        <v>0</v>
      </c>
      <c r="AC146">
        <f t="shared" si="69"/>
        <v>0</v>
      </c>
      <c r="AD146">
        <f t="shared" si="70"/>
        <v>1607</v>
      </c>
      <c r="AE146">
        <f t="shared" si="74"/>
        <v>2</v>
      </c>
      <c r="AF146">
        <f t="shared" si="52"/>
        <v>14</v>
      </c>
      <c r="AG146">
        <f t="shared" si="75"/>
        <v>2</v>
      </c>
      <c r="AH146">
        <f t="shared" si="53"/>
        <v>0</v>
      </c>
      <c r="AK146" s="205">
        <v>32394</v>
      </c>
      <c r="AL146" t="s">
        <v>506</v>
      </c>
      <c r="AQ146">
        <v>1000000061</v>
      </c>
      <c r="AR146">
        <v>30</v>
      </c>
      <c r="AS146">
        <v>0</v>
      </c>
    </row>
    <row r="147" spans="2:45" x14ac:dyDescent="0.25">
      <c r="B147" s="296">
        <v>1100000048</v>
      </c>
      <c r="C147" s="297" t="s">
        <v>745</v>
      </c>
      <c r="D147" s="282">
        <v>45859</v>
      </c>
      <c r="E147" s="285">
        <v>24</v>
      </c>
      <c r="F147" s="285">
        <v>0</v>
      </c>
      <c r="G147" s="285" t="s">
        <v>273</v>
      </c>
      <c r="H147" s="203">
        <f t="shared" si="54"/>
        <v>1102</v>
      </c>
      <c r="I147" s="6">
        <f t="shared" si="55"/>
        <v>0</v>
      </c>
      <c r="J147" s="200">
        <f>'Synthèse Horaires'!$C$5</f>
        <v>46023</v>
      </c>
      <c r="K147" s="6" t="str">
        <f t="shared" si="56"/>
        <v>oui</v>
      </c>
      <c r="L147" s="6" t="str">
        <f t="shared" si="57"/>
        <v>non</v>
      </c>
      <c r="M147" s="204">
        <f t="shared" si="58"/>
        <v>1102</v>
      </c>
      <c r="N147" s="204">
        <f t="shared" si="59"/>
        <v>0</v>
      </c>
      <c r="O147" s="204" t="str">
        <f t="shared" si="60"/>
        <v>non</v>
      </c>
      <c r="P147" s="6" t="b">
        <f t="shared" si="61"/>
        <v>0</v>
      </c>
      <c r="Q147" s="6">
        <f t="shared" si="71"/>
        <v>0</v>
      </c>
      <c r="R147" s="6">
        <f t="shared" si="72"/>
        <v>0</v>
      </c>
      <c r="S147" t="s">
        <v>342</v>
      </c>
      <c r="T147" s="205" t="s">
        <v>190</v>
      </c>
      <c r="U147">
        <f t="shared" ca="1" si="62"/>
        <v>322</v>
      </c>
      <c r="V147">
        <f t="shared" ca="1" si="63"/>
        <v>0</v>
      </c>
      <c r="W147" t="b">
        <f t="shared" si="64"/>
        <v>0</v>
      </c>
      <c r="X147" s="6">
        <f t="shared" si="65"/>
        <v>24</v>
      </c>
      <c r="Y147">
        <f t="shared" si="66"/>
        <v>1102</v>
      </c>
      <c r="Z147" t="b">
        <f t="shared" si="67"/>
        <v>0</v>
      </c>
      <c r="AA147" s="206">
        <f t="shared" si="73"/>
        <v>1246</v>
      </c>
      <c r="AB147">
        <f t="shared" si="68"/>
        <v>0</v>
      </c>
      <c r="AC147">
        <f t="shared" si="69"/>
        <v>0</v>
      </c>
      <c r="AD147">
        <f t="shared" si="70"/>
        <v>1102</v>
      </c>
      <c r="AE147">
        <f t="shared" si="74"/>
        <v>30</v>
      </c>
      <c r="AF147">
        <f t="shared" si="52"/>
        <v>144</v>
      </c>
      <c r="AG147">
        <f t="shared" si="75"/>
        <v>30</v>
      </c>
      <c r="AH147">
        <f t="shared" si="53"/>
        <v>0</v>
      </c>
      <c r="AK147" s="205">
        <v>28278</v>
      </c>
      <c r="AL147" t="s">
        <v>514</v>
      </c>
      <c r="AQ147">
        <v>600000034</v>
      </c>
      <c r="AR147">
        <v>30</v>
      </c>
      <c r="AS147">
        <v>0</v>
      </c>
    </row>
    <row r="148" spans="2:45" x14ac:dyDescent="0.25">
      <c r="B148" s="283">
        <v>1300000037</v>
      </c>
      <c r="C148" s="284" t="s">
        <v>739</v>
      </c>
      <c r="D148" s="282">
        <v>45736</v>
      </c>
      <c r="E148" s="285">
        <v>35</v>
      </c>
      <c r="F148" s="285">
        <v>0</v>
      </c>
      <c r="G148" s="285" t="s">
        <v>273</v>
      </c>
      <c r="H148" s="203">
        <f t="shared" si="54"/>
        <v>1607</v>
      </c>
      <c r="I148" s="6">
        <f t="shared" si="55"/>
        <v>0</v>
      </c>
      <c r="J148" s="200">
        <f>'Synthèse Horaires'!$C$5</f>
        <v>46023</v>
      </c>
      <c r="K148" s="6" t="str">
        <f t="shared" si="56"/>
        <v>oui</v>
      </c>
      <c r="L148" s="6" t="str">
        <f t="shared" si="57"/>
        <v>non</v>
      </c>
      <c r="M148" s="204">
        <f t="shared" si="58"/>
        <v>1607</v>
      </c>
      <c r="N148" s="204">
        <f t="shared" si="59"/>
        <v>0</v>
      </c>
      <c r="O148" s="204" t="str">
        <f t="shared" si="60"/>
        <v>non</v>
      </c>
      <c r="P148" s="6" t="b">
        <f t="shared" si="61"/>
        <v>0</v>
      </c>
      <c r="Q148" s="6">
        <f t="shared" si="71"/>
        <v>0</v>
      </c>
      <c r="R148" s="6">
        <f t="shared" si="72"/>
        <v>0</v>
      </c>
      <c r="T148" s="205" t="s">
        <v>191</v>
      </c>
      <c r="U148">
        <f t="shared" ca="1" si="62"/>
        <v>445</v>
      </c>
      <c r="V148">
        <f t="shared" ca="1" si="63"/>
        <v>0</v>
      </c>
      <c r="W148" t="b">
        <f t="shared" si="64"/>
        <v>0</v>
      </c>
      <c r="X148" s="6" t="str">
        <f t="shared" si="65"/>
        <v>non</v>
      </c>
      <c r="Y148">
        <f t="shared" si="66"/>
        <v>1607</v>
      </c>
      <c r="Z148" t="b">
        <f t="shared" si="67"/>
        <v>0</v>
      </c>
      <c r="AA148" s="206">
        <f t="shared" si="73"/>
        <v>1607</v>
      </c>
      <c r="AB148">
        <f t="shared" si="68"/>
        <v>0</v>
      </c>
      <c r="AC148">
        <f t="shared" si="69"/>
        <v>0</v>
      </c>
      <c r="AD148">
        <f t="shared" si="70"/>
        <v>1607</v>
      </c>
      <c r="AE148">
        <f t="shared" si="74"/>
        <v>0</v>
      </c>
      <c r="AF148">
        <f t="shared" si="52"/>
        <v>0</v>
      </c>
      <c r="AG148">
        <f t="shared" si="75"/>
        <v>0</v>
      </c>
      <c r="AH148">
        <f t="shared" si="53"/>
        <v>0</v>
      </c>
      <c r="AK148" s="205">
        <v>34953</v>
      </c>
      <c r="AL148" t="s">
        <v>506</v>
      </c>
      <c r="AQ148">
        <v>2000000026</v>
      </c>
      <c r="AR148">
        <v>30</v>
      </c>
      <c r="AS148">
        <v>0</v>
      </c>
    </row>
    <row r="149" spans="2:45" x14ac:dyDescent="0.25">
      <c r="B149" s="283">
        <v>1100000004</v>
      </c>
      <c r="C149" s="284" t="s">
        <v>760</v>
      </c>
      <c r="D149" s="282">
        <v>38355</v>
      </c>
      <c r="E149" s="285"/>
      <c r="F149" s="285">
        <v>218</v>
      </c>
      <c r="G149" s="285" t="s">
        <v>102</v>
      </c>
      <c r="H149" s="203">
        <f t="shared" si="54"/>
        <v>0</v>
      </c>
      <c r="I149" s="6">
        <f t="shared" si="55"/>
        <v>436</v>
      </c>
      <c r="J149" s="200">
        <f>'Synthèse Horaires'!$C$5</f>
        <v>46023</v>
      </c>
      <c r="K149" s="6" t="str">
        <f t="shared" si="56"/>
        <v>oui</v>
      </c>
      <c r="L149" s="6" t="str">
        <f t="shared" si="57"/>
        <v>non</v>
      </c>
      <c r="M149" s="204" t="str">
        <f t="shared" si="58"/>
        <v>non</v>
      </c>
      <c r="N149" s="204" t="b">
        <f t="shared" si="59"/>
        <v>0</v>
      </c>
      <c r="O149" s="204">
        <f t="shared" si="60"/>
        <v>218</v>
      </c>
      <c r="P149" s="6">
        <f t="shared" si="61"/>
        <v>0</v>
      </c>
      <c r="Q149" s="6">
        <f t="shared" si="71"/>
        <v>436</v>
      </c>
      <c r="R149" s="6">
        <f t="shared" si="72"/>
        <v>0</v>
      </c>
      <c r="T149" s="205" t="s">
        <v>190</v>
      </c>
      <c r="U149">
        <f t="shared" ca="1" si="62"/>
        <v>7826</v>
      </c>
      <c r="V149" t="b">
        <f t="shared" si="63"/>
        <v>0</v>
      </c>
      <c r="W149">
        <f t="shared" ca="1" si="64"/>
        <v>2</v>
      </c>
      <c r="X149" s="6" t="str">
        <f t="shared" si="65"/>
        <v>non</v>
      </c>
      <c r="Y149" t="b">
        <f t="shared" si="66"/>
        <v>0</v>
      </c>
      <c r="Z149">
        <f t="shared" si="67"/>
        <v>218</v>
      </c>
      <c r="AA149" s="206">
        <f t="shared" si="73"/>
        <v>218</v>
      </c>
      <c r="AB149">
        <f t="shared" si="68"/>
        <v>0</v>
      </c>
      <c r="AC149">
        <f t="shared" si="69"/>
        <v>0</v>
      </c>
      <c r="AD149">
        <f t="shared" si="70"/>
        <v>0</v>
      </c>
      <c r="AE149">
        <f t="shared" si="74"/>
        <v>0</v>
      </c>
      <c r="AF149">
        <f t="shared" si="52"/>
        <v>0</v>
      </c>
      <c r="AG149">
        <f t="shared" si="75"/>
        <v>0</v>
      </c>
      <c r="AH149">
        <f t="shared" si="53"/>
        <v>0</v>
      </c>
      <c r="AK149" s="205">
        <v>28904</v>
      </c>
      <c r="AL149" t="s">
        <v>761</v>
      </c>
      <c r="AQ149">
        <v>1100000045</v>
      </c>
      <c r="AR149">
        <v>30</v>
      </c>
      <c r="AS149">
        <v>0</v>
      </c>
    </row>
    <row r="150" spans="2:45" x14ac:dyDescent="0.25">
      <c r="B150" s="17">
        <v>1200000039</v>
      </c>
      <c r="C150" s="3" t="s">
        <v>644</v>
      </c>
      <c r="D150" s="200">
        <v>44805</v>
      </c>
      <c r="E150">
        <v>39</v>
      </c>
      <c r="F150">
        <v>0</v>
      </c>
      <c r="G150" t="s">
        <v>273</v>
      </c>
      <c r="H150" s="203">
        <f t="shared" si="54"/>
        <v>1787</v>
      </c>
      <c r="I150" s="6">
        <f t="shared" si="55"/>
        <v>0</v>
      </c>
      <c r="J150" s="200">
        <f>'Synthèse Horaires'!$C$5</f>
        <v>46023</v>
      </c>
      <c r="K150" s="6" t="str">
        <f t="shared" si="56"/>
        <v>oui</v>
      </c>
      <c r="L150" s="6" t="str">
        <f t="shared" si="57"/>
        <v>non</v>
      </c>
      <c r="M150" s="204">
        <f t="shared" si="58"/>
        <v>1787</v>
      </c>
      <c r="N150" s="204">
        <f t="shared" si="59"/>
        <v>0</v>
      </c>
      <c r="O150" s="204" t="str">
        <f t="shared" si="60"/>
        <v>non</v>
      </c>
      <c r="P150" s="6" t="b">
        <f t="shared" si="61"/>
        <v>0</v>
      </c>
      <c r="Q150" s="6">
        <f t="shared" si="71"/>
        <v>0</v>
      </c>
      <c r="R150" s="6">
        <f t="shared" si="72"/>
        <v>0</v>
      </c>
      <c r="T150" s="205" t="s">
        <v>195</v>
      </c>
      <c r="U150">
        <f t="shared" ca="1" si="62"/>
        <v>1376</v>
      </c>
      <c r="V150">
        <f t="shared" ca="1" si="63"/>
        <v>0</v>
      </c>
      <c r="W150" t="b">
        <f t="shared" si="64"/>
        <v>0</v>
      </c>
      <c r="X150" s="6" t="str">
        <f t="shared" si="65"/>
        <v>non</v>
      </c>
      <c r="Y150">
        <f t="shared" si="66"/>
        <v>1787</v>
      </c>
      <c r="Z150" t="b">
        <f t="shared" si="67"/>
        <v>0</v>
      </c>
      <c r="AA150" s="206">
        <f t="shared" si="73"/>
        <v>1787</v>
      </c>
      <c r="AB150">
        <f t="shared" si="68"/>
        <v>0</v>
      </c>
      <c r="AC150">
        <f t="shared" si="69"/>
        <v>0</v>
      </c>
      <c r="AD150">
        <f t="shared" si="70"/>
        <v>1787</v>
      </c>
      <c r="AE150">
        <f t="shared" si="74"/>
        <v>0</v>
      </c>
      <c r="AF150">
        <f t="shared" ref="AF150:AF213" si="76">IF(AND(G150="Employé",L150="oui"),0,(AE150*(E150/5)))</f>
        <v>0</v>
      </c>
      <c r="AG150">
        <f t="shared" si="75"/>
        <v>0</v>
      </c>
      <c r="AH150">
        <f t="shared" si="53"/>
        <v>0</v>
      </c>
      <c r="AK150" s="205">
        <v>26753</v>
      </c>
      <c r="AL150" t="s">
        <v>514</v>
      </c>
      <c r="AQ150">
        <v>1100000048</v>
      </c>
      <c r="AR150">
        <v>0</v>
      </c>
      <c r="AS150">
        <v>0</v>
      </c>
    </row>
    <row r="151" spans="2:45" x14ac:dyDescent="0.25">
      <c r="B151" s="17">
        <v>2000000006</v>
      </c>
      <c r="C151" s="3" t="s">
        <v>645</v>
      </c>
      <c r="D151" s="200">
        <v>44802</v>
      </c>
      <c r="E151">
        <v>35</v>
      </c>
      <c r="F151">
        <v>0</v>
      </c>
      <c r="G151" t="s">
        <v>273</v>
      </c>
      <c r="H151" s="203">
        <f t="shared" si="54"/>
        <v>1607</v>
      </c>
      <c r="I151" s="6">
        <f t="shared" si="55"/>
        <v>0</v>
      </c>
      <c r="J151" s="200">
        <f>'Synthèse Horaires'!$C$5</f>
        <v>46023</v>
      </c>
      <c r="K151" s="6" t="str">
        <f t="shared" si="56"/>
        <v>oui</v>
      </c>
      <c r="L151" s="6" t="str">
        <f t="shared" si="57"/>
        <v>non</v>
      </c>
      <c r="M151" s="204">
        <f t="shared" si="58"/>
        <v>1607</v>
      </c>
      <c r="N151" s="204">
        <f t="shared" si="59"/>
        <v>0</v>
      </c>
      <c r="O151" s="204" t="str">
        <f t="shared" si="60"/>
        <v>non</v>
      </c>
      <c r="P151" s="6" t="b">
        <f t="shared" si="61"/>
        <v>0</v>
      </c>
      <c r="Q151" s="6">
        <f t="shared" si="71"/>
        <v>0</v>
      </c>
      <c r="R151" s="6">
        <f t="shared" si="72"/>
        <v>0</v>
      </c>
      <c r="T151" s="205" t="s">
        <v>606</v>
      </c>
      <c r="U151">
        <f t="shared" ca="1" si="62"/>
        <v>1379</v>
      </c>
      <c r="V151">
        <f t="shared" ca="1" si="63"/>
        <v>0</v>
      </c>
      <c r="W151" t="b">
        <f t="shared" si="64"/>
        <v>0</v>
      </c>
      <c r="X151" s="6" t="str">
        <f t="shared" si="65"/>
        <v>non</v>
      </c>
      <c r="Y151">
        <f t="shared" si="66"/>
        <v>1607</v>
      </c>
      <c r="Z151" t="b">
        <f t="shared" si="67"/>
        <v>0</v>
      </c>
      <c r="AA151" s="206">
        <f t="shared" si="73"/>
        <v>1607</v>
      </c>
      <c r="AB151">
        <f t="shared" si="68"/>
        <v>0</v>
      </c>
      <c r="AC151">
        <f t="shared" si="69"/>
        <v>0</v>
      </c>
      <c r="AD151">
        <f t="shared" si="70"/>
        <v>1607</v>
      </c>
      <c r="AE151">
        <f t="shared" si="74"/>
        <v>0</v>
      </c>
      <c r="AF151">
        <f t="shared" si="76"/>
        <v>0</v>
      </c>
      <c r="AG151">
        <f t="shared" si="75"/>
        <v>0</v>
      </c>
      <c r="AH151">
        <f t="shared" si="53"/>
        <v>0</v>
      </c>
      <c r="AK151" s="205">
        <v>32343</v>
      </c>
      <c r="AL151" t="s">
        <v>514</v>
      </c>
      <c r="AQ151">
        <v>8000000024</v>
      </c>
      <c r="AR151">
        <v>22</v>
      </c>
      <c r="AS151">
        <v>8</v>
      </c>
    </row>
    <row r="152" spans="2:45" x14ac:dyDescent="0.25">
      <c r="B152" s="17">
        <v>500000032</v>
      </c>
      <c r="C152" s="3" t="s">
        <v>713</v>
      </c>
      <c r="D152" s="200">
        <v>45469</v>
      </c>
      <c r="E152">
        <v>35</v>
      </c>
      <c r="F152">
        <v>0</v>
      </c>
      <c r="G152" t="s">
        <v>273</v>
      </c>
      <c r="H152" s="203">
        <f t="shared" si="54"/>
        <v>1607</v>
      </c>
      <c r="I152" s="6">
        <f t="shared" si="55"/>
        <v>0</v>
      </c>
      <c r="J152" s="200">
        <f>'Synthèse Horaires'!$C$5</f>
        <v>46023</v>
      </c>
      <c r="K152" s="6" t="str">
        <f t="shared" si="56"/>
        <v>oui</v>
      </c>
      <c r="L152" s="6" t="str">
        <f t="shared" si="57"/>
        <v>non</v>
      </c>
      <c r="M152" s="204">
        <f t="shared" si="58"/>
        <v>1607</v>
      </c>
      <c r="N152" s="204">
        <f t="shared" si="59"/>
        <v>0</v>
      </c>
      <c r="O152" s="204" t="str">
        <f t="shared" si="60"/>
        <v>non</v>
      </c>
      <c r="P152" s="6" t="b">
        <f t="shared" si="61"/>
        <v>0</v>
      </c>
      <c r="Q152" s="6">
        <f t="shared" si="71"/>
        <v>0</v>
      </c>
      <c r="R152" s="6">
        <f t="shared" si="72"/>
        <v>0</v>
      </c>
      <c r="T152" s="205" t="s">
        <v>197</v>
      </c>
      <c r="U152">
        <f t="shared" ca="1" si="62"/>
        <v>712</v>
      </c>
      <c r="V152">
        <f t="shared" ca="1" si="63"/>
        <v>0</v>
      </c>
      <c r="W152" t="b">
        <f t="shared" si="64"/>
        <v>0</v>
      </c>
      <c r="X152" s="6" t="str">
        <f t="shared" si="65"/>
        <v>non</v>
      </c>
      <c r="Y152">
        <f t="shared" si="66"/>
        <v>1607</v>
      </c>
      <c r="Z152" t="b">
        <f t="shared" si="67"/>
        <v>0</v>
      </c>
      <c r="AA152" s="206">
        <f t="shared" si="73"/>
        <v>1607</v>
      </c>
      <c r="AB152">
        <f t="shared" si="68"/>
        <v>0</v>
      </c>
      <c r="AC152">
        <f t="shared" si="69"/>
        <v>0</v>
      </c>
      <c r="AD152">
        <f t="shared" si="70"/>
        <v>1607</v>
      </c>
      <c r="AE152">
        <f t="shared" si="74"/>
        <v>0</v>
      </c>
      <c r="AF152">
        <f t="shared" si="76"/>
        <v>0</v>
      </c>
      <c r="AG152">
        <f t="shared" si="75"/>
        <v>0</v>
      </c>
      <c r="AH152">
        <f t="shared" si="53"/>
        <v>0</v>
      </c>
      <c r="AK152" s="205">
        <v>36945</v>
      </c>
      <c r="AL152" t="s">
        <v>534</v>
      </c>
      <c r="AQ152">
        <v>8000000023</v>
      </c>
      <c r="AR152">
        <v>30</v>
      </c>
      <c r="AS152">
        <v>0</v>
      </c>
    </row>
    <row r="153" spans="2:45" x14ac:dyDescent="0.25">
      <c r="B153" s="17">
        <v>800000036</v>
      </c>
      <c r="C153" s="3" t="s">
        <v>714</v>
      </c>
      <c r="D153" s="200">
        <v>45481</v>
      </c>
      <c r="E153">
        <v>35</v>
      </c>
      <c r="F153">
        <v>0</v>
      </c>
      <c r="G153" t="s">
        <v>273</v>
      </c>
      <c r="H153" s="203">
        <f t="shared" si="54"/>
        <v>1607</v>
      </c>
      <c r="I153" s="6">
        <f t="shared" si="55"/>
        <v>0</v>
      </c>
      <c r="J153" s="200">
        <f>'Synthèse Horaires'!$C$5</f>
        <v>46023</v>
      </c>
      <c r="K153" s="6" t="str">
        <f t="shared" si="56"/>
        <v>oui</v>
      </c>
      <c r="L153" s="6" t="str">
        <f t="shared" si="57"/>
        <v>non</v>
      </c>
      <c r="M153" s="204">
        <f t="shared" si="58"/>
        <v>1607</v>
      </c>
      <c r="N153" s="204">
        <f t="shared" si="59"/>
        <v>0</v>
      </c>
      <c r="O153" s="204" t="str">
        <f t="shared" si="60"/>
        <v>non</v>
      </c>
      <c r="P153" s="6" t="b">
        <f t="shared" si="61"/>
        <v>0</v>
      </c>
      <c r="Q153" s="6">
        <f t="shared" si="71"/>
        <v>0</v>
      </c>
      <c r="R153" s="6">
        <f t="shared" si="72"/>
        <v>0</v>
      </c>
      <c r="T153" s="205" t="s">
        <v>192</v>
      </c>
      <c r="U153">
        <f t="shared" ca="1" si="62"/>
        <v>700</v>
      </c>
      <c r="V153">
        <f t="shared" ca="1" si="63"/>
        <v>0</v>
      </c>
      <c r="W153" t="b">
        <f t="shared" si="64"/>
        <v>0</v>
      </c>
      <c r="X153" s="6" t="str">
        <f t="shared" si="65"/>
        <v>non</v>
      </c>
      <c r="Y153">
        <f t="shared" si="66"/>
        <v>1607</v>
      </c>
      <c r="Z153" t="b">
        <f t="shared" si="67"/>
        <v>0</v>
      </c>
      <c r="AA153" s="206">
        <f t="shared" si="73"/>
        <v>1621</v>
      </c>
      <c r="AB153">
        <f t="shared" si="68"/>
        <v>0</v>
      </c>
      <c r="AC153">
        <f t="shared" si="69"/>
        <v>0</v>
      </c>
      <c r="AD153">
        <f t="shared" si="70"/>
        <v>1607</v>
      </c>
      <c r="AE153">
        <f t="shared" si="74"/>
        <v>2</v>
      </c>
      <c r="AF153">
        <f t="shared" si="76"/>
        <v>14</v>
      </c>
      <c r="AG153">
        <f t="shared" si="75"/>
        <v>2</v>
      </c>
      <c r="AH153">
        <f t="shared" si="53"/>
        <v>0</v>
      </c>
      <c r="AK153" s="205">
        <v>30686</v>
      </c>
      <c r="AL153" t="s">
        <v>509</v>
      </c>
      <c r="AQ153">
        <v>5000000036</v>
      </c>
      <c r="AR153">
        <v>30</v>
      </c>
      <c r="AS153">
        <v>0</v>
      </c>
    </row>
    <row r="154" spans="2:45" x14ac:dyDescent="0.25">
      <c r="B154" s="17">
        <v>800000037</v>
      </c>
      <c r="C154" s="3" t="s">
        <v>715</v>
      </c>
      <c r="D154" s="200">
        <v>45467</v>
      </c>
      <c r="E154">
        <v>35</v>
      </c>
      <c r="F154">
        <v>0</v>
      </c>
      <c r="G154" t="s">
        <v>273</v>
      </c>
      <c r="H154" s="203">
        <f t="shared" si="54"/>
        <v>1607</v>
      </c>
      <c r="I154" s="6">
        <f t="shared" si="55"/>
        <v>0</v>
      </c>
      <c r="J154" s="200">
        <f>'Synthèse Horaires'!$C$5</f>
        <v>46023</v>
      </c>
      <c r="K154" s="6" t="str">
        <f t="shared" si="56"/>
        <v>oui</v>
      </c>
      <c r="L154" s="6" t="str">
        <f t="shared" si="57"/>
        <v>non</v>
      </c>
      <c r="M154" s="204">
        <f t="shared" si="58"/>
        <v>1607</v>
      </c>
      <c r="N154" s="204">
        <f t="shared" si="59"/>
        <v>0</v>
      </c>
      <c r="O154" s="204" t="str">
        <f t="shared" si="60"/>
        <v>non</v>
      </c>
      <c r="P154" s="6" t="b">
        <f t="shared" si="61"/>
        <v>0</v>
      </c>
      <c r="Q154" s="6">
        <f t="shared" si="71"/>
        <v>0</v>
      </c>
      <c r="R154" s="6">
        <f t="shared" si="72"/>
        <v>0</v>
      </c>
      <c r="T154" s="205" t="s">
        <v>192</v>
      </c>
      <c r="U154">
        <f t="shared" ca="1" si="62"/>
        <v>714</v>
      </c>
      <c r="V154">
        <f t="shared" ca="1" si="63"/>
        <v>0</v>
      </c>
      <c r="W154" t="b">
        <f t="shared" si="64"/>
        <v>0</v>
      </c>
      <c r="X154" s="6" t="str">
        <f t="shared" si="65"/>
        <v>non</v>
      </c>
      <c r="Y154">
        <f t="shared" si="66"/>
        <v>1607</v>
      </c>
      <c r="Z154" t="b">
        <f t="shared" si="67"/>
        <v>0</v>
      </c>
      <c r="AA154" s="206">
        <f t="shared" si="73"/>
        <v>1607</v>
      </c>
      <c r="AB154">
        <f t="shared" si="68"/>
        <v>0</v>
      </c>
      <c r="AC154">
        <f t="shared" si="69"/>
        <v>0</v>
      </c>
      <c r="AD154">
        <f t="shared" si="70"/>
        <v>1607</v>
      </c>
      <c r="AE154">
        <f t="shared" si="74"/>
        <v>0</v>
      </c>
      <c r="AF154">
        <f t="shared" si="76"/>
        <v>0</v>
      </c>
      <c r="AG154">
        <f t="shared" si="75"/>
        <v>0</v>
      </c>
      <c r="AH154">
        <f t="shared" si="53"/>
        <v>0</v>
      </c>
      <c r="AK154" s="205">
        <v>32623</v>
      </c>
      <c r="AL154" t="s">
        <v>506</v>
      </c>
      <c r="AQ154">
        <v>1100000047</v>
      </c>
      <c r="AR154">
        <v>28</v>
      </c>
      <c r="AS154">
        <v>0</v>
      </c>
    </row>
    <row r="155" spans="2:45" x14ac:dyDescent="0.25">
      <c r="B155" s="283">
        <v>200000046</v>
      </c>
      <c r="C155" s="284" t="s">
        <v>788</v>
      </c>
      <c r="D155" s="282">
        <v>46125</v>
      </c>
      <c r="E155" s="285">
        <v>35</v>
      </c>
      <c r="F155" s="285">
        <v>0</v>
      </c>
      <c r="G155" s="285" t="s">
        <v>273</v>
      </c>
      <c r="H155" s="203">
        <f t="shared" si="54"/>
        <v>1607</v>
      </c>
      <c r="I155" s="6">
        <f t="shared" si="55"/>
        <v>0</v>
      </c>
      <c r="J155" s="200">
        <f>'Synthèse Horaires'!$C$5</f>
        <v>46023</v>
      </c>
      <c r="K155" s="6" t="str">
        <f t="shared" si="56"/>
        <v>oui</v>
      </c>
      <c r="L155" s="6" t="str">
        <f t="shared" si="57"/>
        <v>non</v>
      </c>
      <c r="M155" s="204">
        <f t="shared" si="58"/>
        <v>1607</v>
      </c>
      <c r="N155" s="204">
        <f t="shared" si="59"/>
        <v>0</v>
      </c>
      <c r="O155" s="204" t="str">
        <f t="shared" si="60"/>
        <v>non</v>
      </c>
      <c r="P155" s="6" t="b">
        <f t="shared" si="61"/>
        <v>0</v>
      </c>
      <c r="Q155" s="6">
        <f t="shared" si="71"/>
        <v>0</v>
      </c>
      <c r="R155" s="6">
        <f t="shared" si="72"/>
        <v>0</v>
      </c>
      <c r="T155" s="205" t="s">
        <v>404</v>
      </c>
      <c r="U155">
        <f t="shared" ca="1" si="62"/>
        <v>56</v>
      </c>
      <c r="V155">
        <f t="shared" ca="1" si="63"/>
        <v>0</v>
      </c>
      <c r="W155" t="b">
        <f t="shared" si="64"/>
        <v>0</v>
      </c>
      <c r="X155" s="6" t="str">
        <f t="shared" si="65"/>
        <v>non</v>
      </c>
      <c r="Y155">
        <f t="shared" si="66"/>
        <v>1607</v>
      </c>
      <c r="Z155" t="b">
        <f t="shared" si="67"/>
        <v>0</v>
      </c>
      <c r="AA155" s="206">
        <f t="shared" si="73"/>
        <v>1789</v>
      </c>
      <c r="AB155">
        <f t="shared" si="68"/>
        <v>0</v>
      </c>
      <c r="AC155">
        <f t="shared" si="69"/>
        <v>0</v>
      </c>
      <c r="AD155">
        <f t="shared" si="70"/>
        <v>1607</v>
      </c>
      <c r="AE155">
        <f t="shared" si="74"/>
        <v>26</v>
      </c>
      <c r="AF155">
        <f t="shared" si="76"/>
        <v>182</v>
      </c>
      <c r="AG155">
        <f t="shared" si="75"/>
        <v>26</v>
      </c>
      <c r="AH155">
        <f t="shared" si="53"/>
        <v>0</v>
      </c>
      <c r="AK155" s="205">
        <v>36423</v>
      </c>
      <c r="AL155" t="s">
        <v>509</v>
      </c>
      <c r="AQ155">
        <v>5000000040</v>
      </c>
      <c r="AR155">
        <v>30</v>
      </c>
      <c r="AS155">
        <v>0</v>
      </c>
    </row>
    <row r="156" spans="2:45" x14ac:dyDescent="0.25">
      <c r="B156" s="283">
        <v>2000000033</v>
      </c>
      <c r="C156" s="284" t="s">
        <v>746</v>
      </c>
      <c r="D156" s="282">
        <v>45859</v>
      </c>
      <c r="E156" s="285">
        <v>35</v>
      </c>
      <c r="F156" s="285">
        <v>0</v>
      </c>
      <c r="G156" s="285" t="s">
        <v>273</v>
      </c>
      <c r="H156" s="203">
        <f t="shared" si="54"/>
        <v>1607</v>
      </c>
      <c r="I156" s="6">
        <f t="shared" si="55"/>
        <v>0</v>
      </c>
      <c r="J156" s="200">
        <f>'Synthèse Horaires'!$C$5</f>
        <v>46023</v>
      </c>
      <c r="K156" s="6" t="str">
        <f t="shared" si="56"/>
        <v>oui</v>
      </c>
      <c r="L156" s="6" t="str">
        <f t="shared" si="57"/>
        <v>non</v>
      </c>
      <c r="M156" s="204">
        <f t="shared" si="58"/>
        <v>1607</v>
      </c>
      <c r="N156" s="204">
        <f t="shared" si="59"/>
        <v>0</v>
      </c>
      <c r="O156" s="204" t="str">
        <f t="shared" si="60"/>
        <v>non</v>
      </c>
      <c r="P156" s="6" t="b">
        <f t="shared" si="61"/>
        <v>0</v>
      </c>
      <c r="Q156" s="6">
        <f t="shared" si="71"/>
        <v>0</v>
      </c>
      <c r="R156" s="6">
        <f t="shared" si="72"/>
        <v>0</v>
      </c>
      <c r="T156" s="205" t="s">
        <v>606</v>
      </c>
      <c r="U156">
        <f t="shared" ca="1" si="62"/>
        <v>322</v>
      </c>
      <c r="V156">
        <f t="shared" ca="1" si="63"/>
        <v>0</v>
      </c>
      <c r="W156" t="b">
        <f t="shared" si="64"/>
        <v>0</v>
      </c>
      <c r="X156" s="6" t="str">
        <f t="shared" si="65"/>
        <v>non</v>
      </c>
      <c r="Y156">
        <f t="shared" si="66"/>
        <v>1607</v>
      </c>
      <c r="Z156" t="b">
        <f t="shared" si="67"/>
        <v>0</v>
      </c>
      <c r="AA156" s="206">
        <f t="shared" si="73"/>
        <v>1635</v>
      </c>
      <c r="AB156">
        <f t="shared" si="68"/>
        <v>0</v>
      </c>
      <c r="AC156">
        <f t="shared" si="69"/>
        <v>0</v>
      </c>
      <c r="AD156">
        <f t="shared" si="70"/>
        <v>1607</v>
      </c>
      <c r="AE156">
        <f t="shared" si="74"/>
        <v>4</v>
      </c>
      <c r="AF156">
        <f t="shared" si="76"/>
        <v>28</v>
      </c>
      <c r="AG156">
        <f t="shared" si="75"/>
        <v>4</v>
      </c>
      <c r="AH156">
        <f t="shared" si="53"/>
        <v>0</v>
      </c>
      <c r="AK156" s="205">
        <v>31412</v>
      </c>
      <c r="AL156" t="s">
        <v>747</v>
      </c>
      <c r="AQ156">
        <v>4000000010</v>
      </c>
      <c r="AR156">
        <v>30</v>
      </c>
      <c r="AS156">
        <v>0</v>
      </c>
    </row>
    <row r="157" spans="2:45" x14ac:dyDescent="0.25">
      <c r="B157" s="17">
        <v>1000000065</v>
      </c>
      <c r="C157" s="3" t="s">
        <v>741</v>
      </c>
      <c r="D157" s="200">
        <v>45754</v>
      </c>
      <c r="E157">
        <v>35</v>
      </c>
      <c r="F157">
        <v>0</v>
      </c>
      <c r="G157" t="s">
        <v>273</v>
      </c>
      <c r="H157" s="203">
        <f t="shared" si="54"/>
        <v>1607</v>
      </c>
      <c r="I157" s="6">
        <f t="shared" si="55"/>
        <v>0</v>
      </c>
      <c r="J157" s="200">
        <f>'Synthèse Horaires'!$C$5</f>
        <v>46023</v>
      </c>
      <c r="K157" s="6" t="str">
        <f t="shared" si="56"/>
        <v>oui</v>
      </c>
      <c r="L157" s="6" t="str">
        <f t="shared" si="57"/>
        <v>non</v>
      </c>
      <c r="M157" s="204">
        <f t="shared" si="58"/>
        <v>1607</v>
      </c>
      <c r="N157" s="204">
        <f t="shared" si="59"/>
        <v>0</v>
      </c>
      <c r="O157" s="204" t="str">
        <f t="shared" si="60"/>
        <v>non</v>
      </c>
      <c r="P157" s="6" t="b">
        <f t="shared" si="61"/>
        <v>0</v>
      </c>
      <c r="Q157" s="6">
        <f t="shared" si="71"/>
        <v>0</v>
      </c>
      <c r="R157" s="6">
        <f t="shared" si="72"/>
        <v>0</v>
      </c>
      <c r="T157" s="205" t="s">
        <v>193</v>
      </c>
      <c r="U157">
        <f t="shared" ca="1" si="62"/>
        <v>427</v>
      </c>
      <c r="V157">
        <f t="shared" ca="1" si="63"/>
        <v>0</v>
      </c>
      <c r="W157" t="b">
        <f t="shared" si="64"/>
        <v>0</v>
      </c>
      <c r="X157" s="6" t="str">
        <f t="shared" si="65"/>
        <v>non</v>
      </c>
      <c r="Y157">
        <f t="shared" si="66"/>
        <v>1607</v>
      </c>
      <c r="Z157" t="b">
        <f t="shared" si="67"/>
        <v>0</v>
      </c>
      <c r="AA157" s="206">
        <f t="shared" si="73"/>
        <v>1607</v>
      </c>
      <c r="AB157">
        <f t="shared" si="68"/>
        <v>0</v>
      </c>
      <c r="AC157">
        <f t="shared" si="69"/>
        <v>0</v>
      </c>
      <c r="AD157">
        <f t="shared" si="70"/>
        <v>1607</v>
      </c>
      <c r="AE157">
        <f t="shared" si="74"/>
        <v>0</v>
      </c>
      <c r="AF157">
        <f t="shared" si="76"/>
        <v>0</v>
      </c>
      <c r="AG157">
        <f t="shared" si="75"/>
        <v>0</v>
      </c>
      <c r="AH157">
        <f t="shared" si="53"/>
        <v>0</v>
      </c>
      <c r="AK157" s="205">
        <v>29532</v>
      </c>
      <c r="AL157" t="s">
        <v>506</v>
      </c>
      <c r="AQ157">
        <v>300000043</v>
      </c>
      <c r="AR157">
        <v>28</v>
      </c>
      <c r="AS157">
        <v>0</v>
      </c>
    </row>
    <row r="158" spans="2:45" x14ac:dyDescent="0.25">
      <c r="B158" s="283">
        <v>1200000053</v>
      </c>
      <c r="C158" s="284" t="s">
        <v>756</v>
      </c>
      <c r="D158" s="282">
        <v>45908</v>
      </c>
      <c r="E158" s="285">
        <v>35</v>
      </c>
      <c r="F158" s="285">
        <v>0</v>
      </c>
      <c r="G158" s="285" t="s">
        <v>273</v>
      </c>
      <c r="H158" s="203">
        <f t="shared" si="54"/>
        <v>1607</v>
      </c>
      <c r="I158" s="6">
        <f t="shared" si="55"/>
        <v>0</v>
      </c>
      <c r="J158" s="200">
        <f>'Synthèse Horaires'!$C$5</f>
        <v>46023</v>
      </c>
      <c r="K158" s="6" t="str">
        <f t="shared" si="56"/>
        <v>oui</v>
      </c>
      <c r="L158" s="6" t="str">
        <f t="shared" si="57"/>
        <v>non</v>
      </c>
      <c r="M158" s="204">
        <f t="shared" si="58"/>
        <v>1607</v>
      </c>
      <c r="N158" s="204">
        <f t="shared" si="59"/>
        <v>0</v>
      </c>
      <c r="O158" s="204" t="str">
        <f t="shared" si="60"/>
        <v>non</v>
      </c>
      <c r="P158" s="6" t="b">
        <f t="shared" si="61"/>
        <v>0</v>
      </c>
      <c r="Q158" s="6">
        <f t="shared" si="71"/>
        <v>0</v>
      </c>
      <c r="R158" s="6">
        <f t="shared" si="72"/>
        <v>0</v>
      </c>
      <c r="T158" s="205" t="s">
        <v>195</v>
      </c>
      <c r="U158">
        <f t="shared" ca="1" si="62"/>
        <v>273</v>
      </c>
      <c r="V158">
        <f t="shared" ca="1" si="63"/>
        <v>0</v>
      </c>
      <c r="W158" t="b">
        <f t="shared" si="64"/>
        <v>0</v>
      </c>
      <c r="X158" s="6" t="str">
        <f t="shared" si="65"/>
        <v>non</v>
      </c>
      <c r="Y158">
        <f t="shared" si="66"/>
        <v>1607</v>
      </c>
      <c r="Z158" t="b">
        <f t="shared" si="67"/>
        <v>0</v>
      </c>
      <c r="AA158" s="206">
        <f t="shared" si="73"/>
        <v>1705</v>
      </c>
      <c r="AB158">
        <f t="shared" si="68"/>
        <v>0</v>
      </c>
      <c r="AC158">
        <f t="shared" si="69"/>
        <v>0</v>
      </c>
      <c r="AD158">
        <f t="shared" si="70"/>
        <v>1607</v>
      </c>
      <c r="AE158">
        <f t="shared" si="74"/>
        <v>14</v>
      </c>
      <c r="AF158">
        <f t="shared" si="76"/>
        <v>98</v>
      </c>
      <c r="AG158">
        <f t="shared" si="75"/>
        <v>14</v>
      </c>
      <c r="AH158">
        <f t="shared" si="53"/>
        <v>0</v>
      </c>
      <c r="AK158" s="205">
        <v>39250</v>
      </c>
      <c r="AL158" t="s">
        <v>532</v>
      </c>
      <c r="AQ158">
        <v>400000025</v>
      </c>
      <c r="AR158">
        <v>25</v>
      </c>
      <c r="AS158">
        <v>0</v>
      </c>
    </row>
    <row r="159" spans="2:45" x14ac:dyDescent="0.25">
      <c r="B159" s="283">
        <v>1200000054</v>
      </c>
      <c r="C159" s="284" t="s">
        <v>757</v>
      </c>
      <c r="D159" s="282">
        <v>45908</v>
      </c>
      <c r="E159" s="285">
        <v>39</v>
      </c>
      <c r="F159" s="285">
        <v>0</v>
      </c>
      <c r="G159" s="285" t="s">
        <v>273</v>
      </c>
      <c r="H159" s="203">
        <f t="shared" si="54"/>
        <v>1787</v>
      </c>
      <c r="I159" s="6">
        <f t="shared" si="55"/>
        <v>0</v>
      </c>
      <c r="J159" s="200">
        <f>'Synthèse Horaires'!$C$5</f>
        <v>46023</v>
      </c>
      <c r="K159" s="6" t="str">
        <f t="shared" si="56"/>
        <v>oui</v>
      </c>
      <c r="L159" s="6" t="str">
        <f t="shared" si="57"/>
        <v>non</v>
      </c>
      <c r="M159" s="204">
        <f t="shared" si="58"/>
        <v>1787</v>
      </c>
      <c r="N159" s="204">
        <f t="shared" si="59"/>
        <v>0</v>
      </c>
      <c r="O159" s="204" t="str">
        <f t="shared" si="60"/>
        <v>non</v>
      </c>
      <c r="P159" s="6" t="b">
        <f t="shared" si="61"/>
        <v>0</v>
      </c>
      <c r="Q159" s="6">
        <f t="shared" si="71"/>
        <v>0</v>
      </c>
      <c r="R159" s="6">
        <f t="shared" si="72"/>
        <v>0</v>
      </c>
      <c r="T159" s="205" t="s">
        <v>195</v>
      </c>
      <c r="U159">
        <f t="shared" ca="1" si="62"/>
        <v>273</v>
      </c>
      <c r="V159">
        <f t="shared" ca="1" si="63"/>
        <v>0</v>
      </c>
      <c r="W159" t="b">
        <f t="shared" si="64"/>
        <v>0</v>
      </c>
      <c r="X159" s="6" t="str">
        <f t="shared" si="65"/>
        <v>non</v>
      </c>
      <c r="Y159">
        <f t="shared" si="66"/>
        <v>1787</v>
      </c>
      <c r="Z159" t="b">
        <f t="shared" si="67"/>
        <v>0</v>
      </c>
      <c r="AA159" s="206">
        <f t="shared" si="73"/>
        <v>1849.4</v>
      </c>
      <c r="AB159">
        <f t="shared" si="68"/>
        <v>0</v>
      </c>
      <c r="AC159">
        <f t="shared" si="69"/>
        <v>0</v>
      </c>
      <c r="AD159">
        <f t="shared" si="70"/>
        <v>1787</v>
      </c>
      <c r="AE159">
        <f t="shared" si="74"/>
        <v>8</v>
      </c>
      <c r="AF159">
        <f t="shared" si="76"/>
        <v>62.4</v>
      </c>
      <c r="AG159">
        <f t="shared" si="75"/>
        <v>8</v>
      </c>
      <c r="AH159">
        <f t="shared" si="53"/>
        <v>0</v>
      </c>
      <c r="AJ159" s="9"/>
      <c r="AK159" s="205">
        <v>36549</v>
      </c>
      <c r="AL159" t="s">
        <v>506</v>
      </c>
      <c r="AQ159">
        <v>4000000011</v>
      </c>
      <c r="AR159">
        <v>24</v>
      </c>
      <c r="AS159">
        <v>0</v>
      </c>
    </row>
    <row r="160" spans="2:45" x14ac:dyDescent="0.25">
      <c r="B160" s="283">
        <v>2000000035</v>
      </c>
      <c r="C160" s="284" t="s">
        <v>770</v>
      </c>
      <c r="D160" s="282">
        <v>46027</v>
      </c>
      <c r="E160" s="285">
        <v>35</v>
      </c>
      <c r="F160" s="285">
        <v>0</v>
      </c>
      <c r="G160" s="285" t="s">
        <v>273</v>
      </c>
      <c r="H160" s="203">
        <f t="shared" si="54"/>
        <v>1607</v>
      </c>
      <c r="I160" s="6">
        <f t="shared" si="55"/>
        <v>0</v>
      </c>
      <c r="J160" s="200">
        <f>'Synthèse Horaires'!$C$5</f>
        <v>46023</v>
      </c>
      <c r="K160" s="6" t="str">
        <f t="shared" si="56"/>
        <v>oui</v>
      </c>
      <c r="L160" s="6" t="str">
        <f t="shared" si="57"/>
        <v>non</v>
      </c>
      <c r="M160" s="204">
        <f t="shared" si="58"/>
        <v>1607</v>
      </c>
      <c r="N160" s="204">
        <f t="shared" si="59"/>
        <v>0</v>
      </c>
      <c r="O160" s="204" t="str">
        <f t="shared" si="60"/>
        <v>non</v>
      </c>
      <c r="P160" s="6" t="b">
        <f t="shared" si="61"/>
        <v>0</v>
      </c>
      <c r="Q160" s="6">
        <f t="shared" si="71"/>
        <v>0</v>
      </c>
      <c r="R160" s="6">
        <f t="shared" si="72"/>
        <v>0</v>
      </c>
      <c r="T160" s="205" t="s">
        <v>606</v>
      </c>
      <c r="U160">
        <f t="shared" ca="1" si="62"/>
        <v>154</v>
      </c>
      <c r="V160">
        <f t="shared" ca="1" si="63"/>
        <v>0</v>
      </c>
      <c r="W160" t="b">
        <f t="shared" si="64"/>
        <v>0</v>
      </c>
      <c r="X160" s="6" t="str">
        <f t="shared" si="65"/>
        <v>non</v>
      </c>
      <c r="Y160">
        <f t="shared" si="66"/>
        <v>1607</v>
      </c>
      <c r="Z160" t="b">
        <f t="shared" si="67"/>
        <v>0</v>
      </c>
      <c r="AA160" s="206">
        <f t="shared" si="73"/>
        <v>1726</v>
      </c>
      <c r="AB160">
        <f t="shared" si="68"/>
        <v>0</v>
      </c>
      <c r="AC160">
        <f t="shared" si="69"/>
        <v>0</v>
      </c>
      <c r="AD160">
        <f t="shared" si="70"/>
        <v>1607</v>
      </c>
      <c r="AE160">
        <f t="shared" si="74"/>
        <v>17</v>
      </c>
      <c r="AF160">
        <f t="shared" si="76"/>
        <v>119</v>
      </c>
      <c r="AG160">
        <f t="shared" si="75"/>
        <v>17</v>
      </c>
      <c r="AH160">
        <f t="shared" si="53"/>
        <v>0</v>
      </c>
      <c r="AK160" s="205">
        <v>29054</v>
      </c>
      <c r="AL160" t="s">
        <v>633</v>
      </c>
      <c r="AQ160">
        <v>1200000053</v>
      </c>
      <c r="AR160">
        <v>16</v>
      </c>
      <c r="AS160">
        <v>6</v>
      </c>
    </row>
    <row r="161" spans="2:45" x14ac:dyDescent="0.25">
      <c r="B161" s="283">
        <v>3000000074</v>
      </c>
      <c r="C161" s="284" t="s">
        <v>800</v>
      </c>
      <c r="D161" s="282">
        <v>46140</v>
      </c>
      <c r="E161" s="285">
        <v>35</v>
      </c>
      <c r="F161" s="285">
        <v>0</v>
      </c>
      <c r="G161" s="285" t="s">
        <v>273</v>
      </c>
      <c r="H161" s="203">
        <f t="shared" si="54"/>
        <v>1607</v>
      </c>
      <c r="I161" s="6">
        <f t="shared" si="55"/>
        <v>0</v>
      </c>
      <c r="J161" s="200">
        <f>'Synthèse Horaires'!$C$5</f>
        <v>46023</v>
      </c>
      <c r="K161" s="6" t="str">
        <f t="shared" si="56"/>
        <v>oui</v>
      </c>
      <c r="L161" s="6" t="str">
        <f t="shared" si="57"/>
        <v>non</v>
      </c>
      <c r="M161" s="204">
        <f t="shared" si="58"/>
        <v>1607</v>
      </c>
      <c r="N161" s="204">
        <f t="shared" si="59"/>
        <v>0</v>
      </c>
      <c r="O161" s="204" t="str">
        <f t="shared" si="60"/>
        <v>non</v>
      </c>
      <c r="P161" s="6" t="b">
        <f t="shared" si="61"/>
        <v>0</v>
      </c>
      <c r="Q161" s="6">
        <f t="shared" si="71"/>
        <v>0</v>
      </c>
      <c r="R161" s="6">
        <f t="shared" si="72"/>
        <v>0</v>
      </c>
      <c r="T161" s="205" t="s">
        <v>465</v>
      </c>
      <c r="U161">
        <f t="shared" ca="1" si="62"/>
        <v>41</v>
      </c>
      <c r="V161">
        <f t="shared" ca="1" si="63"/>
        <v>0</v>
      </c>
      <c r="W161" t="b">
        <f t="shared" si="64"/>
        <v>0</v>
      </c>
      <c r="X161" s="6" t="str">
        <f t="shared" si="65"/>
        <v>non</v>
      </c>
      <c r="Y161">
        <f t="shared" si="66"/>
        <v>1607</v>
      </c>
      <c r="Z161" t="b">
        <f t="shared" si="67"/>
        <v>0</v>
      </c>
      <c r="AA161" s="206">
        <f t="shared" si="73"/>
        <v>1796</v>
      </c>
      <c r="AB161">
        <f t="shared" si="68"/>
        <v>0</v>
      </c>
      <c r="AC161">
        <f t="shared" si="69"/>
        <v>0</v>
      </c>
      <c r="AD161">
        <f t="shared" si="70"/>
        <v>1607</v>
      </c>
      <c r="AE161">
        <f t="shared" si="74"/>
        <v>27</v>
      </c>
      <c r="AF161">
        <f t="shared" si="76"/>
        <v>189</v>
      </c>
      <c r="AG161">
        <f t="shared" si="75"/>
        <v>27</v>
      </c>
      <c r="AH161">
        <f t="shared" si="53"/>
        <v>0</v>
      </c>
      <c r="AK161" s="205">
        <v>37025</v>
      </c>
      <c r="AL161" t="s">
        <v>508</v>
      </c>
      <c r="AQ161">
        <v>100000044</v>
      </c>
      <c r="AR161">
        <v>20</v>
      </c>
      <c r="AS161">
        <v>2</v>
      </c>
    </row>
    <row r="162" spans="2:45" x14ac:dyDescent="0.25">
      <c r="B162" s="17">
        <v>4000000011</v>
      </c>
      <c r="C162" s="3" t="s">
        <v>748</v>
      </c>
      <c r="D162" s="200">
        <v>45888</v>
      </c>
      <c r="E162">
        <v>35</v>
      </c>
      <c r="F162">
        <v>0</v>
      </c>
      <c r="G162" t="s">
        <v>273</v>
      </c>
      <c r="H162" s="203">
        <f t="shared" si="54"/>
        <v>1607</v>
      </c>
      <c r="I162" s="6">
        <f t="shared" si="55"/>
        <v>0</v>
      </c>
      <c r="J162" s="200">
        <f>'Synthèse Horaires'!$C$5</f>
        <v>46023</v>
      </c>
      <c r="K162" s="6" t="str">
        <f t="shared" si="56"/>
        <v>oui</v>
      </c>
      <c r="L162" s="6" t="str">
        <f t="shared" si="57"/>
        <v>non</v>
      </c>
      <c r="M162" s="204">
        <f t="shared" si="58"/>
        <v>1607</v>
      </c>
      <c r="N162" s="204">
        <f t="shared" si="59"/>
        <v>0</v>
      </c>
      <c r="O162" s="204" t="str">
        <f t="shared" si="60"/>
        <v>non</v>
      </c>
      <c r="P162" s="6" t="b">
        <f t="shared" si="61"/>
        <v>0</v>
      </c>
      <c r="Q162" s="6">
        <f t="shared" si="71"/>
        <v>0</v>
      </c>
      <c r="R162" s="6">
        <f t="shared" si="72"/>
        <v>0</v>
      </c>
      <c r="T162" s="205" t="s">
        <v>642</v>
      </c>
      <c r="U162">
        <f t="shared" ca="1" si="62"/>
        <v>293</v>
      </c>
      <c r="V162">
        <f t="shared" ca="1" si="63"/>
        <v>0</v>
      </c>
      <c r="W162" t="b">
        <f t="shared" si="64"/>
        <v>0</v>
      </c>
      <c r="X162" s="6" t="str">
        <f t="shared" si="65"/>
        <v>non</v>
      </c>
      <c r="Y162">
        <f t="shared" si="66"/>
        <v>1607</v>
      </c>
      <c r="Z162" t="b">
        <f t="shared" si="67"/>
        <v>0</v>
      </c>
      <c r="AA162" s="206">
        <f t="shared" si="73"/>
        <v>1649</v>
      </c>
      <c r="AB162">
        <f t="shared" si="68"/>
        <v>0</v>
      </c>
      <c r="AC162">
        <f t="shared" si="69"/>
        <v>0</v>
      </c>
      <c r="AD162">
        <f t="shared" si="70"/>
        <v>1607</v>
      </c>
      <c r="AE162">
        <f t="shared" si="74"/>
        <v>6</v>
      </c>
      <c r="AF162">
        <f t="shared" si="76"/>
        <v>42</v>
      </c>
      <c r="AG162">
        <f t="shared" si="75"/>
        <v>6</v>
      </c>
      <c r="AH162">
        <f t="shared" si="53"/>
        <v>0</v>
      </c>
      <c r="AK162" s="205">
        <v>38787</v>
      </c>
      <c r="AL162" t="s">
        <v>532</v>
      </c>
      <c r="AQ162">
        <v>8000000026</v>
      </c>
      <c r="AR162">
        <v>0</v>
      </c>
      <c r="AS162">
        <v>0</v>
      </c>
    </row>
    <row r="163" spans="2:45" x14ac:dyDescent="0.25">
      <c r="B163" s="17">
        <v>1100000042</v>
      </c>
      <c r="C163" s="3" t="s">
        <v>673</v>
      </c>
      <c r="D163" s="200">
        <v>44958</v>
      </c>
      <c r="E163">
        <v>35</v>
      </c>
      <c r="F163">
        <v>0</v>
      </c>
      <c r="G163" t="s">
        <v>273</v>
      </c>
      <c r="H163" s="203">
        <f t="shared" si="54"/>
        <v>1607</v>
      </c>
      <c r="I163" s="6">
        <f t="shared" si="55"/>
        <v>0</v>
      </c>
      <c r="J163" s="200">
        <f>'Synthèse Horaires'!$C$5</f>
        <v>46023</v>
      </c>
      <c r="K163" s="6" t="str">
        <f t="shared" si="56"/>
        <v>oui</v>
      </c>
      <c r="L163" s="6" t="str">
        <f t="shared" si="57"/>
        <v>non</v>
      </c>
      <c r="M163" s="204">
        <f t="shared" si="58"/>
        <v>1607</v>
      </c>
      <c r="N163" s="204">
        <f t="shared" si="59"/>
        <v>0</v>
      </c>
      <c r="O163" s="204" t="str">
        <f t="shared" si="60"/>
        <v>non</v>
      </c>
      <c r="P163" s="6" t="b">
        <f t="shared" si="61"/>
        <v>0</v>
      </c>
      <c r="Q163" s="6">
        <f t="shared" si="71"/>
        <v>0</v>
      </c>
      <c r="R163" s="6">
        <f t="shared" si="72"/>
        <v>0</v>
      </c>
      <c r="T163" s="205" t="s">
        <v>190</v>
      </c>
      <c r="U163">
        <f t="shared" ca="1" si="62"/>
        <v>1223</v>
      </c>
      <c r="V163">
        <f t="shared" ca="1" si="63"/>
        <v>0</v>
      </c>
      <c r="W163" t="b">
        <f t="shared" si="64"/>
        <v>0</v>
      </c>
      <c r="X163" s="6" t="str">
        <f t="shared" si="65"/>
        <v>non</v>
      </c>
      <c r="Y163">
        <f t="shared" si="66"/>
        <v>1607</v>
      </c>
      <c r="Z163" t="b">
        <f t="shared" si="67"/>
        <v>0</v>
      </c>
      <c r="AA163" s="206">
        <f t="shared" si="73"/>
        <v>1607</v>
      </c>
      <c r="AB163">
        <f t="shared" si="68"/>
        <v>0</v>
      </c>
      <c r="AC163">
        <f t="shared" si="69"/>
        <v>0</v>
      </c>
      <c r="AD163">
        <f t="shared" si="70"/>
        <v>1607</v>
      </c>
      <c r="AE163">
        <f t="shared" si="74"/>
        <v>0</v>
      </c>
      <c r="AF163">
        <f t="shared" si="76"/>
        <v>0</v>
      </c>
      <c r="AG163">
        <f t="shared" si="75"/>
        <v>0</v>
      </c>
      <c r="AH163">
        <f t="shared" si="53"/>
        <v>0</v>
      </c>
      <c r="AK163" s="205">
        <v>37221</v>
      </c>
      <c r="AL163" t="s">
        <v>506</v>
      </c>
      <c r="AQ163">
        <v>5000000041</v>
      </c>
      <c r="AR163">
        <v>23</v>
      </c>
      <c r="AS163">
        <v>0</v>
      </c>
    </row>
    <row r="164" spans="2:45" x14ac:dyDescent="0.25">
      <c r="B164" s="283">
        <v>6000000027</v>
      </c>
      <c r="C164" s="284" t="s">
        <v>778</v>
      </c>
      <c r="D164" s="282">
        <v>46055</v>
      </c>
      <c r="E164" s="285">
        <v>35</v>
      </c>
      <c r="F164" s="285">
        <v>0</v>
      </c>
      <c r="G164" s="285" t="s">
        <v>273</v>
      </c>
      <c r="H164" s="203">
        <f t="shared" si="54"/>
        <v>1607</v>
      </c>
      <c r="I164" s="6">
        <f t="shared" si="55"/>
        <v>0</v>
      </c>
      <c r="J164" s="200">
        <f>'Synthèse Horaires'!$C$5</f>
        <v>46023</v>
      </c>
      <c r="K164" s="6" t="str">
        <f t="shared" si="56"/>
        <v>oui</v>
      </c>
      <c r="L164" s="6" t="str">
        <f t="shared" si="57"/>
        <v>non</v>
      </c>
      <c r="M164" s="204">
        <f t="shared" si="58"/>
        <v>1607</v>
      </c>
      <c r="N164" s="204">
        <f t="shared" si="59"/>
        <v>0</v>
      </c>
      <c r="O164" s="204" t="str">
        <f t="shared" si="60"/>
        <v>non</v>
      </c>
      <c r="P164" s="6" t="b">
        <f t="shared" si="61"/>
        <v>0</v>
      </c>
      <c r="Q164" s="6">
        <f t="shared" si="71"/>
        <v>0</v>
      </c>
      <c r="R164" s="6">
        <f t="shared" si="72"/>
        <v>0</v>
      </c>
      <c r="T164" s="205" t="s">
        <v>473</v>
      </c>
      <c r="U164">
        <f t="shared" ca="1" si="62"/>
        <v>126</v>
      </c>
      <c r="V164">
        <f t="shared" ca="1" si="63"/>
        <v>0</v>
      </c>
      <c r="W164" t="b">
        <f t="shared" si="64"/>
        <v>0</v>
      </c>
      <c r="X164" s="6" t="str">
        <f t="shared" si="65"/>
        <v>non</v>
      </c>
      <c r="Y164">
        <f t="shared" si="66"/>
        <v>1607</v>
      </c>
      <c r="Z164" t="b">
        <f t="shared" si="67"/>
        <v>0</v>
      </c>
      <c r="AA164" s="206">
        <f t="shared" si="73"/>
        <v>1747</v>
      </c>
      <c r="AB164">
        <f t="shared" si="68"/>
        <v>0</v>
      </c>
      <c r="AC164">
        <f t="shared" si="69"/>
        <v>0</v>
      </c>
      <c r="AD164">
        <f t="shared" si="70"/>
        <v>1607</v>
      </c>
      <c r="AE164">
        <f t="shared" si="74"/>
        <v>20</v>
      </c>
      <c r="AF164">
        <f t="shared" si="76"/>
        <v>140</v>
      </c>
      <c r="AG164">
        <f t="shared" si="75"/>
        <v>20</v>
      </c>
      <c r="AH164">
        <f t="shared" si="53"/>
        <v>0</v>
      </c>
      <c r="AK164" s="205">
        <v>37223</v>
      </c>
      <c r="AL164" t="s">
        <v>508</v>
      </c>
      <c r="AQ164">
        <v>700000040</v>
      </c>
      <c r="AR164">
        <v>23</v>
      </c>
      <c r="AS164">
        <v>0</v>
      </c>
    </row>
    <row r="165" spans="2:45" x14ac:dyDescent="0.25">
      <c r="B165" s="17">
        <v>300000034</v>
      </c>
      <c r="C165" s="3" t="s">
        <v>560</v>
      </c>
      <c r="D165" s="200">
        <v>44413</v>
      </c>
      <c r="E165">
        <v>35</v>
      </c>
      <c r="G165" t="s">
        <v>273</v>
      </c>
      <c r="H165" s="203">
        <f t="shared" si="54"/>
        <v>1607</v>
      </c>
      <c r="I165" s="6">
        <f t="shared" si="55"/>
        <v>0</v>
      </c>
      <c r="J165" s="200">
        <f>'Synthèse Horaires'!$C$5</f>
        <v>46023</v>
      </c>
      <c r="K165" s="6" t="str">
        <f t="shared" si="56"/>
        <v>oui</v>
      </c>
      <c r="L165" s="6" t="str">
        <f t="shared" si="57"/>
        <v>non</v>
      </c>
      <c r="M165" s="204">
        <f t="shared" si="58"/>
        <v>1607</v>
      </c>
      <c r="N165" s="204">
        <f t="shared" si="59"/>
        <v>0</v>
      </c>
      <c r="O165" s="204" t="str">
        <f t="shared" si="60"/>
        <v>non</v>
      </c>
      <c r="P165" s="6" t="b">
        <f t="shared" si="61"/>
        <v>0</v>
      </c>
      <c r="Q165" s="6">
        <f t="shared" si="71"/>
        <v>0</v>
      </c>
      <c r="R165" s="6">
        <f t="shared" si="72"/>
        <v>0</v>
      </c>
      <c r="T165" s="205" t="s">
        <v>188</v>
      </c>
      <c r="U165">
        <f t="shared" ca="1" si="62"/>
        <v>1768</v>
      </c>
      <c r="V165">
        <f t="shared" ca="1" si="63"/>
        <v>0</v>
      </c>
      <c r="W165" t="b">
        <f t="shared" si="64"/>
        <v>0</v>
      </c>
      <c r="X165" s="6" t="str">
        <f t="shared" si="65"/>
        <v>non</v>
      </c>
      <c r="Y165">
        <f t="shared" si="66"/>
        <v>1607</v>
      </c>
      <c r="Z165" t="b">
        <f t="shared" si="67"/>
        <v>0</v>
      </c>
      <c r="AA165" s="206">
        <f t="shared" si="73"/>
        <v>1607</v>
      </c>
      <c r="AB165">
        <f t="shared" si="68"/>
        <v>0</v>
      </c>
      <c r="AC165">
        <f t="shared" si="69"/>
        <v>0</v>
      </c>
      <c r="AD165">
        <f t="shared" si="70"/>
        <v>1607</v>
      </c>
      <c r="AE165">
        <f t="shared" si="74"/>
        <v>0</v>
      </c>
      <c r="AF165">
        <f t="shared" si="76"/>
        <v>0</v>
      </c>
      <c r="AG165">
        <f t="shared" si="75"/>
        <v>0</v>
      </c>
      <c r="AH165">
        <f t="shared" si="53"/>
        <v>0</v>
      </c>
      <c r="AK165" s="205">
        <v>30763</v>
      </c>
      <c r="AL165" t="s">
        <v>506</v>
      </c>
      <c r="AQ165">
        <v>400000026</v>
      </c>
      <c r="AR165">
        <v>23</v>
      </c>
      <c r="AS165">
        <v>0</v>
      </c>
    </row>
    <row r="166" spans="2:45" x14ac:dyDescent="0.25">
      <c r="B166" s="17">
        <v>1200000035</v>
      </c>
      <c r="C166" s="3" t="s">
        <v>609</v>
      </c>
      <c r="D166" s="200">
        <v>44627</v>
      </c>
      <c r="F166">
        <v>218</v>
      </c>
      <c r="G166" t="s">
        <v>102</v>
      </c>
      <c r="H166" s="203">
        <f t="shared" si="54"/>
        <v>0</v>
      </c>
      <c r="I166" s="6">
        <f t="shared" si="55"/>
        <v>436</v>
      </c>
      <c r="J166" s="200">
        <f>'Synthèse Horaires'!$C$5</f>
        <v>46023</v>
      </c>
      <c r="K166" s="6" t="str">
        <f t="shared" si="56"/>
        <v>oui</v>
      </c>
      <c r="L166" s="6" t="str">
        <f t="shared" si="57"/>
        <v>non</v>
      </c>
      <c r="M166" s="204" t="str">
        <f t="shared" si="58"/>
        <v>non</v>
      </c>
      <c r="N166" s="204" t="b">
        <f t="shared" si="59"/>
        <v>0</v>
      </c>
      <c r="O166" s="204">
        <f t="shared" si="60"/>
        <v>218</v>
      </c>
      <c r="P166" s="6">
        <f t="shared" si="61"/>
        <v>0</v>
      </c>
      <c r="Q166" s="6">
        <f t="shared" si="71"/>
        <v>436</v>
      </c>
      <c r="R166" s="6">
        <f t="shared" si="72"/>
        <v>0</v>
      </c>
      <c r="T166" s="205" t="s">
        <v>195</v>
      </c>
      <c r="U166">
        <f t="shared" ca="1" si="62"/>
        <v>1554</v>
      </c>
      <c r="V166" t="b">
        <f t="shared" si="63"/>
        <v>0</v>
      </c>
      <c r="W166">
        <f t="shared" ca="1" si="64"/>
        <v>0</v>
      </c>
      <c r="X166" s="6" t="str">
        <f t="shared" si="65"/>
        <v>non</v>
      </c>
      <c r="Y166" t="b">
        <f t="shared" si="66"/>
        <v>0</v>
      </c>
      <c r="Z166">
        <f t="shared" si="67"/>
        <v>218</v>
      </c>
      <c r="AA166" s="206">
        <f t="shared" si="73"/>
        <v>206</v>
      </c>
      <c r="AB166">
        <f t="shared" si="68"/>
        <v>0</v>
      </c>
      <c r="AC166">
        <f t="shared" si="69"/>
        <v>0</v>
      </c>
      <c r="AD166">
        <f t="shared" si="70"/>
        <v>0</v>
      </c>
      <c r="AE166">
        <f t="shared" si="74"/>
        <v>-12</v>
      </c>
      <c r="AF166">
        <f t="shared" si="76"/>
        <v>0</v>
      </c>
      <c r="AG166">
        <f t="shared" si="75"/>
        <v>-12</v>
      </c>
      <c r="AH166">
        <f t="shared" si="53"/>
        <v>-12</v>
      </c>
      <c r="AK166" s="205">
        <v>29574</v>
      </c>
      <c r="AL166" t="s">
        <v>495</v>
      </c>
      <c r="AQ166">
        <v>1200000054</v>
      </c>
      <c r="AR166">
        <v>22</v>
      </c>
      <c r="AS166">
        <v>0</v>
      </c>
    </row>
    <row r="167" spans="2:45" x14ac:dyDescent="0.25">
      <c r="B167" s="283">
        <v>1300000038</v>
      </c>
      <c r="C167" s="284" t="s">
        <v>807</v>
      </c>
      <c r="D167" s="282">
        <v>46168</v>
      </c>
      <c r="E167" s="285">
        <v>35</v>
      </c>
      <c r="F167" s="285">
        <v>0</v>
      </c>
      <c r="G167" s="285" t="s">
        <v>273</v>
      </c>
      <c r="H167" s="203">
        <f t="shared" si="54"/>
        <v>1607</v>
      </c>
      <c r="I167" s="6">
        <f t="shared" si="55"/>
        <v>0</v>
      </c>
      <c r="J167" s="200">
        <f>'Synthèse Horaires'!$C$5</f>
        <v>46023</v>
      </c>
      <c r="K167" s="6" t="str">
        <f t="shared" si="56"/>
        <v>oui</v>
      </c>
      <c r="L167" s="6" t="str">
        <f t="shared" si="57"/>
        <v>non</v>
      </c>
      <c r="M167" s="204">
        <f t="shared" si="58"/>
        <v>1607</v>
      </c>
      <c r="N167" s="204">
        <f t="shared" si="59"/>
        <v>0</v>
      </c>
      <c r="O167" s="204" t="str">
        <f t="shared" si="60"/>
        <v>non</v>
      </c>
      <c r="P167" s="6" t="b">
        <f t="shared" si="61"/>
        <v>0</v>
      </c>
      <c r="Q167" s="6">
        <f t="shared" si="71"/>
        <v>0</v>
      </c>
      <c r="R167" s="6">
        <f t="shared" si="72"/>
        <v>0</v>
      </c>
      <c r="T167" s="205" t="s">
        <v>191</v>
      </c>
      <c r="U167">
        <f t="shared" ca="1" si="62"/>
        <v>13</v>
      </c>
      <c r="V167">
        <f t="shared" ca="1" si="63"/>
        <v>0</v>
      </c>
      <c r="W167" t="b">
        <f t="shared" si="64"/>
        <v>0</v>
      </c>
      <c r="X167" s="6" t="str">
        <f t="shared" si="65"/>
        <v>non</v>
      </c>
      <c r="Y167">
        <f t="shared" si="66"/>
        <v>1607</v>
      </c>
      <c r="Z167" t="b">
        <f t="shared" si="67"/>
        <v>0</v>
      </c>
      <c r="AA167" s="206">
        <f t="shared" si="73"/>
        <v>1810</v>
      </c>
      <c r="AB167">
        <f t="shared" si="68"/>
        <v>0</v>
      </c>
      <c r="AC167">
        <f t="shared" si="69"/>
        <v>0</v>
      </c>
      <c r="AD167">
        <f t="shared" si="70"/>
        <v>1607</v>
      </c>
      <c r="AE167">
        <f t="shared" si="74"/>
        <v>29</v>
      </c>
      <c r="AF167">
        <f t="shared" si="76"/>
        <v>203</v>
      </c>
      <c r="AG167">
        <f t="shared" si="75"/>
        <v>29</v>
      </c>
      <c r="AH167">
        <f t="shared" si="53"/>
        <v>0</v>
      </c>
      <c r="AK167" s="205">
        <v>36776</v>
      </c>
      <c r="AL167" t="s">
        <v>506</v>
      </c>
      <c r="AQ167">
        <v>100000046</v>
      </c>
      <c r="AR167">
        <v>18</v>
      </c>
      <c r="AS167">
        <v>0</v>
      </c>
    </row>
    <row r="168" spans="2:45" x14ac:dyDescent="0.25">
      <c r="B168" s="283">
        <v>1100000049</v>
      </c>
      <c r="C168" s="284" t="s">
        <v>808</v>
      </c>
      <c r="D168" s="282">
        <v>46181</v>
      </c>
      <c r="E168" s="285">
        <v>33</v>
      </c>
      <c r="F168" s="285">
        <v>0</v>
      </c>
      <c r="G168" s="285" t="s">
        <v>273</v>
      </c>
      <c r="H168" s="203">
        <f t="shared" si="54"/>
        <v>1516</v>
      </c>
      <c r="I168" s="6">
        <f t="shared" si="55"/>
        <v>0</v>
      </c>
      <c r="J168" s="200">
        <f>'Synthèse Horaires'!$C$5</f>
        <v>46023</v>
      </c>
      <c r="K168" s="6" t="str">
        <f t="shared" si="56"/>
        <v>non</v>
      </c>
      <c r="L168" s="6" t="str">
        <f t="shared" si="57"/>
        <v>oui</v>
      </c>
      <c r="M168" s="204" t="str">
        <f t="shared" si="58"/>
        <v>non</v>
      </c>
      <c r="N168" s="204">
        <f t="shared" si="59"/>
        <v>1486.9260273972602</v>
      </c>
      <c r="O168" s="204" t="str">
        <f t="shared" si="60"/>
        <v>non</v>
      </c>
      <c r="P168" s="6" t="b">
        <f t="shared" si="61"/>
        <v>0</v>
      </c>
      <c r="Q168" s="6">
        <f t="shared" si="71"/>
        <v>0</v>
      </c>
      <c r="R168" s="6">
        <f t="shared" si="72"/>
        <v>0</v>
      </c>
      <c r="S168" t="s">
        <v>342</v>
      </c>
      <c r="T168" s="205" t="s">
        <v>190</v>
      </c>
      <c r="U168">
        <f t="shared" ca="1" si="62"/>
        <v>0</v>
      </c>
      <c r="V168">
        <f t="shared" ca="1" si="63"/>
        <v>0</v>
      </c>
      <c r="W168" t="b">
        <f t="shared" si="64"/>
        <v>0</v>
      </c>
      <c r="X168" s="6">
        <f t="shared" si="65"/>
        <v>33</v>
      </c>
      <c r="Y168">
        <f t="shared" si="66"/>
        <v>1486.9260273972602</v>
      </c>
      <c r="Z168" t="b">
        <f t="shared" si="67"/>
        <v>0</v>
      </c>
      <c r="AA168" s="206">
        <f t="shared" si="73"/>
        <v>1648.7616438356163</v>
      </c>
      <c r="AB168">
        <f t="shared" si="68"/>
        <v>0</v>
      </c>
      <c r="AC168">
        <f t="shared" si="69"/>
        <v>29.424657534246574</v>
      </c>
      <c r="AD168">
        <f t="shared" si="70"/>
        <v>1648.7616438356163</v>
      </c>
      <c r="AE168">
        <f t="shared" si="74"/>
        <v>0</v>
      </c>
      <c r="AF168">
        <f t="shared" si="76"/>
        <v>0</v>
      </c>
      <c r="AG168">
        <f t="shared" si="75"/>
        <v>0</v>
      </c>
      <c r="AH168">
        <f t="shared" si="53"/>
        <v>0</v>
      </c>
      <c r="AJ168" s="9"/>
      <c r="AK168" s="205">
        <v>34927</v>
      </c>
      <c r="AL168" t="s">
        <v>508</v>
      </c>
      <c r="AQ168">
        <v>1200000057</v>
      </c>
      <c r="AR168">
        <v>11</v>
      </c>
      <c r="AS168">
        <v>9</v>
      </c>
    </row>
    <row r="169" spans="2:45" x14ac:dyDescent="0.25">
      <c r="B169" s="283">
        <v>900000024</v>
      </c>
      <c r="C169" s="284" t="s">
        <v>809</v>
      </c>
      <c r="D169" s="282">
        <v>46178</v>
      </c>
      <c r="E169" s="285">
        <v>35</v>
      </c>
      <c r="F169" s="285">
        <v>0</v>
      </c>
      <c r="G169" s="285" t="s">
        <v>273</v>
      </c>
      <c r="H169" s="203">
        <f t="shared" si="54"/>
        <v>1607</v>
      </c>
      <c r="I169" s="6">
        <f t="shared" si="55"/>
        <v>0</v>
      </c>
      <c r="J169" s="200">
        <f>'Synthèse Horaires'!$C$5</f>
        <v>46023</v>
      </c>
      <c r="K169" s="6" t="str">
        <f t="shared" si="56"/>
        <v>non</v>
      </c>
      <c r="L169" s="6" t="str">
        <f t="shared" si="57"/>
        <v>oui</v>
      </c>
      <c r="M169" s="204" t="str">
        <f t="shared" si="58"/>
        <v>non</v>
      </c>
      <c r="N169" s="204">
        <f t="shared" si="59"/>
        <v>1589.3890410958904</v>
      </c>
      <c r="O169" s="204" t="str">
        <f t="shared" si="60"/>
        <v>non</v>
      </c>
      <c r="P169" s="6" t="b">
        <f t="shared" si="61"/>
        <v>0</v>
      </c>
      <c r="Q169" s="6">
        <f t="shared" si="71"/>
        <v>0</v>
      </c>
      <c r="R169" s="6">
        <f t="shared" si="72"/>
        <v>0</v>
      </c>
      <c r="T169" s="205" t="s">
        <v>198</v>
      </c>
      <c r="U169">
        <f t="shared" ca="1" si="62"/>
        <v>3</v>
      </c>
      <c r="V169">
        <f t="shared" ca="1" si="63"/>
        <v>0</v>
      </c>
      <c r="W169" t="b">
        <f t="shared" si="64"/>
        <v>0</v>
      </c>
      <c r="X169" s="6" t="str">
        <f t="shared" si="65"/>
        <v>non</v>
      </c>
      <c r="Y169">
        <f t="shared" si="66"/>
        <v>1589.3890410958904</v>
      </c>
      <c r="Z169" t="b">
        <f t="shared" si="67"/>
        <v>0</v>
      </c>
      <c r="AA169" s="206">
        <f t="shared" si="73"/>
        <v>1762.4712328767123</v>
      </c>
      <c r="AB169">
        <f t="shared" si="68"/>
        <v>0</v>
      </c>
      <c r="AC169">
        <f t="shared" si="69"/>
        <v>29.671232876712331</v>
      </c>
      <c r="AD169">
        <f t="shared" si="70"/>
        <v>1762.4712328767123</v>
      </c>
      <c r="AE169">
        <f t="shared" si="74"/>
        <v>0</v>
      </c>
      <c r="AF169">
        <f t="shared" si="76"/>
        <v>0</v>
      </c>
      <c r="AG169">
        <f t="shared" si="75"/>
        <v>0</v>
      </c>
      <c r="AH169">
        <f t="shared" si="53"/>
        <v>0</v>
      </c>
      <c r="AK169" s="205">
        <v>37813</v>
      </c>
      <c r="AL169" t="s">
        <v>506</v>
      </c>
      <c r="AQ169">
        <v>2100000028</v>
      </c>
      <c r="AR169">
        <v>19</v>
      </c>
      <c r="AS169">
        <v>0</v>
      </c>
    </row>
    <row r="170" spans="2:45" x14ac:dyDescent="0.25">
      <c r="B170" s="17">
        <v>2099999999</v>
      </c>
      <c r="C170" s="255" t="s">
        <v>646</v>
      </c>
      <c r="D170" s="256">
        <f ca="1">TODAY()</f>
        <v>46181</v>
      </c>
      <c r="E170">
        <v>35</v>
      </c>
      <c r="G170" t="s">
        <v>273</v>
      </c>
      <c r="H170" s="203">
        <f t="shared" si="54"/>
        <v>1607</v>
      </c>
      <c r="I170" s="6">
        <f t="shared" si="55"/>
        <v>0</v>
      </c>
      <c r="J170" s="200">
        <f>'Synthèse Horaires'!$C$5</f>
        <v>46023</v>
      </c>
      <c r="K170" s="6" t="str">
        <f t="shared" ca="1" si="56"/>
        <v>non</v>
      </c>
      <c r="L170" s="6" t="str">
        <f t="shared" ca="1" si="57"/>
        <v>oui</v>
      </c>
      <c r="M170" s="204" t="str">
        <f t="shared" ca="1" si="58"/>
        <v>non</v>
      </c>
      <c r="N170" s="204">
        <f t="shared" ca="1" si="59"/>
        <v>1576.1808219178083</v>
      </c>
      <c r="O170" s="204" t="str">
        <f t="shared" si="60"/>
        <v>non</v>
      </c>
      <c r="P170" s="6" t="b">
        <f t="shared" si="61"/>
        <v>0</v>
      </c>
      <c r="Q170" s="6">
        <f t="shared" si="71"/>
        <v>0</v>
      </c>
      <c r="R170" s="6">
        <f t="shared" si="72"/>
        <v>0</v>
      </c>
      <c r="T170" s="205" t="s">
        <v>606</v>
      </c>
      <c r="U170">
        <f t="shared" ca="1" si="62"/>
        <v>0</v>
      </c>
      <c r="V170">
        <f t="shared" ca="1" si="63"/>
        <v>0</v>
      </c>
      <c r="W170" t="b">
        <f t="shared" si="64"/>
        <v>0</v>
      </c>
      <c r="X170" s="6" t="str">
        <f t="shared" si="65"/>
        <v>non</v>
      </c>
      <c r="Y170">
        <f t="shared" ca="1" si="66"/>
        <v>1576.1808219178083</v>
      </c>
      <c r="Z170" t="b">
        <f t="shared" si="67"/>
        <v>0</v>
      </c>
      <c r="AA170" s="206">
        <f t="shared" ca="1" si="73"/>
        <v>1747.8246575342466</v>
      </c>
      <c r="AB170">
        <f t="shared" ca="1" si="68"/>
        <v>0</v>
      </c>
      <c r="AC170">
        <f t="shared" ca="1" si="69"/>
        <v>29.424657534246577</v>
      </c>
      <c r="AD170">
        <f t="shared" ca="1" si="70"/>
        <v>1747.8246575342466</v>
      </c>
      <c r="AE170">
        <f t="shared" si="74"/>
        <v>0</v>
      </c>
      <c r="AF170">
        <f t="shared" ca="1" si="76"/>
        <v>0</v>
      </c>
      <c r="AG170">
        <f t="shared" si="75"/>
        <v>0</v>
      </c>
      <c r="AH170">
        <f t="shared" si="53"/>
        <v>0</v>
      </c>
      <c r="AK170" s="205">
        <v>0</v>
      </c>
      <c r="AL170">
        <v>0</v>
      </c>
      <c r="AQ170">
        <v>100000047</v>
      </c>
      <c r="AR170">
        <v>18</v>
      </c>
      <c r="AS170">
        <v>0</v>
      </c>
    </row>
    <row r="171" spans="2:45" x14ac:dyDescent="0.25">
      <c r="B171" s="17">
        <v>700000031</v>
      </c>
      <c r="C171" s="3" t="s">
        <v>561</v>
      </c>
      <c r="D171" s="200">
        <v>44410</v>
      </c>
      <c r="E171">
        <v>35</v>
      </c>
      <c r="G171" t="s">
        <v>273</v>
      </c>
      <c r="H171" s="203">
        <f t="shared" si="54"/>
        <v>1607</v>
      </c>
      <c r="I171" s="6">
        <f t="shared" si="55"/>
        <v>0</v>
      </c>
      <c r="J171" s="200">
        <f>'Synthèse Horaires'!$C$5</f>
        <v>46023</v>
      </c>
      <c r="K171" s="6" t="str">
        <f t="shared" si="56"/>
        <v>oui</v>
      </c>
      <c r="L171" s="6" t="str">
        <f t="shared" si="57"/>
        <v>non</v>
      </c>
      <c r="M171" s="204">
        <f t="shared" si="58"/>
        <v>1607</v>
      </c>
      <c r="N171" s="204">
        <f t="shared" si="59"/>
        <v>0</v>
      </c>
      <c r="O171" s="204" t="str">
        <f t="shared" si="60"/>
        <v>non</v>
      </c>
      <c r="P171" s="6" t="b">
        <f t="shared" si="61"/>
        <v>0</v>
      </c>
      <c r="Q171" s="6">
        <f t="shared" si="71"/>
        <v>0</v>
      </c>
      <c r="R171" s="6">
        <f t="shared" si="72"/>
        <v>0</v>
      </c>
      <c r="T171" s="205" t="s">
        <v>199</v>
      </c>
      <c r="U171">
        <f t="shared" ca="1" si="62"/>
        <v>1771</v>
      </c>
      <c r="V171">
        <f t="shared" ca="1" si="63"/>
        <v>0</v>
      </c>
      <c r="W171" t="b">
        <f t="shared" si="64"/>
        <v>0</v>
      </c>
      <c r="X171" s="6" t="str">
        <f t="shared" si="65"/>
        <v>non</v>
      </c>
      <c r="Y171">
        <f t="shared" si="66"/>
        <v>1607</v>
      </c>
      <c r="Z171" t="b">
        <f t="shared" si="67"/>
        <v>0</v>
      </c>
      <c r="AA171" s="206">
        <f t="shared" si="73"/>
        <v>1607</v>
      </c>
      <c r="AB171">
        <f t="shared" si="68"/>
        <v>0</v>
      </c>
      <c r="AC171">
        <f t="shared" si="69"/>
        <v>0</v>
      </c>
      <c r="AD171">
        <f t="shared" si="70"/>
        <v>1607</v>
      </c>
      <c r="AE171">
        <f t="shared" si="74"/>
        <v>0</v>
      </c>
      <c r="AF171">
        <f t="shared" si="76"/>
        <v>0</v>
      </c>
      <c r="AG171">
        <f t="shared" si="75"/>
        <v>0</v>
      </c>
      <c r="AH171">
        <f t="shared" si="53"/>
        <v>0</v>
      </c>
      <c r="AK171" s="205">
        <v>34621</v>
      </c>
      <c r="AL171" t="s">
        <v>492</v>
      </c>
      <c r="AQ171">
        <v>100000045</v>
      </c>
      <c r="AR171">
        <v>5</v>
      </c>
      <c r="AS171">
        <v>14</v>
      </c>
    </row>
    <row r="172" spans="2:45" x14ac:dyDescent="0.25">
      <c r="B172" s="17">
        <v>8999999999</v>
      </c>
      <c r="C172" s="255" t="s">
        <v>647</v>
      </c>
      <c r="D172" s="256">
        <f ca="1">TODAY()</f>
        <v>46181</v>
      </c>
      <c r="E172">
        <v>35</v>
      </c>
      <c r="G172" t="s">
        <v>273</v>
      </c>
      <c r="H172" s="203">
        <f t="shared" si="54"/>
        <v>1607</v>
      </c>
      <c r="I172" s="6">
        <f t="shared" si="55"/>
        <v>0</v>
      </c>
      <c r="J172" s="200">
        <f>'Synthèse Horaires'!$C$5</f>
        <v>46023</v>
      </c>
      <c r="K172" s="6" t="str">
        <f t="shared" ca="1" si="56"/>
        <v>non</v>
      </c>
      <c r="L172" s="6" t="str">
        <f t="shared" ca="1" si="57"/>
        <v>oui</v>
      </c>
      <c r="M172" s="204" t="str">
        <f t="shared" ca="1" si="58"/>
        <v>non</v>
      </c>
      <c r="N172" s="204">
        <f t="shared" ca="1" si="59"/>
        <v>1576.1808219178083</v>
      </c>
      <c r="O172" s="204" t="str">
        <f t="shared" si="60"/>
        <v>non</v>
      </c>
      <c r="P172" s="6" t="b">
        <f t="shared" si="61"/>
        <v>0</v>
      </c>
      <c r="Q172" s="6">
        <f t="shared" si="71"/>
        <v>0</v>
      </c>
      <c r="R172" s="6">
        <f t="shared" si="72"/>
        <v>0</v>
      </c>
      <c r="T172" s="205" t="s">
        <v>608</v>
      </c>
      <c r="U172">
        <f t="shared" ca="1" si="62"/>
        <v>0</v>
      </c>
      <c r="V172">
        <f t="shared" ca="1" si="63"/>
        <v>0</v>
      </c>
      <c r="W172" t="b">
        <f t="shared" si="64"/>
        <v>0</v>
      </c>
      <c r="X172" s="6" t="str">
        <f t="shared" si="65"/>
        <v>non</v>
      </c>
      <c r="Y172">
        <f t="shared" ca="1" si="66"/>
        <v>1576.1808219178083</v>
      </c>
      <c r="Z172" t="b">
        <f t="shared" si="67"/>
        <v>0</v>
      </c>
      <c r="AA172" s="206">
        <f t="shared" ca="1" si="73"/>
        <v>1747.8246575342466</v>
      </c>
      <c r="AB172">
        <f t="shared" ca="1" si="68"/>
        <v>0</v>
      </c>
      <c r="AC172">
        <f t="shared" ca="1" si="69"/>
        <v>29.424657534246577</v>
      </c>
      <c r="AD172">
        <f t="shared" ca="1" si="70"/>
        <v>1747.8246575342466</v>
      </c>
      <c r="AE172">
        <f t="shared" si="74"/>
        <v>0</v>
      </c>
      <c r="AF172">
        <f t="shared" ca="1" si="76"/>
        <v>0</v>
      </c>
      <c r="AG172">
        <f t="shared" si="75"/>
        <v>0</v>
      </c>
      <c r="AH172">
        <f t="shared" si="53"/>
        <v>0</v>
      </c>
      <c r="AK172" s="205">
        <v>0</v>
      </c>
      <c r="AL172">
        <v>0</v>
      </c>
      <c r="AQ172">
        <v>1200000058</v>
      </c>
      <c r="AR172">
        <v>17</v>
      </c>
      <c r="AS172">
        <v>0</v>
      </c>
    </row>
    <row r="173" spans="2:45" x14ac:dyDescent="0.25">
      <c r="B173" s="17">
        <v>1900000002</v>
      </c>
      <c r="C173" s="3" t="s">
        <v>55</v>
      </c>
      <c r="D173" s="200">
        <v>40665</v>
      </c>
      <c r="E173">
        <v>39</v>
      </c>
      <c r="G173" t="s">
        <v>273</v>
      </c>
      <c r="H173" s="203">
        <f t="shared" si="54"/>
        <v>1787</v>
      </c>
      <c r="I173" s="6">
        <f t="shared" si="55"/>
        <v>0</v>
      </c>
      <c r="J173" s="200">
        <f>'Synthèse Horaires'!$C$5</f>
        <v>46023</v>
      </c>
      <c r="K173" s="6" t="str">
        <f t="shared" si="56"/>
        <v>oui</v>
      </c>
      <c r="L173" s="6" t="str">
        <f t="shared" si="57"/>
        <v>non</v>
      </c>
      <c r="M173" s="204">
        <f t="shared" si="58"/>
        <v>1787</v>
      </c>
      <c r="N173" s="204">
        <f t="shared" si="59"/>
        <v>0</v>
      </c>
      <c r="O173" s="204" t="str">
        <f t="shared" si="60"/>
        <v>non</v>
      </c>
      <c r="P173" s="6" t="b">
        <f t="shared" si="61"/>
        <v>0</v>
      </c>
      <c r="Q173" s="6">
        <f t="shared" si="71"/>
        <v>0</v>
      </c>
      <c r="R173" s="6">
        <f t="shared" si="72"/>
        <v>0</v>
      </c>
      <c r="T173" s="205" t="s">
        <v>189</v>
      </c>
      <c r="U173">
        <f t="shared" ca="1" si="62"/>
        <v>5516</v>
      </c>
      <c r="V173">
        <f t="shared" ca="1" si="63"/>
        <v>1</v>
      </c>
      <c r="W173" t="b">
        <f t="shared" si="64"/>
        <v>0</v>
      </c>
      <c r="X173" s="6" t="str">
        <f t="shared" si="65"/>
        <v>non</v>
      </c>
      <c r="Y173">
        <f t="shared" si="66"/>
        <v>1787</v>
      </c>
      <c r="Z173" t="b">
        <f t="shared" si="67"/>
        <v>0</v>
      </c>
      <c r="AA173" s="206">
        <f t="shared" si="73"/>
        <v>1568.6</v>
      </c>
      <c r="AB173">
        <f t="shared" si="68"/>
        <v>0</v>
      </c>
      <c r="AC173">
        <f t="shared" si="69"/>
        <v>0</v>
      </c>
      <c r="AD173">
        <f t="shared" si="70"/>
        <v>1787</v>
      </c>
      <c r="AE173">
        <f t="shared" si="74"/>
        <v>-28</v>
      </c>
      <c r="AF173">
        <f t="shared" si="76"/>
        <v>-218.4</v>
      </c>
      <c r="AG173">
        <f t="shared" si="75"/>
        <v>-28</v>
      </c>
      <c r="AH173">
        <f t="shared" si="53"/>
        <v>0</v>
      </c>
      <c r="AK173" s="205">
        <v>30263</v>
      </c>
      <c r="AL173" t="s">
        <v>506</v>
      </c>
      <c r="AQ173">
        <v>200000045</v>
      </c>
      <c r="AR173">
        <v>15</v>
      </c>
      <c r="AS173">
        <v>0</v>
      </c>
    </row>
    <row r="174" spans="2:45" x14ac:dyDescent="0.25">
      <c r="B174" s="17">
        <v>9999999999</v>
      </c>
      <c r="C174" s="255" t="s">
        <v>648</v>
      </c>
      <c r="D174" s="256">
        <f ca="1">TODAY()</f>
        <v>46181</v>
      </c>
      <c r="E174">
        <v>35</v>
      </c>
      <c r="G174" t="s">
        <v>273</v>
      </c>
      <c r="H174" s="203">
        <f t="shared" si="54"/>
        <v>1607</v>
      </c>
      <c r="I174" s="6">
        <f t="shared" si="55"/>
        <v>0</v>
      </c>
      <c r="J174" s="200">
        <f>'Synthèse Horaires'!$C$5</f>
        <v>46023</v>
      </c>
      <c r="K174" s="6" t="str">
        <f t="shared" ca="1" si="56"/>
        <v>non</v>
      </c>
      <c r="L174" s="6" t="str">
        <f t="shared" ca="1" si="57"/>
        <v>oui</v>
      </c>
      <c r="M174" s="204" t="str">
        <f t="shared" ca="1" si="58"/>
        <v>non</v>
      </c>
      <c r="N174" s="204">
        <f t="shared" ca="1" si="59"/>
        <v>1576.1808219178083</v>
      </c>
      <c r="O174" s="204" t="str">
        <f t="shared" si="60"/>
        <v>non</v>
      </c>
      <c r="P174" s="6" t="b">
        <f t="shared" si="61"/>
        <v>0</v>
      </c>
      <c r="Q174" s="6">
        <f t="shared" si="71"/>
        <v>0</v>
      </c>
      <c r="R174" s="6">
        <f t="shared" si="72"/>
        <v>0</v>
      </c>
      <c r="T174" s="205" t="s">
        <v>184</v>
      </c>
      <c r="U174">
        <f t="shared" ca="1" si="62"/>
        <v>0</v>
      </c>
      <c r="V174">
        <f t="shared" ca="1" si="63"/>
        <v>0</v>
      </c>
      <c r="W174" t="b">
        <f t="shared" si="64"/>
        <v>0</v>
      </c>
      <c r="X174" s="6" t="str">
        <f t="shared" si="65"/>
        <v>non</v>
      </c>
      <c r="Y174">
        <f t="shared" ca="1" si="66"/>
        <v>1576.1808219178083</v>
      </c>
      <c r="Z174" t="b">
        <f t="shared" si="67"/>
        <v>0</v>
      </c>
      <c r="AA174" s="206">
        <f t="shared" ca="1" si="73"/>
        <v>1747.8246575342466</v>
      </c>
      <c r="AB174">
        <f t="shared" ca="1" si="68"/>
        <v>0</v>
      </c>
      <c r="AC174">
        <f t="shared" ca="1" si="69"/>
        <v>29.424657534246577</v>
      </c>
      <c r="AD174">
        <f t="shared" ca="1" si="70"/>
        <v>1747.8246575342466</v>
      </c>
      <c r="AE174">
        <f t="shared" si="74"/>
        <v>0</v>
      </c>
      <c r="AF174">
        <f t="shared" ca="1" si="76"/>
        <v>0</v>
      </c>
      <c r="AG174">
        <f t="shared" si="75"/>
        <v>0</v>
      </c>
      <c r="AH174">
        <f t="shared" si="53"/>
        <v>0</v>
      </c>
      <c r="AK174" s="205">
        <v>0</v>
      </c>
      <c r="AL174">
        <v>0</v>
      </c>
      <c r="AQ174">
        <v>3000000071</v>
      </c>
      <c r="AR174">
        <v>12</v>
      </c>
      <c r="AS174">
        <v>0</v>
      </c>
    </row>
    <row r="175" spans="2:45" x14ac:dyDescent="0.25">
      <c r="B175" s="17">
        <v>7000000046</v>
      </c>
      <c r="C175" s="3" t="s">
        <v>750</v>
      </c>
      <c r="D175" s="200">
        <v>45831</v>
      </c>
      <c r="E175">
        <v>35</v>
      </c>
      <c r="F175">
        <v>0</v>
      </c>
      <c r="G175" t="s">
        <v>273</v>
      </c>
      <c r="H175" s="203">
        <f t="shared" si="54"/>
        <v>1607</v>
      </c>
      <c r="I175" s="6">
        <f t="shared" si="55"/>
        <v>0</v>
      </c>
      <c r="J175" s="200">
        <f>'Synthèse Horaires'!$C$5</f>
        <v>46023</v>
      </c>
      <c r="K175" s="6" t="str">
        <f t="shared" si="56"/>
        <v>oui</v>
      </c>
      <c r="L175" s="6" t="str">
        <f t="shared" si="57"/>
        <v>non</v>
      </c>
      <c r="M175" s="204">
        <f t="shared" si="58"/>
        <v>1607</v>
      </c>
      <c r="N175" s="204">
        <f t="shared" si="59"/>
        <v>0</v>
      </c>
      <c r="O175" s="204" t="str">
        <f t="shared" si="60"/>
        <v>non</v>
      </c>
      <c r="P175" s="6" t="b">
        <f t="shared" si="61"/>
        <v>0</v>
      </c>
      <c r="Q175" s="6">
        <f t="shared" si="71"/>
        <v>0</v>
      </c>
      <c r="R175" s="6">
        <f t="shared" si="72"/>
        <v>0</v>
      </c>
      <c r="T175" s="205" t="s">
        <v>474</v>
      </c>
      <c r="U175">
        <f t="shared" ca="1" si="62"/>
        <v>350</v>
      </c>
      <c r="V175">
        <f t="shared" ca="1" si="63"/>
        <v>0</v>
      </c>
      <c r="W175" t="b">
        <f t="shared" si="64"/>
        <v>0</v>
      </c>
      <c r="X175" s="6" t="str">
        <f t="shared" si="65"/>
        <v>non</v>
      </c>
      <c r="Y175">
        <f t="shared" si="66"/>
        <v>1607</v>
      </c>
      <c r="Z175" t="b">
        <f t="shared" si="67"/>
        <v>0</v>
      </c>
      <c r="AA175" s="206">
        <f t="shared" si="73"/>
        <v>1621</v>
      </c>
      <c r="AB175">
        <f t="shared" si="68"/>
        <v>0</v>
      </c>
      <c r="AC175">
        <f t="shared" si="69"/>
        <v>0</v>
      </c>
      <c r="AD175">
        <f t="shared" si="70"/>
        <v>1607</v>
      </c>
      <c r="AE175">
        <f t="shared" si="74"/>
        <v>2</v>
      </c>
      <c r="AF175">
        <f t="shared" si="76"/>
        <v>14</v>
      </c>
      <c r="AG175">
        <f t="shared" si="75"/>
        <v>2</v>
      </c>
      <c r="AH175">
        <f t="shared" si="53"/>
        <v>0</v>
      </c>
      <c r="AK175" s="205">
        <v>30406</v>
      </c>
      <c r="AL175" t="s">
        <v>509</v>
      </c>
      <c r="AQ175">
        <v>9000000023</v>
      </c>
      <c r="AR175">
        <v>0</v>
      </c>
      <c r="AS175">
        <v>0</v>
      </c>
    </row>
    <row r="176" spans="2:45" x14ac:dyDescent="0.25">
      <c r="B176" s="283">
        <v>7000000052</v>
      </c>
      <c r="C176" s="284" t="s">
        <v>793</v>
      </c>
      <c r="D176" s="282">
        <v>46135</v>
      </c>
      <c r="E176" s="285">
        <v>35</v>
      </c>
      <c r="F176" s="285">
        <v>0</v>
      </c>
      <c r="G176" s="285" t="s">
        <v>273</v>
      </c>
      <c r="H176" s="203">
        <f t="shared" si="54"/>
        <v>1607</v>
      </c>
      <c r="I176" s="6">
        <f t="shared" si="55"/>
        <v>0</v>
      </c>
      <c r="J176" s="200">
        <f>'Synthèse Horaires'!$C$5</f>
        <v>46023</v>
      </c>
      <c r="K176" s="6" t="str">
        <f t="shared" si="56"/>
        <v>oui</v>
      </c>
      <c r="L176" s="6" t="str">
        <f t="shared" si="57"/>
        <v>non</v>
      </c>
      <c r="M176" s="204">
        <f t="shared" si="58"/>
        <v>1607</v>
      </c>
      <c r="N176" s="204">
        <f t="shared" si="59"/>
        <v>0</v>
      </c>
      <c r="O176" s="204" t="str">
        <f t="shared" si="60"/>
        <v>non</v>
      </c>
      <c r="P176" s="6" t="b">
        <f t="shared" si="61"/>
        <v>0</v>
      </c>
      <c r="Q176" s="6">
        <f t="shared" si="71"/>
        <v>0</v>
      </c>
      <c r="R176" s="6">
        <f t="shared" si="72"/>
        <v>0</v>
      </c>
      <c r="T176" s="205" t="s">
        <v>474</v>
      </c>
      <c r="U176">
        <f t="shared" ca="1" si="62"/>
        <v>46</v>
      </c>
      <c r="V176">
        <f t="shared" ca="1" si="63"/>
        <v>0</v>
      </c>
      <c r="W176" t="b">
        <f t="shared" si="64"/>
        <v>0</v>
      </c>
      <c r="X176" s="6" t="str">
        <f t="shared" si="65"/>
        <v>non</v>
      </c>
      <c r="Y176">
        <f t="shared" si="66"/>
        <v>1607</v>
      </c>
      <c r="Z176" t="b">
        <f t="shared" si="67"/>
        <v>0</v>
      </c>
      <c r="AA176" s="206">
        <f t="shared" si="73"/>
        <v>1789</v>
      </c>
      <c r="AB176">
        <f t="shared" si="68"/>
        <v>0</v>
      </c>
      <c r="AC176">
        <f t="shared" si="69"/>
        <v>0</v>
      </c>
      <c r="AD176">
        <f t="shared" si="70"/>
        <v>1607</v>
      </c>
      <c r="AE176">
        <f t="shared" si="74"/>
        <v>26</v>
      </c>
      <c r="AF176">
        <f t="shared" si="76"/>
        <v>182</v>
      </c>
      <c r="AG176">
        <f t="shared" si="75"/>
        <v>26</v>
      </c>
      <c r="AH176">
        <f t="shared" si="53"/>
        <v>0</v>
      </c>
      <c r="AK176" s="205">
        <v>26939</v>
      </c>
      <c r="AL176" t="s">
        <v>509</v>
      </c>
      <c r="AQ176">
        <v>1000000068</v>
      </c>
      <c r="AR176">
        <v>12</v>
      </c>
      <c r="AS176">
        <v>0</v>
      </c>
    </row>
    <row r="177" spans="2:45" x14ac:dyDescent="0.25">
      <c r="B177" s="283">
        <v>9000000024</v>
      </c>
      <c r="C177" s="284" t="s">
        <v>794</v>
      </c>
      <c r="D177" s="282">
        <v>46134</v>
      </c>
      <c r="E177" s="285">
        <v>35</v>
      </c>
      <c r="F177" s="285">
        <v>0</v>
      </c>
      <c r="G177" s="285" t="s">
        <v>273</v>
      </c>
      <c r="H177" s="203">
        <f t="shared" si="54"/>
        <v>1607</v>
      </c>
      <c r="I177" s="6">
        <f t="shared" si="55"/>
        <v>0</v>
      </c>
      <c r="J177" s="200">
        <f>'Synthèse Horaires'!$C$5</f>
        <v>46023</v>
      </c>
      <c r="K177" s="6" t="str">
        <f t="shared" si="56"/>
        <v>oui</v>
      </c>
      <c r="L177" s="6" t="str">
        <f t="shared" si="57"/>
        <v>non</v>
      </c>
      <c r="M177" s="204">
        <f t="shared" si="58"/>
        <v>1607</v>
      </c>
      <c r="N177" s="204">
        <f t="shared" si="59"/>
        <v>0</v>
      </c>
      <c r="O177" s="204" t="str">
        <f t="shared" si="60"/>
        <v>non</v>
      </c>
      <c r="P177" s="6" t="b">
        <f t="shared" si="61"/>
        <v>0</v>
      </c>
      <c r="Q177" s="6">
        <f t="shared" si="71"/>
        <v>0</v>
      </c>
      <c r="R177" s="6">
        <f t="shared" si="72"/>
        <v>0</v>
      </c>
      <c r="T177" s="205" t="s">
        <v>184</v>
      </c>
      <c r="U177">
        <f t="shared" ca="1" si="62"/>
        <v>47</v>
      </c>
      <c r="V177">
        <f t="shared" ca="1" si="63"/>
        <v>0</v>
      </c>
      <c r="W177" t="b">
        <f t="shared" si="64"/>
        <v>0</v>
      </c>
      <c r="X177" s="6" t="str">
        <f t="shared" si="65"/>
        <v>non</v>
      </c>
      <c r="Y177">
        <f t="shared" si="66"/>
        <v>1607</v>
      </c>
      <c r="Z177" t="b">
        <f t="shared" si="67"/>
        <v>0</v>
      </c>
      <c r="AA177" s="206">
        <f t="shared" si="73"/>
        <v>1789</v>
      </c>
      <c r="AB177">
        <f t="shared" si="68"/>
        <v>0</v>
      </c>
      <c r="AC177">
        <f t="shared" si="69"/>
        <v>0</v>
      </c>
      <c r="AD177">
        <f t="shared" si="70"/>
        <v>1607</v>
      </c>
      <c r="AE177">
        <f t="shared" si="74"/>
        <v>26</v>
      </c>
      <c r="AF177">
        <f t="shared" si="76"/>
        <v>182</v>
      </c>
      <c r="AG177">
        <f t="shared" si="75"/>
        <v>26</v>
      </c>
      <c r="AH177">
        <f t="shared" si="53"/>
        <v>0</v>
      </c>
      <c r="AK177" s="205">
        <v>37103</v>
      </c>
      <c r="AL177" t="s">
        <v>509</v>
      </c>
      <c r="AQ177">
        <v>1200000059</v>
      </c>
      <c r="AR177">
        <v>12</v>
      </c>
      <c r="AS177">
        <v>0</v>
      </c>
    </row>
    <row r="178" spans="2:45" x14ac:dyDescent="0.25">
      <c r="B178" s="290">
        <v>9000000022</v>
      </c>
      <c r="C178" s="291" t="s">
        <v>771</v>
      </c>
      <c r="D178" s="200">
        <v>46013</v>
      </c>
      <c r="E178">
        <v>35</v>
      </c>
      <c r="F178">
        <v>0</v>
      </c>
      <c r="G178" t="s">
        <v>273</v>
      </c>
      <c r="H178" s="203">
        <f t="shared" si="54"/>
        <v>1607</v>
      </c>
      <c r="I178" s="6">
        <f t="shared" si="55"/>
        <v>0</v>
      </c>
      <c r="J178" s="200">
        <f>'Synthèse Horaires'!$C$5</f>
        <v>46023</v>
      </c>
      <c r="K178" s="6" t="str">
        <f t="shared" si="56"/>
        <v>oui</v>
      </c>
      <c r="L178" s="6" t="str">
        <f t="shared" si="57"/>
        <v>non</v>
      </c>
      <c r="M178" s="204">
        <f t="shared" si="58"/>
        <v>1607</v>
      </c>
      <c r="N178" s="204">
        <f t="shared" si="59"/>
        <v>0</v>
      </c>
      <c r="O178" s="204" t="str">
        <f t="shared" si="60"/>
        <v>non</v>
      </c>
      <c r="P178" s="6" t="b">
        <f t="shared" si="61"/>
        <v>0</v>
      </c>
      <c r="Q178" s="6">
        <f t="shared" si="71"/>
        <v>0</v>
      </c>
      <c r="R178" s="6">
        <f t="shared" si="72"/>
        <v>0</v>
      </c>
      <c r="T178" s="205" t="s">
        <v>184</v>
      </c>
      <c r="U178">
        <f t="shared" ca="1" si="62"/>
        <v>168</v>
      </c>
      <c r="V178">
        <f t="shared" ca="1" si="63"/>
        <v>0</v>
      </c>
      <c r="W178" t="b">
        <f t="shared" si="64"/>
        <v>0</v>
      </c>
      <c r="X178" s="6" t="str">
        <f t="shared" si="65"/>
        <v>non</v>
      </c>
      <c r="Y178">
        <f t="shared" si="66"/>
        <v>1607</v>
      </c>
      <c r="Z178" t="b">
        <f t="shared" si="67"/>
        <v>0</v>
      </c>
      <c r="AA178" s="206">
        <f t="shared" si="73"/>
        <v>1607</v>
      </c>
      <c r="AB178">
        <f t="shared" si="68"/>
        <v>0</v>
      </c>
      <c r="AC178">
        <f t="shared" si="69"/>
        <v>0</v>
      </c>
      <c r="AD178">
        <f t="shared" si="70"/>
        <v>1607</v>
      </c>
      <c r="AE178">
        <f t="shared" si="74"/>
        <v>0</v>
      </c>
      <c r="AF178">
        <f t="shared" si="76"/>
        <v>0</v>
      </c>
      <c r="AG178">
        <f t="shared" si="75"/>
        <v>0</v>
      </c>
      <c r="AH178">
        <f t="shared" si="53"/>
        <v>0</v>
      </c>
      <c r="AK178" s="205">
        <v>28042</v>
      </c>
      <c r="AL178" t="s">
        <v>509</v>
      </c>
      <c r="AQ178">
        <v>2000000035</v>
      </c>
      <c r="AR178">
        <v>13</v>
      </c>
      <c r="AS178">
        <v>0</v>
      </c>
    </row>
    <row r="179" spans="2:45" x14ac:dyDescent="0.25">
      <c r="B179" s="17">
        <v>1200000059</v>
      </c>
      <c r="C179" s="3" t="s">
        <v>772</v>
      </c>
      <c r="D179" s="200">
        <v>46024</v>
      </c>
      <c r="E179">
        <v>35</v>
      </c>
      <c r="F179">
        <v>0</v>
      </c>
      <c r="G179" t="s">
        <v>273</v>
      </c>
      <c r="H179" s="203">
        <f t="shared" si="54"/>
        <v>1607</v>
      </c>
      <c r="I179" s="6">
        <f t="shared" si="55"/>
        <v>0</v>
      </c>
      <c r="J179" s="200">
        <f>'Synthèse Horaires'!$C$5</f>
        <v>46023</v>
      </c>
      <c r="K179" s="6" t="str">
        <f t="shared" si="56"/>
        <v>oui</v>
      </c>
      <c r="L179" s="6" t="str">
        <f t="shared" si="57"/>
        <v>non</v>
      </c>
      <c r="M179" s="204">
        <f t="shared" si="58"/>
        <v>1607</v>
      </c>
      <c r="N179" s="204">
        <f t="shared" si="59"/>
        <v>0</v>
      </c>
      <c r="O179" s="204" t="str">
        <f t="shared" si="60"/>
        <v>non</v>
      </c>
      <c r="P179" s="6" t="b">
        <f t="shared" si="61"/>
        <v>0</v>
      </c>
      <c r="Q179" s="6">
        <f t="shared" si="71"/>
        <v>0</v>
      </c>
      <c r="R179" s="6">
        <f t="shared" si="72"/>
        <v>0</v>
      </c>
      <c r="T179" s="205" t="s">
        <v>195</v>
      </c>
      <c r="U179">
        <f t="shared" ca="1" si="62"/>
        <v>157</v>
      </c>
      <c r="V179">
        <f t="shared" ca="1" si="63"/>
        <v>0</v>
      </c>
      <c r="W179" t="b">
        <f t="shared" si="64"/>
        <v>0</v>
      </c>
      <c r="X179" s="6" t="str">
        <f t="shared" si="65"/>
        <v>non</v>
      </c>
      <c r="Y179">
        <f t="shared" si="66"/>
        <v>1607</v>
      </c>
      <c r="Z179" t="b">
        <f t="shared" si="67"/>
        <v>0</v>
      </c>
      <c r="AA179" s="206">
        <f t="shared" si="73"/>
        <v>1733</v>
      </c>
      <c r="AB179">
        <f t="shared" si="68"/>
        <v>0</v>
      </c>
      <c r="AC179">
        <f t="shared" si="69"/>
        <v>0</v>
      </c>
      <c r="AD179">
        <f t="shared" si="70"/>
        <v>1607</v>
      </c>
      <c r="AE179">
        <f t="shared" si="74"/>
        <v>18</v>
      </c>
      <c r="AF179">
        <f t="shared" si="76"/>
        <v>126</v>
      </c>
      <c r="AG179">
        <f t="shared" si="75"/>
        <v>18</v>
      </c>
      <c r="AH179">
        <f t="shared" si="53"/>
        <v>0</v>
      </c>
      <c r="AK179" s="205">
        <v>32320</v>
      </c>
      <c r="AL179" t="s">
        <v>509</v>
      </c>
      <c r="AQ179">
        <v>1200000061</v>
      </c>
      <c r="AR179">
        <v>8</v>
      </c>
      <c r="AS179">
        <v>0</v>
      </c>
    </row>
    <row r="180" spans="2:45" x14ac:dyDescent="0.25">
      <c r="B180" s="290">
        <v>3000000069</v>
      </c>
      <c r="C180" s="291" t="s">
        <v>773</v>
      </c>
      <c r="D180" s="200">
        <v>46013</v>
      </c>
      <c r="E180">
        <v>35</v>
      </c>
      <c r="F180">
        <v>0</v>
      </c>
      <c r="G180" t="s">
        <v>273</v>
      </c>
      <c r="H180" s="203">
        <f t="shared" si="54"/>
        <v>1607</v>
      </c>
      <c r="I180" s="6">
        <f t="shared" si="55"/>
        <v>0</v>
      </c>
      <c r="J180" s="200">
        <f>'Synthèse Horaires'!$C$5</f>
        <v>46023</v>
      </c>
      <c r="K180" s="6" t="str">
        <f t="shared" si="56"/>
        <v>oui</v>
      </c>
      <c r="L180" s="6" t="str">
        <f t="shared" si="57"/>
        <v>non</v>
      </c>
      <c r="M180" s="204">
        <f t="shared" si="58"/>
        <v>1607</v>
      </c>
      <c r="N180" s="204">
        <f t="shared" si="59"/>
        <v>0</v>
      </c>
      <c r="O180" s="204" t="str">
        <f t="shared" si="60"/>
        <v>non</v>
      </c>
      <c r="P180" s="6" t="b">
        <f t="shared" si="61"/>
        <v>0</v>
      </c>
      <c r="Q180" s="6">
        <f t="shared" si="71"/>
        <v>0</v>
      </c>
      <c r="R180" s="6">
        <f t="shared" si="72"/>
        <v>0</v>
      </c>
      <c r="T180" s="205" t="s">
        <v>465</v>
      </c>
      <c r="U180">
        <f t="shared" ca="1" si="62"/>
        <v>168</v>
      </c>
      <c r="V180">
        <f t="shared" ca="1" si="63"/>
        <v>0</v>
      </c>
      <c r="W180" t="b">
        <f t="shared" si="64"/>
        <v>0</v>
      </c>
      <c r="X180" s="6" t="str">
        <f t="shared" si="65"/>
        <v>non</v>
      </c>
      <c r="Y180">
        <f t="shared" si="66"/>
        <v>1607</v>
      </c>
      <c r="Z180" t="b">
        <f t="shared" si="67"/>
        <v>0</v>
      </c>
      <c r="AA180" s="206">
        <f t="shared" si="73"/>
        <v>1607</v>
      </c>
      <c r="AB180">
        <f t="shared" si="68"/>
        <v>0</v>
      </c>
      <c r="AC180">
        <f t="shared" si="69"/>
        <v>0</v>
      </c>
      <c r="AD180">
        <f t="shared" si="70"/>
        <v>1607</v>
      </c>
      <c r="AE180">
        <f t="shared" si="74"/>
        <v>0</v>
      </c>
      <c r="AF180">
        <f t="shared" si="76"/>
        <v>0</v>
      </c>
      <c r="AG180">
        <f t="shared" si="75"/>
        <v>0</v>
      </c>
      <c r="AH180">
        <f t="shared" si="53"/>
        <v>0</v>
      </c>
      <c r="AK180" s="205">
        <v>37702</v>
      </c>
      <c r="AL180" t="s">
        <v>532</v>
      </c>
      <c r="AQ180">
        <v>6000000027</v>
      </c>
      <c r="AR180">
        <v>10</v>
      </c>
      <c r="AS180">
        <v>0</v>
      </c>
    </row>
    <row r="181" spans="2:45" x14ac:dyDescent="0.25">
      <c r="B181" s="290">
        <v>3000000070</v>
      </c>
      <c r="C181" s="291" t="s">
        <v>774</v>
      </c>
      <c r="D181" s="200">
        <v>46020</v>
      </c>
      <c r="E181">
        <v>35</v>
      </c>
      <c r="F181">
        <v>0</v>
      </c>
      <c r="G181" t="s">
        <v>273</v>
      </c>
      <c r="H181" s="203">
        <f t="shared" si="54"/>
        <v>1607</v>
      </c>
      <c r="I181" s="6">
        <f t="shared" si="55"/>
        <v>0</v>
      </c>
      <c r="J181" s="200">
        <f>'Synthèse Horaires'!$C$5</f>
        <v>46023</v>
      </c>
      <c r="K181" s="6" t="str">
        <f t="shared" si="56"/>
        <v>oui</v>
      </c>
      <c r="L181" s="6" t="str">
        <f t="shared" si="57"/>
        <v>non</v>
      </c>
      <c r="M181" s="204">
        <f t="shared" si="58"/>
        <v>1607</v>
      </c>
      <c r="N181" s="204">
        <f t="shared" si="59"/>
        <v>0</v>
      </c>
      <c r="O181" s="204" t="str">
        <f t="shared" si="60"/>
        <v>non</v>
      </c>
      <c r="P181" s="6" t="b">
        <f t="shared" si="61"/>
        <v>0</v>
      </c>
      <c r="Q181" s="6">
        <f t="shared" si="71"/>
        <v>0</v>
      </c>
      <c r="R181" s="6">
        <f t="shared" si="72"/>
        <v>0</v>
      </c>
      <c r="T181" s="205" t="s">
        <v>465</v>
      </c>
      <c r="U181">
        <f t="shared" ca="1" si="62"/>
        <v>161</v>
      </c>
      <c r="V181">
        <f t="shared" ca="1" si="63"/>
        <v>0</v>
      </c>
      <c r="W181" t="b">
        <f t="shared" si="64"/>
        <v>0</v>
      </c>
      <c r="X181" s="6" t="str">
        <f t="shared" si="65"/>
        <v>non</v>
      </c>
      <c r="Y181">
        <f t="shared" si="66"/>
        <v>1607</v>
      </c>
      <c r="Z181" t="b">
        <f t="shared" si="67"/>
        <v>0</v>
      </c>
      <c r="AA181" s="206">
        <f t="shared" si="73"/>
        <v>1607</v>
      </c>
      <c r="AB181">
        <f t="shared" si="68"/>
        <v>0</v>
      </c>
      <c r="AC181">
        <f t="shared" si="69"/>
        <v>0</v>
      </c>
      <c r="AD181">
        <f t="shared" si="70"/>
        <v>1607</v>
      </c>
      <c r="AE181">
        <f t="shared" si="74"/>
        <v>0</v>
      </c>
      <c r="AF181">
        <f t="shared" si="76"/>
        <v>0</v>
      </c>
      <c r="AG181">
        <f t="shared" si="75"/>
        <v>0</v>
      </c>
      <c r="AH181">
        <f t="shared" ref="AH181:AH244" si="77">IF(G181="Cadre",AG181,0)</f>
        <v>0</v>
      </c>
      <c r="AK181" s="205">
        <v>38169</v>
      </c>
      <c r="AL181" t="s">
        <v>509</v>
      </c>
      <c r="AQ181">
        <v>5000000034</v>
      </c>
      <c r="AR181">
        <v>0</v>
      </c>
      <c r="AS181">
        <v>0</v>
      </c>
    </row>
    <row r="182" spans="2:45" x14ac:dyDescent="0.25">
      <c r="B182" s="17">
        <v>400000014</v>
      </c>
      <c r="C182" s="3" t="s">
        <v>343</v>
      </c>
      <c r="D182" s="200">
        <v>42702</v>
      </c>
      <c r="E182">
        <v>35</v>
      </c>
      <c r="G182" t="s">
        <v>273</v>
      </c>
      <c r="H182" s="203">
        <f t="shared" si="54"/>
        <v>1607</v>
      </c>
      <c r="I182" s="6">
        <f t="shared" si="55"/>
        <v>0</v>
      </c>
      <c r="J182" s="200">
        <f>'Synthèse Horaires'!$C$5</f>
        <v>46023</v>
      </c>
      <c r="K182" s="6" t="str">
        <f t="shared" si="56"/>
        <v>oui</v>
      </c>
      <c r="L182" s="6" t="str">
        <f t="shared" si="57"/>
        <v>non</v>
      </c>
      <c r="M182" s="204">
        <f t="shared" si="58"/>
        <v>1607</v>
      </c>
      <c r="N182" s="204">
        <f t="shared" si="59"/>
        <v>0</v>
      </c>
      <c r="O182" s="204" t="str">
        <f t="shared" si="60"/>
        <v>non</v>
      </c>
      <c r="P182" s="6" t="b">
        <f t="shared" si="61"/>
        <v>0</v>
      </c>
      <c r="Q182" s="6">
        <f t="shared" si="71"/>
        <v>0</v>
      </c>
      <c r="R182" s="6">
        <f t="shared" si="72"/>
        <v>0</v>
      </c>
      <c r="T182" s="205" t="s">
        <v>189</v>
      </c>
      <c r="U182">
        <f t="shared" ca="1" si="62"/>
        <v>3479</v>
      </c>
      <c r="V182">
        <f t="shared" ca="1" si="63"/>
        <v>0</v>
      </c>
      <c r="W182" t="b">
        <f t="shared" si="64"/>
        <v>0</v>
      </c>
      <c r="X182" s="6" t="str">
        <f t="shared" si="65"/>
        <v>non</v>
      </c>
      <c r="Y182">
        <f t="shared" si="66"/>
        <v>1607</v>
      </c>
      <c r="Z182" t="b">
        <f t="shared" si="67"/>
        <v>0</v>
      </c>
      <c r="AA182" s="206">
        <f t="shared" si="73"/>
        <v>1607</v>
      </c>
      <c r="AB182">
        <f t="shared" si="68"/>
        <v>0</v>
      </c>
      <c r="AC182">
        <f t="shared" si="69"/>
        <v>0</v>
      </c>
      <c r="AD182">
        <f t="shared" si="70"/>
        <v>1607</v>
      </c>
      <c r="AE182">
        <f t="shared" si="74"/>
        <v>0</v>
      </c>
      <c r="AF182">
        <f t="shared" si="76"/>
        <v>0</v>
      </c>
      <c r="AG182">
        <f t="shared" si="75"/>
        <v>0</v>
      </c>
      <c r="AH182">
        <f t="shared" si="77"/>
        <v>0</v>
      </c>
      <c r="AK182" s="205">
        <v>34804</v>
      </c>
      <c r="AL182" t="s">
        <v>657</v>
      </c>
      <c r="AQ182">
        <v>7000000049</v>
      </c>
      <c r="AR182">
        <v>7</v>
      </c>
      <c r="AS182">
        <v>0</v>
      </c>
    </row>
    <row r="183" spans="2:45" x14ac:dyDescent="0.25">
      <c r="B183" s="17">
        <v>500000019</v>
      </c>
      <c r="C183" s="3" t="s">
        <v>476</v>
      </c>
      <c r="D183" s="200">
        <v>43739</v>
      </c>
      <c r="E183">
        <v>35</v>
      </c>
      <c r="G183" t="s">
        <v>273</v>
      </c>
      <c r="H183" s="203">
        <f t="shared" si="54"/>
        <v>1607</v>
      </c>
      <c r="I183" s="6">
        <f t="shared" si="55"/>
        <v>0</v>
      </c>
      <c r="J183" s="200">
        <f>'Synthèse Horaires'!$C$5</f>
        <v>46023</v>
      </c>
      <c r="K183" s="6" t="str">
        <f t="shared" si="56"/>
        <v>oui</v>
      </c>
      <c r="L183" s="6" t="str">
        <f t="shared" si="57"/>
        <v>non</v>
      </c>
      <c r="M183" s="204">
        <f t="shared" si="58"/>
        <v>1607</v>
      </c>
      <c r="N183" s="204">
        <f t="shared" si="59"/>
        <v>0</v>
      </c>
      <c r="O183" s="204" t="str">
        <f t="shared" si="60"/>
        <v>non</v>
      </c>
      <c r="P183" s="6" t="b">
        <f t="shared" si="61"/>
        <v>0</v>
      </c>
      <c r="Q183" s="6">
        <f t="shared" si="71"/>
        <v>0</v>
      </c>
      <c r="R183" s="6">
        <f t="shared" si="72"/>
        <v>0</v>
      </c>
      <c r="T183" s="205" t="s">
        <v>197</v>
      </c>
      <c r="U183">
        <f t="shared" ca="1" si="62"/>
        <v>2442</v>
      </c>
      <c r="V183">
        <f t="shared" ca="1" si="63"/>
        <v>0</v>
      </c>
      <c r="W183" t="b">
        <f t="shared" si="64"/>
        <v>0</v>
      </c>
      <c r="X183" s="6" t="str">
        <f t="shared" si="65"/>
        <v>non</v>
      </c>
      <c r="Y183">
        <f t="shared" si="66"/>
        <v>1607</v>
      </c>
      <c r="Z183" t="b">
        <f t="shared" si="67"/>
        <v>0</v>
      </c>
      <c r="AA183" s="206">
        <f t="shared" si="73"/>
        <v>1607</v>
      </c>
      <c r="AB183">
        <f t="shared" si="68"/>
        <v>0</v>
      </c>
      <c r="AC183">
        <f t="shared" si="69"/>
        <v>0</v>
      </c>
      <c r="AD183">
        <f t="shared" si="70"/>
        <v>1607</v>
      </c>
      <c r="AE183">
        <f t="shared" si="74"/>
        <v>0</v>
      </c>
      <c r="AF183">
        <f t="shared" si="76"/>
        <v>0</v>
      </c>
      <c r="AG183">
        <f t="shared" si="75"/>
        <v>0</v>
      </c>
      <c r="AH183">
        <f t="shared" si="77"/>
        <v>0</v>
      </c>
      <c r="AK183" s="205">
        <v>33439</v>
      </c>
      <c r="AL183" t="s">
        <v>621</v>
      </c>
      <c r="AQ183">
        <v>600000040</v>
      </c>
      <c r="AR183">
        <v>7</v>
      </c>
      <c r="AS183">
        <v>0</v>
      </c>
    </row>
    <row r="184" spans="2:45" x14ac:dyDescent="0.25">
      <c r="B184" s="296">
        <v>8000000029</v>
      </c>
      <c r="C184" s="297" t="s">
        <v>792</v>
      </c>
      <c r="D184" s="282">
        <v>46119</v>
      </c>
      <c r="E184" s="285">
        <v>25</v>
      </c>
      <c r="F184" s="285">
        <v>0</v>
      </c>
      <c r="G184" s="285" t="s">
        <v>273</v>
      </c>
      <c r="H184" s="203">
        <f t="shared" si="54"/>
        <v>1147</v>
      </c>
      <c r="I184" s="6">
        <f t="shared" si="55"/>
        <v>0</v>
      </c>
      <c r="J184" s="200">
        <f>'Synthèse Horaires'!$C$5</f>
        <v>46023</v>
      </c>
      <c r="K184" s="6" t="str">
        <f t="shared" si="56"/>
        <v>oui</v>
      </c>
      <c r="L184" s="6" t="str">
        <f t="shared" si="57"/>
        <v>non</v>
      </c>
      <c r="M184" s="204">
        <f t="shared" si="58"/>
        <v>1147</v>
      </c>
      <c r="N184" s="204">
        <f t="shared" si="59"/>
        <v>0</v>
      </c>
      <c r="O184" s="204" t="str">
        <f t="shared" si="60"/>
        <v>non</v>
      </c>
      <c r="P184" s="6" t="b">
        <f t="shared" si="61"/>
        <v>0</v>
      </c>
      <c r="Q184" s="6">
        <f t="shared" si="71"/>
        <v>0</v>
      </c>
      <c r="R184" s="6">
        <f t="shared" si="72"/>
        <v>0</v>
      </c>
      <c r="S184" t="s">
        <v>341</v>
      </c>
      <c r="T184" s="205" t="s">
        <v>608</v>
      </c>
      <c r="U184">
        <f t="shared" ca="1" si="62"/>
        <v>62</v>
      </c>
      <c r="V184">
        <f t="shared" ca="1" si="63"/>
        <v>0</v>
      </c>
      <c r="W184" t="b">
        <f t="shared" si="64"/>
        <v>0</v>
      </c>
      <c r="X184" s="6">
        <f t="shared" si="65"/>
        <v>25</v>
      </c>
      <c r="Y184">
        <f t="shared" si="66"/>
        <v>1147</v>
      </c>
      <c r="Z184" t="b">
        <f t="shared" si="67"/>
        <v>0</v>
      </c>
      <c r="AA184" s="206">
        <f t="shared" si="73"/>
        <v>1297</v>
      </c>
      <c r="AB184">
        <f t="shared" si="68"/>
        <v>0</v>
      </c>
      <c r="AC184">
        <f t="shared" si="69"/>
        <v>0</v>
      </c>
      <c r="AD184">
        <f t="shared" si="70"/>
        <v>1147</v>
      </c>
      <c r="AE184">
        <f t="shared" si="74"/>
        <v>30</v>
      </c>
      <c r="AF184">
        <f t="shared" si="76"/>
        <v>150</v>
      </c>
      <c r="AG184">
        <f t="shared" si="75"/>
        <v>30</v>
      </c>
      <c r="AH184">
        <f t="shared" si="77"/>
        <v>0</v>
      </c>
      <c r="AK184" s="205">
        <v>38584</v>
      </c>
      <c r="AL184" t="s">
        <v>509</v>
      </c>
      <c r="AQ184">
        <v>7000000052</v>
      </c>
      <c r="AR184">
        <v>4</v>
      </c>
      <c r="AS184">
        <v>0</v>
      </c>
    </row>
    <row r="185" spans="2:45" x14ac:dyDescent="0.25">
      <c r="B185" s="17">
        <v>3000000071</v>
      </c>
      <c r="C185" s="3" t="s">
        <v>775</v>
      </c>
      <c r="D185" s="200">
        <v>46034</v>
      </c>
      <c r="E185">
        <v>35</v>
      </c>
      <c r="F185">
        <v>0</v>
      </c>
      <c r="G185" t="s">
        <v>273</v>
      </c>
      <c r="H185" s="203">
        <f t="shared" si="54"/>
        <v>1607</v>
      </c>
      <c r="I185" s="6">
        <f t="shared" si="55"/>
        <v>0</v>
      </c>
      <c r="J185" s="200">
        <f>'Synthèse Horaires'!$C$5</f>
        <v>46023</v>
      </c>
      <c r="K185" s="6" t="str">
        <f t="shared" si="56"/>
        <v>oui</v>
      </c>
      <c r="L185" s="6" t="str">
        <f t="shared" si="57"/>
        <v>non</v>
      </c>
      <c r="M185" s="204">
        <f t="shared" si="58"/>
        <v>1607</v>
      </c>
      <c r="N185" s="204">
        <f t="shared" si="59"/>
        <v>0</v>
      </c>
      <c r="O185" s="204" t="str">
        <f t="shared" si="60"/>
        <v>non</v>
      </c>
      <c r="P185" s="6" t="b">
        <f t="shared" si="61"/>
        <v>0</v>
      </c>
      <c r="Q185" s="6">
        <f t="shared" si="71"/>
        <v>0</v>
      </c>
      <c r="R185" s="6">
        <f t="shared" si="72"/>
        <v>0</v>
      </c>
      <c r="T185" s="205" t="s">
        <v>465</v>
      </c>
      <c r="U185">
        <f t="shared" ca="1" si="62"/>
        <v>147</v>
      </c>
      <c r="V185">
        <f t="shared" ca="1" si="63"/>
        <v>0</v>
      </c>
      <c r="W185" t="b">
        <f t="shared" si="64"/>
        <v>0</v>
      </c>
      <c r="X185" s="6" t="str">
        <f t="shared" si="65"/>
        <v>non</v>
      </c>
      <c r="Y185">
        <f t="shared" si="66"/>
        <v>1607</v>
      </c>
      <c r="Z185" t="b">
        <f t="shared" si="67"/>
        <v>0</v>
      </c>
      <c r="AA185" s="206">
        <f t="shared" si="73"/>
        <v>1733</v>
      </c>
      <c r="AB185">
        <f t="shared" si="68"/>
        <v>0</v>
      </c>
      <c r="AC185">
        <f t="shared" si="69"/>
        <v>0</v>
      </c>
      <c r="AD185">
        <f t="shared" si="70"/>
        <v>1607</v>
      </c>
      <c r="AE185">
        <f t="shared" si="74"/>
        <v>18</v>
      </c>
      <c r="AF185">
        <f t="shared" si="76"/>
        <v>126</v>
      </c>
      <c r="AG185">
        <f t="shared" si="75"/>
        <v>18</v>
      </c>
      <c r="AH185">
        <f t="shared" si="77"/>
        <v>0</v>
      </c>
      <c r="AK185" s="205">
        <v>38205</v>
      </c>
      <c r="AL185" t="s">
        <v>514</v>
      </c>
      <c r="AQ185">
        <v>9000000024</v>
      </c>
      <c r="AR185">
        <v>4</v>
      </c>
      <c r="AS185">
        <v>0</v>
      </c>
    </row>
    <row r="186" spans="2:45" x14ac:dyDescent="0.25">
      <c r="B186" s="17">
        <v>4999999999</v>
      </c>
      <c r="C186" s="255" t="s">
        <v>649</v>
      </c>
      <c r="D186" s="256">
        <f ca="1">TODAY()</f>
        <v>46181</v>
      </c>
      <c r="E186">
        <v>35</v>
      </c>
      <c r="G186" t="s">
        <v>273</v>
      </c>
      <c r="H186" s="203">
        <f t="shared" si="54"/>
        <v>1607</v>
      </c>
      <c r="I186" s="6">
        <f t="shared" si="55"/>
        <v>0</v>
      </c>
      <c r="J186" s="200">
        <f>'Synthèse Horaires'!$C$5</f>
        <v>46023</v>
      </c>
      <c r="K186" s="6" t="str">
        <f t="shared" ca="1" si="56"/>
        <v>non</v>
      </c>
      <c r="L186" s="6" t="str">
        <f t="shared" ca="1" si="57"/>
        <v>oui</v>
      </c>
      <c r="M186" s="204" t="str">
        <f t="shared" ca="1" si="58"/>
        <v>non</v>
      </c>
      <c r="N186" s="204">
        <f t="shared" ca="1" si="59"/>
        <v>1576.1808219178083</v>
      </c>
      <c r="O186" s="204" t="str">
        <f t="shared" si="60"/>
        <v>non</v>
      </c>
      <c r="P186" s="6" t="b">
        <f t="shared" si="61"/>
        <v>0</v>
      </c>
      <c r="Q186" s="6">
        <f t="shared" si="71"/>
        <v>0</v>
      </c>
      <c r="R186" s="6">
        <f t="shared" si="72"/>
        <v>0</v>
      </c>
      <c r="T186" s="205" t="s">
        <v>642</v>
      </c>
      <c r="U186">
        <f t="shared" ca="1" si="62"/>
        <v>0</v>
      </c>
      <c r="V186">
        <f t="shared" ca="1" si="63"/>
        <v>0</v>
      </c>
      <c r="W186" t="b">
        <f t="shared" si="64"/>
        <v>0</v>
      </c>
      <c r="X186" s="6" t="str">
        <f t="shared" si="65"/>
        <v>non</v>
      </c>
      <c r="Y186">
        <f t="shared" ca="1" si="66"/>
        <v>1576.1808219178083</v>
      </c>
      <c r="Z186" t="b">
        <f t="shared" si="67"/>
        <v>0</v>
      </c>
      <c r="AA186" s="206">
        <f t="shared" ca="1" si="73"/>
        <v>1747.8246575342466</v>
      </c>
      <c r="AB186">
        <f t="shared" ca="1" si="68"/>
        <v>0</v>
      </c>
      <c r="AC186">
        <f t="shared" ca="1" si="69"/>
        <v>29.424657534246577</v>
      </c>
      <c r="AD186">
        <f t="shared" ca="1" si="70"/>
        <v>1747.8246575342466</v>
      </c>
      <c r="AE186">
        <f t="shared" si="74"/>
        <v>0</v>
      </c>
      <c r="AF186">
        <f t="shared" ca="1" si="76"/>
        <v>0</v>
      </c>
      <c r="AG186">
        <f t="shared" si="75"/>
        <v>0</v>
      </c>
      <c r="AH186">
        <f t="shared" si="77"/>
        <v>0</v>
      </c>
      <c r="AK186" s="205">
        <v>0</v>
      </c>
      <c r="AL186">
        <v>0</v>
      </c>
      <c r="AQ186">
        <v>900000032</v>
      </c>
      <c r="AR186">
        <v>3</v>
      </c>
      <c r="AS186">
        <v>0</v>
      </c>
    </row>
    <row r="187" spans="2:45" x14ac:dyDescent="0.25">
      <c r="B187" s="296">
        <v>9000000023</v>
      </c>
      <c r="C187" s="297" t="s">
        <v>776</v>
      </c>
      <c r="D187" s="200">
        <v>46037</v>
      </c>
      <c r="E187">
        <v>35</v>
      </c>
      <c r="F187">
        <v>0</v>
      </c>
      <c r="G187" t="s">
        <v>273</v>
      </c>
      <c r="H187" s="203">
        <f t="shared" si="54"/>
        <v>1607</v>
      </c>
      <c r="I187" s="6">
        <f t="shared" si="55"/>
        <v>0</v>
      </c>
      <c r="J187" s="200">
        <f>'Synthèse Horaires'!$C$5</f>
        <v>46023</v>
      </c>
      <c r="K187" s="6" t="str">
        <f t="shared" si="56"/>
        <v>oui</v>
      </c>
      <c r="L187" s="6" t="str">
        <f t="shared" si="57"/>
        <v>non</v>
      </c>
      <c r="M187" s="204">
        <f t="shared" si="58"/>
        <v>1607</v>
      </c>
      <c r="N187" s="204">
        <f t="shared" si="59"/>
        <v>0</v>
      </c>
      <c r="O187" s="204" t="str">
        <f t="shared" si="60"/>
        <v>non</v>
      </c>
      <c r="P187" s="6" t="b">
        <f t="shared" si="61"/>
        <v>0</v>
      </c>
      <c r="Q187" s="6">
        <f t="shared" si="71"/>
        <v>0</v>
      </c>
      <c r="R187" s="6">
        <f t="shared" si="72"/>
        <v>0</v>
      </c>
      <c r="T187" s="205" t="s">
        <v>184</v>
      </c>
      <c r="U187">
        <f t="shared" ca="1" si="62"/>
        <v>144</v>
      </c>
      <c r="V187">
        <f t="shared" ca="1" si="63"/>
        <v>0</v>
      </c>
      <c r="W187" t="b">
        <f t="shared" si="64"/>
        <v>0</v>
      </c>
      <c r="X187" s="6" t="str">
        <f t="shared" si="65"/>
        <v>non</v>
      </c>
      <c r="Y187">
        <f t="shared" si="66"/>
        <v>1607</v>
      </c>
      <c r="Z187" t="b">
        <f t="shared" si="67"/>
        <v>0</v>
      </c>
      <c r="AA187" s="206">
        <f t="shared" si="73"/>
        <v>1817</v>
      </c>
      <c r="AB187">
        <f t="shared" si="68"/>
        <v>0</v>
      </c>
      <c r="AC187">
        <f t="shared" si="69"/>
        <v>0</v>
      </c>
      <c r="AD187">
        <f t="shared" si="70"/>
        <v>1607</v>
      </c>
      <c r="AE187">
        <f t="shared" si="74"/>
        <v>30</v>
      </c>
      <c r="AF187">
        <f t="shared" si="76"/>
        <v>210</v>
      </c>
      <c r="AG187">
        <f t="shared" si="75"/>
        <v>30</v>
      </c>
      <c r="AH187">
        <f t="shared" si="77"/>
        <v>0</v>
      </c>
      <c r="AK187" s="205">
        <v>37436</v>
      </c>
      <c r="AL187" t="s">
        <v>508</v>
      </c>
      <c r="AQ187">
        <v>8000000029</v>
      </c>
      <c r="AR187">
        <v>0</v>
      </c>
      <c r="AS187">
        <v>0</v>
      </c>
    </row>
    <row r="188" spans="2:45" x14ac:dyDescent="0.25">
      <c r="B188" s="17" t="s">
        <v>666</v>
      </c>
      <c r="C188" s="3" t="s">
        <v>477</v>
      </c>
      <c r="D188" s="200">
        <v>43739</v>
      </c>
      <c r="E188">
        <v>35</v>
      </c>
      <c r="G188" t="s">
        <v>273</v>
      </c>
      <c r="H188" s="203">
        <f t="shared" si="54"/>
        <v>1607</v>
      </c>
      <c r="I188" s="6">
        <f t="shared" si="55"/>
        <v>0</v>
      </c>
      <c r="J188" s="200">
        <f>'Synthèse Horaires'!$C$5</f>
        <v>46023</v>
      </c>
      <c r="K188" s="6" t="str">
        <f t="shared" si="56"/>
        <v>oui</v>
      </c>
      <c r="L188" s="6" t="str">
        <f t="shared" si="57"/>
        <v>non</v>
      </c>
      <c r="M188" s="204">
        <f t="shared" si="58"/>
        <v>1607</v>
      </c>
      <c r="N188" s="204">
        <f t="shared" si="59"/>
        <v>0</v>
      </c>
      <c r="O188" s="204" t="str">
        <f t="shared" si="60"/>
        <v>non</v>
      </c>
      <c r="P188" s="6" t="b">
        <f t="shared" si="61"/>
        <v>0</v>
      </c>
      <c r="Q188" s="6">
        <f t="shared" si="71"/>
        <v>0</v>
      </c>
      <c r="R188" s="6">
        <f t="shared" si="72"/>
        <v>0</v>
      </c>
      <c r="T188" s="205" t="s">
        <v>195</v>
      </c>
      <c r="U188">
        <f t="shared" ca="1" si="62"/>
        <v>2442</v>
      </c>
      <c r="V188">
        <f t="shared" ca="1" si="63"/>
        <v>0</v>
      </c>
      <c r="W188" t="b">
        <f t="shared" si="64"/>
        <v>0</v>
      </c>
      <c r="X188" s="6" t="str">
        <f t="shared" si="65"/>
        <v>non</v>
      </c>
      <c r="Y188">
        <f t="shared" si="66"/>
        <v>1607</v>
      </c>
      <c r="Z188" t="b">
        <f t="shared" si="67"/>
        <v>0</v>
      </c>
      <c r="AA188" s="206">
        <f t="shared" si="73"/>
        <v>1817</v>
      </c>
      <c r="AB188">
        <f t="shared" si="68"/>
        <v>0</v>
      </c>
      <c r="AC188">
        <f t="shared" si="69"/>
        <v>0</v>
      </c>
      <c r="AD188">
        <f t="shared" si="70"/>
        <v>1607</v>
      </c>
      <c r="AE188">
        <f t="shared" si="74"/>
        <v>30</v>
      </c>
      <c r="AF188">
        <f t="shared" si="76"/>
        <v>210</v>
      </c>
      <c r="AG188">
        <f t="shared" si="75"/>
        <v>30</v>
      </c>
      <c r="AH188">
        <f t="shared" si="77"/>
        <v>0</v>
      </c>
      <c r="AK188" s="205">
        <v>0</v>
      </c>
      <c r="AL188">
        <v>0</v>
      </c>
      <c r="AQ188">
        <v>7000000053</v>
      </c>
      <c r="AR188">
        <v>3</v>
      </c>
      <c r="AS188">
        <v>0</v>
      </c>
    </row>
    <row r="189" spans="2:45" x14ac:dyDescent="0.25">
      <c r="B189" s="17">
        <v>200000011</v>
      </c>
      <c r="C189" s="3" t="s">
        <v>337</v>
      </c>
      <c r="D189" s="200">
        <v>42646</v>
      </c>
      <c r="F189">
        <v>218</v>
      </c>
      <c r="G189" t="s">
        <v>102</v>
      </c>
      <c r="H189" s="203">
        <f t="shared" si="54"/>
        <v>0</v>
      </c>
      <c r="I189" s="6">
        <f t="shared" si="55"/>
        <v>436</v>
      </c>
      <c r="J189" s="200">
        <f>'Synthèse Horaires'!$C$5</f>
        <v>46023</v>
      </c>
      <c r="K189" s="6" t="str">
        <f t="shared" si="56"/>
        <v>oui</v>
      </c>
      <c r="L189" s="6" t="str">
        <f t="shared" si="57"/>
        <v>non</v>
      </c>
      <c r="M189" s="204" t="str">
        <f t="shared" si="58"/>
        <v>non</v>
      </c>
      <c r="N189" s="204" t="b">
        <f t="shared" si="59"/>
        <v>0</v>
      </c>
      <c r="O189" s="204">
        <f t="shared" si="60"/>
        <v>218</v>
      </c>
      <c r="P189" s="6">
        <f t="shared" si="61"/>
        <v>0</v>
      </c>
      <c r="Q189" s="6">
        <f t="shared" si="71"/>
        <v>436</v>
      </c>
      <c r="R189" s="6">
        <f t="shared" si="72"/>
        <v>0</v>
      </c>
      <c r="T189" s="205" t="s">
        <v>404</v>
      </c>
      <c r="U189">
        <f t="shared" ca="1" si="62"/>
        <v>3535</v>
      </c>
      <c r="V189" t="b">
        <f t="shared" si="63"/>
        <v>0</v>
      </c>
      <c r="W189">
        <f t="shared" ca="1" si="64"/>
        <v>1</v>
      </c>
      <c r="X189" s="6" t="str">
        <f t="shared" si="65"/>
        <v>non</v>
      </c>
      <c r="Y189" t="b">
        <f t="shared" si="66"/>
        <v>0</v>
      </c>
      <c r="Z189">
        <f>IF(AND(G189="Cadre",P189=0),O189,P189)</f>
        <v>218</v>
      </c>
      <c r="AA189" s="206">
        <f>(IF(Y189=FALSE(),(Z189+AB189),(AD189)))+AF189+AH189+AI189</f>
        <v>218</v>
      </c>
      <c r="AB189">
        <f t="shared" si="68"/>
        <v>0</v>
      </c>
      <c r="AC189">
        <f t="shared" si="69"/>
        <v>0</v>
      </c>
      <c r="AD189">
        <f t="shared" si="70"/>
        <v>0</v>
      </c>
      <c r="AE189">
        <f t="shared" si="74"/>
        <v>0</v>
      </c>
      <c r="AF189">
        <f t="shared" si="76"/>
        <v>0</v>
      </c>
      <c r="AG189">
        <f t="shared" si="75"/>
        <v>0</v>
      </c>
      <c r="AH189">
        <f t="shared" si="77"/>
        <v>0</v>
      </c>
      <c r="AK189" s="205">
        <v>30383</v>
      </c>
      <c r="AL189" t="s">
        <v>588</v>
      </c>
      <c r="AQ189">
        <v>3000000072</v>
      </c>
      <c r="AR189">
        <v>5</v>
      </c>
      <c r="AS189">
        <v>0</v>
      </c>
    </row>
    <row r="190" spans="2:45" x14ac:dyDescent="0.25">
      <c r="B190" s="17">
        <v>6000000002</v>
      </c>
      <c r="C190" s="3" t="s">
        <v>722</v>
      </c>
      <c r="D190" s="200">
        <v>42653</v>
      </c>
      <c r="F190">
        <v>218</v>
      </c>
      <c r="G190" t="s">
        <v>102</v>
      </c>
      <c r="H190" s="203">
        <f t="shared" si="54"/>
        <v>0</v>
      </c>
      <c r="I190" s="6">
        <f t="shared" si="55"/>
        <v>436</v>
      </c>
      <c r="J190" s="200">
        <f>'Synthèse Horaires'!$C$5</f>
        <v>46023</v>
      </c>
      <c r="K190" s="6" t="str">
        <f t="shared" si="56"/>
        <v>oui</v>
      </c>
      <c r="L190" s="6" t="str">
        <f t="shared" si="57"/>
        <v>non</v>
      </c>
      <c r="M190" s="204" t="str">
        <f t="shared" si="58"/>
        <v>non</v>
      </c>
      <c r="N190" s="204" t="b">
        <f t="shared" si="59"/>
        <v>0</v>
      </c>
      <c r="O190" s="204">
        <f t="shared" si="60"/>
        <v>218</v>
      </c>
      <c r="P190" s="6">
        <f t="shared" si="61"/>
        <v>0</v>
      </c>
      <c r="Q190" s="6">
        <f t="shared" si="71"/>
        <v>436</v>
      </c>
      <c r="R190" s="6">
        <f t="shared" si="72"/>
        <v>0</v>
      </c>
      <c r="T190" s="205" t="s">
        <v>473</v>
      </c>
      <c r="U190">
        <f t="shared" ca="1" si="62"/>
        <v>3528</v>
      </c>
      <c r="V190" t="b">
        <f t="shared" si="63"/>
        <v>0</v>
      </c>
      <c r="W190">
        <f t="shared" ca="1" si="64"/>
        <v>1</v>
      </c>
      <c r="X190" s="6" t="str">
        <f t="shared" si="65"/>
        <v>non</v>
      </c>
      <c r="Y190" t="b">
        <f t="shared" si="66"/>
        <v>0</v>
      </c>
      <c r="Z190">
        <f t="shared" si="67"/>
        <v>218</v>
      </c>
      <c r="AA190" s="206">
        <f t="shared" si="73"/>
        <v>218</v>
      </c>
      <c r="AB190">
        <f t="shared" ref="AB190:AB245" si="78">IF(AND(L190="oui",G190="Cadre"),(30*(Z190/F190)),0)</f>
        <v>0</v>
      </c>
      <c r="AC190">
        <f t="shared" ref="AC190:AC245" si="79">IF(AND(G190="Employé",L190="oui"),(30*(Y190/H190)),0)</f>
        <v>0</v>
      </c>
      <c r="AD190">
        <f t="shared" ref="AD190:AD245" si="80">Y190+(AC190*(E190/6))</f>
        <v>0</v>
      </c>
      <c r="AE190">
        <f t="shared" si="74"/>
        <v>0</v>
      </c>
      <c r="AF190">
        <f t="shared" si="76"/>
        <v>0</v>
      </c>
      <c r="AG190">
        <f t="shared" si="75"/>
        <v>0</v>
      </c>
      <c r="AH190">
        <f t="shared" si="77"/>
        <v>0</v>
      </c>
      <c r="AJ190" s="9"/>
      <c r="AK190" s="205">
        <v>33719</v>
      </c>
      <c r="AL190" t="s">
        <v>584</v>
      </c>
      <c r="AQ190">
        <v>200000046</v>
      </c>
      <c r="AR190">
        <v>4</v>
      </c>
      <c r="AS190">
        <v>0</v>
      </c>
    </row>
    <row r="191" spans="2:45" x14ac:dyDescent="0.25">
      <c r="B191" s="17" t="s">
        <v>666</v>
      </c>
      <c r="C191" s="3" t="s">
        <v>338</v>
      </c>
      <c r="D191" s="200">
        <v>42676</v>
      </c>
      <c r="E191">
        <v>28</v>
      </c>
      <c r="G191" t="s">
        <v>273</v>
      </c>
      <c r="H191" s="203">
        <f t="shared" si="54"/>
        <v>1286</v>
      </c>
      <c r="I191" s="6">
        <f t="shared" si="55"/>
        <v>0</v>
      </c>
      <c r="J191" s="200">
        <f>'Synthèse Horaires'!$C$5</f>
        <v>46023</v>
      </c>
      <c r="K191" s="6" t="str">
        <f t="shared" si="56"/>
        <v>oui</v>
      </c>
      <c r="L191" s="6" t="str">
        <f t="shared" si="57"/>
        <v>non</v>
      </c>
      <c r="M191" s="204">
        <f t="shared" si="58"/>
        <v>1286</v>
      </c>
      <c r="N191" s="204">
        <f t="shared" si="59"/>
        <v>0</v>
      </c>
      <c r="O191" s="204" t="str">
        <f t="shared" si="60"/>
        <v>non</v>
      </c>
      <c r="P191" s="6" t="b">
        <f t="shared" si="61"/>
        <v>0</v>
      </c>
      <c r="Q191" s="6">
        <f t="shared" si="71"/>
        <v>0</v>
      </c>
      <c r="R191" s="6">
        <f t="shared" si="72"/>
        <v>0</v>
      </c>
      <c r="S191" t="s">
        <v>342</v>
      </c>
      <c r="T191" s="205" t="s">
        <v>194</v>
      </c>
      <c r="U191">
        <f t="shared" ca="1" si="62"/>
        <v>3505</v>
      </c>
      <c r="V191">
        <f t="shared" ca="1" si="63"/>
        <v>0</v>
      </c>
      <c r="W191" t="b">
        <f t="shared" si="64"/>
        <v>0</v>
      </c>
      <c r="X191" s="6">
        <f t="shared" si="65"/>
        <v>28</v>
      </c>
      <c r="Y191">
        <f t="shared" si="66"/>
        <v>1286</v>
      </c>
      <c r="Z191" t="b">
        <f t="shared" si="67"/>
        <v>0</v>
      </c>
      <c r="AA191" s="206">
        <f t="shared" si="73"/>
        <v>1454</v>
      </c>
      <c r="AB191">
        <f t="shared" si="78"/>
        <v>0</v>
      </c>
      <c r="AC191">
        <f t="shared" si="79"/>
        <v>0</v>
      </c>
      <c r="AD191">
        <f t="shared" si="80"/>
        <v>1286</v>
      </c>
      <c r="AE191">
        <f t="shared" si="74"/>
        <v>30</v>
      </c>
      <c r="AF191">
        <f t="shared" si="76"/>
        <v>168</v>
      </c>
      <c r="AG191">
        <f t="shared" si="75"/>
        <v>30</v>
      </c>
      <c r="AH191">
        <f t="shared" si="77"/>
        <v>0</v>
      </c>
      <c r="AK191" s="205">
        <v>0</v>
      </c>
      <c r="AL191">
        <v>0</v>
      </c>
      <c r="AQ191">
        <v>3000000074</v>
      </c>
      <c r="AR191">
        <v>3</v>
      </c>
      <c r="AS191">
        <v>0</v>
      </c>
    </row>
    <row r="192" spans="2:45" x14ac:dyDescent="0.25">
      <c r="B192" s="17" t="s">
        <v>666</v>
      </c>
      <c r="C192" s="3" t="s">
        <v>483</v>
      </c>
      <c r="D192" s="200">
        <v>43850</v>
      </c>
      <c r="E192">
        <v>35</v>
      </c>
      <c r="G192" t="s">
        <v>273</v>
      </c>
      <c r="H192" s="203">
        <f t="shared" si="54"/>
        <v>1607</v>
      </c>
      <c r="I192" s="6">
        <f t="shared" si="55"/>
        <v>0</v>
      </c>
      <c r="J192" s="200">
        <f>'Synthèse Horaires'!$C$5</f>
        <v>46023</v>
      </c>
      <c r="K192" s="6" t="str">
        <f t="shared" si="56"/>
        <v>oui</v>
      </c>
      <c r="L192" s="6" t="str">
        <f t="shared" si="57"/>
        <v>non</v>
      </c>
      <c r="M192" s="204">
        <f t="shared" si="58"/>
        <v>1607</v>
      </c>
      <c r="N192" s="204">
        <f t="shared" si="59"/>
        <v>0</v>
      </c>
      <c r="O192" s="204" t="str">
        <f t="shared" si="60"/>
        <v>non</v>
      </c>
      <c r="P192" s="6" t="b">
        <f t="shared" si="61"/>
        <v>0</v>
      </c>
      <c r="Q192" s="6">
        <f t="shared" si="71"/>
        <v>0</v>
      </c>
      <c r="R192" s="6">
        <f t="shared" si="72"/>
        <v>0</v>
      </c>
      <c r="T192" s="205" t="s">
        <v>458</v>
      </c>
      <c r="U192">
        <f t="shared" ca="1" si="62"/>
        <v>2331</v>
      </c>
      <c r="V192">
        <f t="shared" ca="1" si="63"/>
        <v>0</v>
      </c>
      <c r="W192" t="b">
        <f t="shared" si="64"/>
        <v>0</v>
      </c>
      <c r="X192" s="6" t="str">
        <f t="shared" si="65"/>
        <v>non</v>
      </c>
      <c r="Y192">
        <f t="shared" si="66"/>
        <v>1607</v>
      </c>
      <c r="Z192" t="b">
        <f t="shared" si="67"/>
        <v>0</v>
      </c>
      <c r="AA192" s="206">
        <f t="shared" si="73"/>
        <v>1817</v>
      </c>
      <c r="AB192">
        <f t="shared" si="78"/>
        <v>0</v>
      </c>
      <c r="AC192">
        <f t="shared" si="79"/>
        <v>0</v>
      </c>
      <c r="AD192">
        <f t="shared" si="80"/>
        <v>1607</v>
      </c>
      <c r="AE192">
        <f t="shared" si="74"/>
        <v>30</v>
      </c>
      <c r="AF192">
        <f t="shared" si="76"/>
        <v>210</v>
      </c>
      <c r="AG192">
        <f t="shared" si="75"/>
        <v>30</v>
      </c>
      <c r="AH192">
        <f t="shared" si="77"/>
        <v>0</v>
      </c>
      <c r="AK192" s="205">
        <v>0</v>
      </c>
      <c r="AL192">
        <v>0</v>
      </c>
      <c r="AQ192">
        <v>3000000073</v>
      </c>
      <c r="AR192">
        <v>4</v>
      </c>
      <c r="AS192">
        <v>1</v>
      </c>
    </row>
    <row r="193" spans="2:45" x14ac:dyDescent="0.25">
      <c r="B193" s="17" t="s">
        <v>666</v>
      </c>
      <c r="C193" s="3" t="s">
        <v>536</v>
      </c>
      <c r="D193" s="200">
        <v>44123</v>
      </c>
      <c r="E193">
        <v>35</v>
      </c>
      <c r="F193">
        <v>0</v>
      </c>
      <c r="G193" t="s">
        <v>273</v>
      </c>
      <c r="H193" s="203">
        <f t="shared" si="54"/>
        <v>1607</v>
      </c>
      <c r="I193" s="6">
        <f t="shared" si="55"/>
        <v>0</v>
      </c>
      <c r="J193" s="200">
        <f>'Synthèse Horaires'!$C$5</f>
        <v>46023</v>
      </c>
      <c r="K193" s="6" t="str">
        <f t="shared" si="56"/>
        <v>oui</v>
      </c>
      <c r="L193" s="6" t="str">
        <f t="shared" si="57"/>
        <v>non</v>
      </c>
      <c r="M193" s="204">
        <f t="shared" si="58"/>
        <v>1607</v>
      </c>
      <c r="N193" s="204">
        <f t="shared" si="59"/>
        <v>0</v>
      </c>
      <c r="O193" s="204" t="str">
        <f t="shared" si="60"/>
        <v>non</v>
      </c>
      <c r="P193" s="6" t="b">
        <f t="shared" si="61"/>
        <v>0</v>
      </c>
      <c r="Q193" s="6">
        <f t="shared" si="71"/>
        <v>0</v>
      </c>
      <c r="R193" s="6">
        <f t="shared" si="72"/>
        <v>0</v>
      </c>
      <c r="T193" s="205" t="s">
        <v>199</v>
      </c>
      <c r="U193">
        <f t="shared" ca="1" si="62"/>
        <v>2058</v>
      </c>
      <c r="V193">
        <f t="shared" ca="1" si="63"/>
        <v>0</v>
      </c>
      <c r="W193" t="b">
        <f t="shared" si="64"/>
        <v>0</v>
      </c>
      <c r="X193" s="6" t="str">
        <f t="shared" si="65"/>
        <v>non</v>
      </c>
      <c r="Y193">
        <f t="shared" si="66"/>
        <v>1607</v>
      </c>
      <c r="Z193" t="b">
        <f t="shared" si="67"/>
        <v>0</v>
      </c>
      <c r="AA193" s="206">
        <f t="shared" si="73"/>
        <v>1817</v>
      </c>
      <c r="AB193">
        <f t="shared" si="78"/>
        <v>0</v>
      </c>
      <c r="AC193">
        <f t="shared" si="79"/>
        <v>0</v>
      </c>
      <c r="AD193">
        <f t="shared" si="80"/>
        <v>1607</v>
      </c>
      <c r="AE193">
        <f t="shared" si="74"/>
        <v>30</v>
      </c>
      <c r="AF193">
        <f t="shared" si="76"/>
        <v>210</v>
      </c>
      <c r="AG193">
        <f t="shared" si="75"/>
        <v>30</v>
      </c>
      <c r="AH193">
        <f t="shared" si="77"/>
        <v>0</v>
      </c>
      <c r="AJ193" s="9"/>
      <c r="AK193" s="205">
        <v>37411</v>
      </c>
      <c r="AL193" t="s">
        <v>509</v>
      </c>
      <c r="AQ193">
        <v>400000028</v>
      </c>
      <c r="AR193">
        <v>1</v>
      </c>
      <c r="AS193">
        <v>0</v>
      </c>
    </row>
    <row r="194" spans="2:45" x14ac:dyDescent="0.25">
      <c r="B194" s="17">
        <v>100000020</v>
      </c>
      <c r="C194" s="3" t="s">
        <v>484</v>
      </c>
      <c r="D194" s="200">
        <v>43871</v>
      </c>
      <c r="E194">
        <v>35</v>
      </c>
      <c r="G194" t="s">
        <v>273</v>
      </c>
      <c r="H194" s="203">
        <f t="shared" ref="H194:H196" si="81">ROUNDUP((($C$9/5)*E194)+($G$4*(E194/$G$5))+IF(E194=20,$G$10,(IF(E194=25,$G$9,(IF(E194=35,$G$6,IF(E194=39,$G$7,(IF(E194=41,$G$8,($G$6*(E194/$G$5)))))))))),0)</f>
        <v>1607</v>
      </c>
      <c r="I194" s="6">
        <f t="shared" ref="I194:I196" si="82">F194*2</f>
        <v>0</v>
      </c>
      <c r="J194" s="200">
        <f>'Synthèse Horaires'!$C$5</f>
        <v>46023</v>
      </c>
      <c r="K194" s="6" t="str">
        <f t="shared" ref="K194:K196" si="83">IF(N(D194)&lt;N($G$3),"oui","non")</f>
        <v>oui</v>
      </c>
      <c r="L194" s="6" t="str">
        <f t="shared" ref="L194:L196" si="84">IF(N(D194)&gt;N($G$3),"oui","non")</f>
        <v>non</v>
      </c>
      <c r="M194" s="204">
        <f t="shared" ref="M194:M196" si="85">IF(G194="Employé",(IF(K194="oui",H194,"non")),"non")</f>
        <v>1607</v>
      </c>
      <c r="N194" s="204">
        <f t="shared" ref="N194:N196" si="86">IF(G194="Employé",(IF(L194="oui",(H194*(($G$3+365)-D194+1)/365),0)))</f>
        <v>0</v>
      </c>
      <c r="O194" s="204" t="str">
        <f t="shared" ref="O194:O196" si="87">IF(G194="Cadre",(IF(K194="oui",F194,0)),"non")</f>
        <v>non</v>
      </c>
      <c r="P194" s="6" t="b">
        <f t="shared" ref="P194:P196" si="88">IF(G194="Cadre",(IF(L194="oui",((((($G$3+365)-D194+1)*F194)/365)),0)))</f>
        <v>0</v>
      </c>
      <c r="Q194" s="6">
        <f t="shared" ref="Q194:Q196" si="89">IF(O194="non",0,O194*2)</f>
        <v>0</v>
      </c>
      <c r="R194" s="6">
        <f t="shared" ref="R194:R196" si="90">IF(ISERROR(P194),0,P194*2)</f>
        <v>0</v>
      </c>
      <c r="T194" s="205" t="s">
        <v>196</v>
      </c>
      <c r="U194">
        <f t="shared" ref="U194:U196" ca="1" si="91">TODAY()-D194</f>
        <v>2310</v>
      </c>
      <c r="V194">
        <f t="shared" ref="V194:V196" ca="1" si="92">IF(G194="Employé",IF(U194&gt;9125,3,IF(U194&gt;7300,2,IF(U194&gt;5475,1,))))</f>
        <v>0</v>
      </c>
      <c r="W194" t="b">
        <f t="shared" ref="W194:W196" si="93">IF(G194="Cadre",IF(U194&gt;3650,2,IF(U194&gt;1825,1,)))</f>
        <v>0</v>
      </c>
      <c r="X194" s="6" t="str">
        <f t="shared" ref="X194:X196" si="94">IF(G194="Employé",IF(E194&lt;$G$5,E194,"non"),"non")</f>
        <v>non</v>
      </c>
      <c r="Y194">
        <f t="shared" ref="Y194:Y196" si="95">IF(AND(G194="Employé",N194=0),M194,N194)</f>
        <v>1607</v>
      </c>
      <c r="Z194" t="b">
        <f t="shared" ref="Z194:Z196" si="96">IF(AND(G194="Cadre",P194=0),O194,P194)</f>
        <v>0</v>
      </c>
      <c r="AA194" s="206">
        <f t="shared" si="73"/>
        <v>1614</v>
      </c>
      <c r="AB194">
        <f t="shared" si="78"/>
        <v>0</v>
      </c>
      <c r="AC194">
        <f t="shared" si="79"/>
        <v>0</v>
      </c>
      <c r="AD194">
        <f t="shared" si="80"/>
        <v>1607</v>
      </c>
      <c r="AE194">
        <f t="shared" si="74"/>
        <v>1</v>
      </c>
      <c r="AF194">
        <f t="shared" si="76"/>
        <v>7</v>
      </c>
      <c r="AG194">
        <f t="shared" si="75"/>
        <v>1</v>
      </c>
      <c r="AH194">
        <f t="shared" si="77"/>
        <v>0</v>
      </c>
      <c r="AK194" s="205">
        <v>26890</v>
      </c>
      <c r="AL194" t="s">
        <v>493</v>
      </c>
      <c r="AQ194">
        <v>1300000038</v>
      </c>
      <c r="AR194">
        <v>1</v>
      </c>
      <c r="AS194">
        <v>0</v>
      </c>
    </row>
    <row r="195" spans="2:45" x14ac:dyDescent="0.25">
      <c r="B195" s="17" t="s">
        <v>666</v>
      </c>
      <c r="C195" s="3" t="s">
        <v>344</v>
      </c>
      <c r="D195" s="200">
        <v>42705</v>
      </c>
      <c r="E195">
        <v>35</v>
      </c>
      <c r="G195" t="s">
        <v>273</v>
      </c>
      <c r="H195" s="203">
        <f t="shared" si="81"/>
        <v>1607</v>
      </c>
      <c r="I195" s="6">
        <f t="shared" si="82"/>
        <v>0</v>
      </c>
      <c r="J195" s="200">
        <f>'Synthèse Horaires'!$C$5</f>
        <v>46023</v>
      </c>
      <c r="K195" s="6" t="str">
        <f t="shared" si="83"/>
        <v>oui</v>
      </c>
      <c r="L195" s="6" t="str">
        <f t="shared" si="84"/>
        <v>non</v>
      </c>
      <c r="M195" s="204">
        <f t="shared" si="85"/>
        <v>1607</v>
      </c>
      <c r="N195" s="204">
        <f t="shared" si="86"/>
        <v>0</v>
      </c>
      <c r="O195" s="204" t="str">
        <f t="shared" si="87"/>
        <v>non</v>
      </c>
      <c r="P195" s="6" t="b">
        <f t="shared" si="88"/>
        <v>0</v>
      </c>
      <c r="Q195" s="6">
        <f t="shared" si="89"/>
        <v>0</v>
      </c>
      <c r="R195" s="6">
        <f t="shared" si="90"/>
        <v>0</v>
      </c>
      <c r="T195" s="205" t="s">
        <v>187</v>
      </c>
      <c r="U195">
        <f t="shared" ca="1" si="91"/>
        <v>3476</v>
      </c>
      <c r="V195">
        <f t="shared" ca="1" si="92"/>
        <v>0</v>
      </c>
      <c r="W195" t="b">
        <f t="shared" si="93"/>
        <v>0</v>
      </c>
      <c r="X195" s="6" t="str">
        <f t="shared" si="94"/>
        <v>non</v>
      </c>
      <c r="Y195">
        <f t="shared" si="95"/>
        <v>1607</v>
      </c>
      <c r="Z195" t="b">
        <f t="shared" si="96"/>
        <v>0</v>
      </c>
      <c r="AA195" s="206">
        <f t="shared" si="73"/>
        <v>1817</v>
      </c>
      <c r="AB195">
        <f t="shared" si="78"/>
        <v>0</v>
      </c>
      <c r="AC195">
        <f t="shared" si="79"/>
        <v>0</v>
      </c>
      <c r="AD195">
        <f t="shared" si="80"/>
        <v>1607</v>
      </c>
      <c r="AE195">
        <f t="shared" si="74"/>
        <v>30</v>
      </c>
      <c r="AF195">
        <f t="shared" si="76"/>
        <v>210</v>
      </c>
      <c r="AG195">
        <f t="shared" si="75"/>
        <v>30</v>
      </c>
      <c r="AH195">
        <f t="shared" si="77"/>
        <v>0</v>
      </c>
      <c r="AK195" s="205">
        <v>0</v>
      </c>
      <c r="AL195">
        <v>0</v>
      </c>
      <c r="AQ195">
        <v>7000000054</v>
      </c>
      <c r="AR195">
        <v>3</v>
      </c>
      <c r="AS195">
        <v>0</v>
      </c>
    </row>
    <row r="196" spans="2:45" x14ac:dyDescent="0.25">
      <c r="B196" s="294">
        <v>500000022</v>
      </c>
      <c r="C196" s="295" t="s">
        <v>510</v>
      </c>
      <c r="D196" s="200">
        <v>44077</v>
      </c>
      <c r="E196">
        <v>35</v>
      </c>
      <c r="F196">
        <v>0</v>
      </c>
      <c r="G196" t="s">
        <v>273</v>
      </c>
      <c r="H196" s="203">
        <f t="shared" si="81"/>
        <v>1607</v>
      </c>
      <c r="I196" s="6">
        <f t="shared" si="82"/>
        <v>0</v>
      </c>
      <c r="J196" s="200">
        <f>'Synthèse Horaires'!$C$5</f>
        <v>46023</v>
      </c>
      <c r="K196" s="6" t="str">
        <f t="shared" si="83"/>
        <v>oui</v>
      </c>
      <c r="L196" s="6" t="str">
        <f t="shared" si="84"/>
        <v>non</v>
      </c>
      <c r="M196" s="204">
        <f t="shared" si="85"/>
        <v>1607</v>
      </c>
      <c r="N196" s="204">
        <f t="shared" si="86"/>
        <v>0</v>
      </c>
      <c r="O196" s="204" t="str">
        <f t="shared" si="87"/>
        <v>non</v>
      </c>
      <c r="P196" s="6" t="b">
        <f t="shared" si="88"/>
        <v>0</v>
      </c>
      <c r="Q196" s="6">
        <f t="shared" si="89"/>
        <v>0</v>
      </c>
      <c r="R196" s="6">
        <f t="shared" si="90"/>
        <v>0</v>
      </c>
      <c r="T196" s="205" t="s">
        <v>197</v>
      </c>
      <c r="U196">
        <f t="shared" ca="1" si="91"/>
        <v>2104</v>
      </c>
      <c r="V196">
        <f t="shared" ca="1" si="92"/>
        <v>0</v>
      </c>
      <c r="W196" t="b">
        <f t="shared" si="93"/>
        <v>0</v>
      </c>
      <c r="X196" s="6" t="str">
        <f t="shared" si="94"/>
        <v>non</v>
      </c>
      <c r="Y196">
        <f t="shared" si="95"/>
        <v>1607</v>
      </c>
      <c r="Z196" t="b">
        <f t="shared" si="96"/>
        <v>0</v>
      </c>
      <c r="AA196" s="206">
        <f t="shared" si="73"/>
        <v>1607</v>
      </c>
      <c r="AB196">
        <f t="shared" si="78"/>
        <v>0</v>
      </c>
      <c r="AC196">
        <f t="shared" si="79"/>
        <v>0</v>
      </c>
      <c r="AD196">
        <f t="shared" si="80"/>
        <v>1607</v>
      </c>
      <c r="AE196">
        <f t="shared" si="74"/>
        <v>0</v>
      </c>
      <c r="AF196">
        <f t="shared" si="76"/>
        <v>0</v>
      </c>
      <c r="AG196">
        <f t="shared" si="75"/>
        <v>0</v>
      </c>
      <c r="AH196">
        <f t="shared" si="77"/>
        <v>0</v>
      </c>
      <c r="AK196" s="205">
        <v>23753</v>
      </c>
      <c r="AL196" t="s">
        <v>569</v>
      </c>
      <c r="AQ196">
        <v>500000033</v>
      </c>
      <c r="AR196">
        <v>2</v>
      </c>
      <c r="AS196">
        <v>0</v>
      </c>
    </row>
    <row r="197" spans="2:45" x14ac:dyDescent="0.25">
      <c r="B197" s="17">
        <v>900000009</v>
      </c>
      <c r="C197" t="s">
        <v>345</v>
      </c>
      <c r="D197" s="205">
        <v>42705</v>
      </c>
      <c r="E197">
        <v>35</v>
      </c>
      <c r="G197" t="s">
        <v>273</v>
      </c>
      <c r="H197" s="203">
        <f t="shared" ref="H197:H199" si="97">ROUNDUP((($C$9/5)*E197)+($G$4*(E197/$G$5))+IF(E197=20,$G$10,(IF(E197=25,$G$9,(IF(E197=35,$G$6,IF(E197=39,$G$7,(IF(E197=41,$G$8,($G$6*(E197/$G$5)))))))))),0)</f>
        <v>1607</v>
      </c>
      <c r="I197" s="6">
        <f t="shared" ref="I197:I199" si="98">F197*2</f>
        <v>0</v>
      </c>
      <c r="J197" s="200">
        <f>'Synthèse Horaires'!$C$5</f>
        <v>46023</v>
      </c>
      <c r="K197" s="6" t="str">
        <f t="shared" ref="K197:K199" si="99">IF(N(D197)&lt;N($G$3),"oui","non")</f>
        <v>oui</v>
      </c>
      <c r="L197" s="6" t="str">
        <f t="shared" ref="L197:L199" si="100">IF(N(D197)&gt;N($G$3),"oui","non")</f>
        <v>non</v>
      </c>
      <c r="M197" s="204">
        <f t="shared" ref="M197:M199" si="101">IF(G197="Employé",(IF(K197="oui",H197,"non")),"non")</f>
        <v>1607</v>
      </c>
      <c r="N197" s="204">
        <f t="shared" ref="N197:N199" si="102">IF(G197="Employé",(IF(L197="oui",(H197*(($G$3+365)-D197+1)/365),0)))</f>
        <v>0</v>
      </c>
      <c r="O197" s="204" t="str">
        <f t="shared" ref="O197:O199" si="103">IF(G197="Cadre",(IF(K197="oui",F197,0)),"non")</f>
        <v>non</v>
      </c>
      <c r="P197" s="6" t="b">
        <f t="shared" ref="P197:P199" si="104">IF(G197="Cadre",(IF(L197="oui",((((($G$3+365)-D197+1)*F197)/365)),0)))</f>
        <v>0</v>
      </c>
      <c r="Q197" s="6">
        <f t="shared" ref="Q197:Q199" si="105">IF(O197="non",0,O197*2)</f>
        <v>0</v>
      </c>
      <c r="R197" s="6">
        <f t="shared" ref="R197:R199" si="106">IF(ISERROR(P197),0,P197*2)</f>
        <v>0</v>
      </c>
      <c r="T197" s="205" t="s">
        <v>198</v>
      </c>
      <c r="U197">
        <f t="shared" ref="U197:U199" ca="1" si="107">TODAY()-D197</f>
        <v>3476</v>
      </c>
      <c r="V197">
        <f t="shared" ref="V197:V199" ca="1" si="108">IF(G197="Employé",IF(U197&gt;9125,3,IF(U197&gt;7300,2,IF(U197&gt;5475,1,))))</f>
        <v>0</v>
      </c>
      <c r="W197" t="b">
        <f t="shared" ref="W197:W199" si="109">IF(G197="Cadre",IF(U197&gt;3650,2,IF(U197&gt;1825,1,)))</f>
        <v>0</v>
      </c>
      <c r="X197" s="6" t="str">
        <f t="shared" ref="X197:X199" si="110">IF(G197="Employé",IF(E197&lt;$G$5,E197,"non"),"non")</f>
        <v>non</v>
      </c>
      <c r="Y197">
        <f t="shared" ref="Y197:Y199" si="111">IF(AND(G197="Employé",N197=0),M197,N197)</f>
        <v>1607</v>
      </c>
      <c r="Z197" t="b">
        <f t="shared" ref="Z197:Z199" si="112">IF(AND(G197="Cadre",P197=0),O197,P197)</f>
        <v>0</v>
      </c>
      <c r="AA197" s="206">
        <f t="shared" si="73"/>
        <v>1607</v>
      </c>
      <c r="AB197">
        <f t="shared" si="78"/>
        <v>0</v>
      </c>
      <c r="AC197">
        <f t="shared" si="79"/>
        <v>0</v>
      </c>
      <c r="AD197">
        <f t="shared" si="80"/>
        <v>1607</v>
      </c>
      <c r="AE197">
        <f t="shared" si="74"/>
        <v>0</v>
      </c>
      <c r="AF197">
        <f t="shared" si="76"/>
        <v>0</v>
      </c>
      <c r="AG197">
        <f t="shared" si="75"/>
        <v>0</v>
      </c>
      <c r="AH197">
        <f t="shared" si="77"/>
        <v>0</v>
      </c>
      <c r="AK197" s="205">
        <v>29791</v>
      </c>
      <c r="AL197" t="s">
        <v>676</v>
      </c>
      <c r="AQ197">
        <v>0</v>
      </c>
      <c r="AR197">
        <v>0</v>
      </c>
      <c r="AS197">
        <v>0</v>
      </c>
    </row>
    <row r="198" spans="2:45" x14ac:dyDescent="0.25">
      <c r="B198" s="17">
        <v>19999999</v>
      </c>
      <c r="C198" s="2" t="s">
        <v>377</v>
      </c>
      <c r="D198" s="254">
        <f ca="1">TODAY()</f>
        <v>46181</v>
      </c>
      <c r="E198">
        <v>35</v>
      </c>
      <c r="G198" t="s">
        <v>273</v>
      </c>
      <c r="H198" s="203">
        <f t="shared" si="97"/>
        <v>1607</v>
      </c>
      <c r="I198" s="6">
        <f t="shared" si="98"/>
        <v>0</v>
      </c>
      <c r="J198" s="200">
        <f>'Synthèse Horaires'!$C$5</f>
        <v>46023</v>
      </c>
      <c r="K198" s="6" t="str">
        <f t="shared" ca="1" si="99"/>
        <v>non</v>
      </c>
      <c r="L198" s="6" t="str">
        <f t="shared" ca="1" si="100"/>
        <v>oui</v>
      </c>
      <c r="M198" s="204" t="str">
        <f t="shared" ca="1" si="101"/>
        <v>non</v>
      </c>
      <c r="N198" s="204">
        <f t="shared" ca="1" si="102"/>
        <v>1576.1808219178083</v>
      </c>
      <c r="O198" s="204" t="str">
        <f t="shared" si="103"/>
        <v>non</v>
      </c>
      <c r="P198" s="6" t="b">
        <f t="shared" si="104"/>
        <v>0</v>
      </c>
      <c r="Q198" s="6">
        <f t="shared" si="105"/>
        <v>0</v>
      </c>
      <c r="R198" s="6">
        <f t="shared" si="106"/>
        <v>0</v>
      </c>
      <c r="T198" s="205" t="s">
        <v>196</v>
      </c>
      <c r="U198">
        <f t="shared" ca="1" si="107"/>
        <v>0</v>
      </c>
      <c r="V198">
        <f t="shared" ca="1" si="108"/>
        <v>0</v>
      </c>
      <c r="W198" t="b">
        <f t="shared" si="109"/>
        <v>0</v>
      </c>
      <c r="X198" s="6" t="str">
        <f t="shared" si="110"/>
        <v>non</v>
      </c>
      <c r="Y198">
        <f t="shared" ca="1" si="111"/>
        <v>1576.1808219178083</v>
      </c>
      <c r="Z198" t="b">
        <f t="shared" si="112"/>
        <v>0</v>
      </c>
      <c r="AA198" s="206">
        <f t="shared" ca="1" si="73"/>
        <v>1747.8246575342466</v>
      </c>
      <c r="AB198">
        <f t="shared" ca="1" si="78"/>
        <v>0</v>
      </c>
      <c r="AC198">
        <f t="shared" ca="1" si="79"/>
        <v>29.424657534246577</v>
      </c>
      <c r="AD198">
        <f t="shared" ca="1" si="80"/>
        <v>1747.8246575342466</v>
      </c>
      <c r="AE198">
        <f t="shared" si="74"/>
        <v>0</v>
      </c>
      <c r="AF198">
        <f t="shared" ca="1" si="76"/>
        <v>0</v>
      </c>
      <c r="AG198">
        <f t="shared" si="75"/>
        <v>0</v>
      </c>
      <c r="AH198">
        <f t="shared" si="77"/>
        <v>0</v>
      </c>
      <c r="AK198" s="205">
        <v>0</v>
      </c>
      <c r="AL198">
        <v>0</v>
      </c>
      <c r="AQ198">
        <v>0</v>
      </c>
      <c r="AR198">
        <v>0</v>
      </c>
      <c r="AS198">
        <v>0</v>
      </c>
    </row>
    <row r="199" spans="2:45" x14ac:dyDescent="0.25">
      <c r="B199" s="17">
        <v>29999999</v>
      </c>
      <c r="C199" s="2" t="s">
        <v>378</v>
      </c>
      <c r="D199" s="254">
        <f t="shared" ref="D199:D216" ca="1" si="113">TODAY()</f>
        <v>46181</v>
      </c>
      <c r="E199">
        <v>35</v>
      </c>
      <c r="G199" t="s">
        <v>273</v>
      </c>
      <c r="H199" s="203">
        <f t="shared" si="97"/>
        <v>1607</v>
      </c>
      <c r="I199" s="6">
        <f t="shared" si="98"/>
        <v>0</v>
      </c>
      <c r="J199" s="200">
        <f>'Synthèse Horaires'!$C$5</f>
        <v>46023</v>
      </c>
      <c r="K199" s="6" t="str">
        <f t="shared" ca="1" si="99"/>
        <v>non</v>
      </c>
      <c r="L199" s="6" t="str">
        <f t="shared" ca="1" si="100"/>
        <v>oui</v>
      </c>
      <c r="M199" s="204" t="str">
        <f t="shared" ca="1" si="101"/>
        <v>non</v>
      </c>
      <c r="N199" s="204">
        <f t="shared" ca="1" si="102"/>
        <v>1576.1808219178083</v>
      </c>
      <c r="O199" s="204" t="str">
        <f t="shared" si="103"/>
        <v>non</v>
      </c>
      <c r="P199" s="6" t="b">
        <f t="shared" si="104"/>
        <v>0</v>
      </c>
      <c r="Q199" s="6">
        <f t="shared" si="105"/>
        <v>0</v>
      </c>
      <c r="R199" s="6">
        <f t="shared" si="106"/>
        <v>0</v>
      </c>
      <c r="T199" s="205" t="s">
        <v>404</v>
      </c>
      <c r="U199">
        <f t="shared" ca="1" si="107"/>
        <v>0</v>
      </c>
      <c r="V199">
        <f t="shared" ca="1" si="108"/>
        <v>0</v>
      </c>
      <c r="W199" t="b">
        <f t="shared" si="109"/>
        <v>0</v>
      </c>
      <c r="X199" s="6" t="str">
        <f t="shared" si="110"/>
        <v>non</v>
      </c>
      <c r="Y199">
        <f t="shared" ca="1" si="111"/>
        <v>1576.1808219178083</v>
      </c>
      <c r="Z199" t="b">
        <f t="shared" si="112"/>
        <v>0</v>
      </c>
      <c r="AA199" s="206">
        <f t="shared" ca="1" si="73"/>
        <v>1747.8246575342466</v>
      </c>
      <c r="AB199">
        <f t="shared" ca="1" si="78"/>
        <v>0</v>
      </c>
      <c r="AC199">
        <f t="shared" ca="1" si="79"/>
        <v>29.424657534246577</v>
      </c>
      <c r="AD199">
        <f t="shared" ca="1" si="80"/>
        <v>1747.8246575342466</v>
      </c>
      <c r="AE199">
        <f t="shared" si="74"/>
        <v>0</v>
      </c>
      <c r="AF199">
        <f t="shared" ca="1" si="76"/>
        <v>0</v>
      </c>
      <c r="AG199">
        <f t="shared" si="75"/>
        <v>0</v>
      </c>
      <c r="AH199">
        <f t="shared" si="77"/>
        <v>0</v>
      </c>
      <c r="AK199" s="205">
        <v>0</v>
      </c>
      <c r="AL199">
        <v>0</v>
      </c>
      <c r="AQ199">
        <v>0</v>
      </c>
      <c r="AR199">
        <v>0</v>
      </c>
      <c r="AS199">
        <v>0</v>
      </c>
    </row>
    <row r="200" spans="2:45" x14ac:dyDescent="0.25">
      <c r="B200" s="17">
        <v>39999999</v>
      </c>
      <c r="C200" s="2" t="s">
        <v>379</v>
      </c>
      <c r="D200" s="254">
        <f t="shared" ca="1" si="113"/>
        <v>46181</v>
      </c>
      <c r="E200">
        <v>35</v>
      </c>
      <c r="G200" t="s">
        <v>273</v>
      </c>
      <c r="H200" s="203">
        <f t="shared" ref="H200:H213" si="114">ROUNDUP((($C$9/5)*E200)+($G$4*(E200/$G$5))+IF(E200=20,$G$10,(IF(E200=25,$G$9,(IF(E200=35,$G$6,IF(E200=39,$G$7,(IF(E200=41,$G$8,($G$6*(E200/$G$5)))))))))),0)</f>
        <v>1607</v>
      </c>
      <c r="I200" s="6">
        <f t="shared" ref="I200:I213" si="115">F200*2</f>
        <v>0</v>
      </c>
      <c r="J200" s="200">
        <f>'Synthèse Horaires'!$C$5</f>
        <v>46023</v>
      </c>
      <c r="K200" s="6" t="str">
        <f t="shared" ref="K200:K213" ca="1" si="116">IF(N(D200)&lt;N($G$3),"oui","non")</f>
        <v>non</v>
      </c>
      <c r="L200" s="6" t="str">
        <f t="shared" ref="L200:L213" ca="1" si="117">IF(N(D200)&gt;N($G$3),"oui","non")</f>
        <v>oui</v>
      </c>
      <c r="M200" s="204" t="str">
        <f t="shared" ref="M200:M213" ca="1" si="118">IF(G200="Employé",(IF(K200="oui",H200,"non")),"non")</f>
        <v>non</v>
      </c>
      <c r="N200" s="204">
        <f t="shared" ref="N200:N213" ca="1" si="119">IF(G200="Employé",(IF(L200="oui",(H200*(($G$3+365)-D200+1)/365),0)))</f>
        <v>1576.1808219178083</v>
      </c>
      <c r="O200" s="204" t="str">
        <f t="shared" ref="O200:O213" si="120">IF(G200="Cadre",(IF(K200="oui",F200,0)),"non")</f>
        <v>non</v>
      </c>
      <c r="P200" s="6" t="b">
        <f t="shared" ref="P200:P213" si="121">IF(G200="Cadre",(IF(L200="oui",((((($G$3+365)-D200+1)*F200)/365)),0)))</f>
        <v>0</v>
      </c>
      <c r="Q200" s="6">
        <f t="shared" ref="Q200:Q213" si="122">IF(O200="non",0,O200*2)</f>
        <v>0</v>
      </c>
      <c r="R200" s="6">
        <f t="shared" ref="R200:R213" si="123">IF(ISERROR(P200),0,P200*2)</f>
        <v>0</v>
      </c>
      <c r="T200" s="205" t="s">
        <v>188</v>
      </c>
      <c r="U200">
        <f t="shared" ref="U200:U213" ca="1" si="124">TODAY()-D200</f>
        <v>0</v>
      </c>
      <c r="V200">
        <f t="shared" ref="V200:V213" ca="1" si="125">IF(G200="Employé",IF(U200&gt;9125,3,IF(U200&gt;7300,2,IF(U200&gt;5475,1,))))</f>
        <v>0</v>
      </c>
      <c r="W200" t="b">
        <f t="shared" ref="W200:W213" si="126">IF(G200="Cadre",IF(U200&gt;3650,2,IF(U200&gt;1825,1,)))</f>
        <v>0</v>
      </c>
      <c r="X200" s="6" t="str">
        <f t="shared" ref="X200:X213" si="127">IF(G200="Employé",IF(E200&lt;$G$5,E200,"non"),"non")</f>
        <v>non</v>
      </c>
      <c r="Y200">
        <f t="shared" ref="Y200:Y213" ca="1" si="128">IF(AND(G200="Employé",N200=0),M200,N200)</f>
        <v>1576.1808219178083</v>
      </c>
      <c r="Z200" t="b">
        <f t="shared" ref="Z200:Z213" si="129">IF(AND(G200="Cadre",P200=0),O200,P200)</f>
        <v>0</v>
      </c>
      <c r="AA200" s="206">
        <f t="shared" ca="1" si="73"/>
        <v>1747.8246575342466</v>
      </c>
      <c r="AB200">
        <f t="shared" ca="1" si="78"/>
        <v>0</v>
      </c>
      <c r="AC200">
        <f t="shared" ca="1" si="79"/>
        <v>29.424657534246577</v>
      </c>
      <c r="AD200">
        <f t="shared" ca="1" si="80"/>
        <v>1747.8246575342466</v>
      </c>
      <c r="AE200">
        <f t="shared" si="74"/>
        <v>0</v>
      </c>
      <c r="AF200">
        <f t="shared" ca="1" si="76"/>
        <v>0</v>
      </c>
      <c r="AG200">
        <f t="shared" si="75"/>
        <v>0</v>
      </c>
      <c r="AH200">
        <f t="shared" si="77"/>
        <v>0</v>
      </c>
      <c r="AK200" s="205">
        <v>0</v>
      </c>
      <c r="AL200">
        <v>0</v>
      </c>
      <c r="AQ200">
        <v>0</v>
      </c>
      <c r="AR200">
        <v>0</v>
      </c>
      <c r="AS200">
        <v>0</v>
      </c>
    </row>
    <row r="201" spans="2:45" x14ac:dyDescent="0.25">
      <c r="B201" s="17">
        <v>49999999</v>
      </c>
      <c r="C201" s="2" t="s">
        <v>380</v>
      </c>
      <c r="D201" s="254">
        <f t="shared" ca="1" si="113"/>
        <v>46181</v>
      </c>
      <c r="E201">
        <v>35</v>
      </c>
      <c r="G201" t="s">
        <v>273</v>
      </c>
      <c r="H201" s="203">
        <f t="shared" si="114"/>
        <v>1607</v>
      </c>
      <c r="I201" s="6">
        <f t="shared" si="115"/>
        <v>0</v>
      </c>
      <c r="J201" s="200">
        <f>'Synthèse Horaires'!$C$5</f>
        <v>46023</v>
      </c>
      <c r="K201" s="6" t="str">
        <f t="shared" ca="1" si="116"/>
        <v>non</v>
      </c>
      <c r="L201" s="6" t="str">
        <f t="shared" ca="1" si="117"/>
        <v>oui</v>
      </c>
      <c r="M201" s="204" t="str">
        <f t="shared" ca="1" si="118"/>
        <v>non</v>
      </c>
      <c r="N201" s="204">
        <f t="shared" ca="1" si="119"/>
        <v>1576.1808219178083</v>
      </c>
      <c r="O201" s="204" t="str">
        <f t="shared" si="120"/>
        <v>non</v>
      </c>
      <c r="P201" s="6" t="b">
        <f t="shared" si="121"/>
        <v>0</v>
      </c>
      <c r="Q201" s="6">
        <f t="shared" si="122"/>
        <v>0</v>
      </c>
      <c r="R201" s="6">
        <f t="shared" si="123"/>
        <v>0</v>
      </c>
      <c r="T201" s="205" t="s">
        <v>189</v>
      </c>
      <c r="U201">
        <f t="shared" ca="1" si="124"/>
        <v>0</v>
      </c>
      <c r="V201">
        <f t="shared" ca="1" si="125"/>
        <v>0</v>
      </c>
      <c r="W201" t="b">
        <f t="shared" si="126"/>
        <v>0</v>
      </c>
      <c r="X201" s="6" t="str">
        <f t="shared" si="127"/>
        <v>non</v>
      </c>
      <c r="Y201">
        <f t="shared" ca="1" si="128"/>
        <v>1576.1808219178083</v>
      </c>
      <c r="Z201" t="b">
        <f t="shared" si="129"/>
        <v>0</v>
      </c>
      <c r="AA201" s="206">
        <f t="shared" ca="1" si="73"/>
        <v>1747.8246575342466</v>
      </c>
      <c r="AB201">
        <f t="shared" ca="1" si="78"/>
        <v>0</v>
      </c>
      <c r="AC201">
        <f t="shared" ca="1" si="79"/>
        <v>29.424657534246577</v>
      </c>
      <c r="AD201">
        <f t="shared" ca="1" si="80"/>
        <v>1747.8246575342466</v>
      </c>
      <c r="AE201">
        <f t="shared" si="74"/>
        <v>0</v>
      </c>
      <c r="AF201">
        <f t="shared" ca="1" si="76"/>
        <v>0</v>
      </c>
      <c r="AG201">
        <f t="shared" si="75"/>
        <v>0</v>
      </c>
      <c r="AH201">
        <f t="shared" si="77"/>
        <v>0</v>
      </c>
      <c r="AK201" s="205">
        <v>0</v>
      </c>
      <c r="AL201">
        <v>0</v>
      </c>
      <c r="AQ201">
        <v>0</v>
      </c>
      <c r="AR201">
        <v>0</v>
      </c>
      <c r="AS201">
        <v>0</v>
      </c>
    </row>
    <row r="202" spans="2:45" x14ac:dyDescent="0.25">
      <c r="B202" s="17">
        <v>59999999</v>
      </c>
      <c r="C202" s="2" t="s">
        <v>381</v>
      </c>
      <c r="D202" s="254">
        <f t="shared" ca="1" si="113"/>
        <v>46181</v>
      </c>
      <c r="E202">
        <v>35</v>
      </c>
      <c r="G202" t="s">
        <v>273</v>
      </c>
      <c r="H202" s="203">
        <f t="shared" si="114"/>
        <v>1607</v>
      </c>
      <c r="I202" s="6">
        <f t="shared" si="115"/>
        <v>0</v>
      </c>
      <c r="J202" s="200">
        <f>'Synthèse Horaires'!$C$5</f>
        <v>46023</v>
      </c>
      <c r="K202" s="6" t="str">
        <f t="shared" ca="1" si="116"/>
        <v>non</v>
      </c>
      <c r="L202" s="6" t="str">
        <f t="shared" ca="1" si="117"/>
        <v>oui</v>
      </c>
      <c r="M202" s="204" t="str">
        <f t="shared" ca="1" si="118"/>
        <v>non</v>
      </c>
      <c r="N202" s="204">
        <f t="shared" ca="1" si="119"/>
        <v>1576.1808219178083</v>
      </c>
      <c r="O202" s="204" t="str">
        <f t="shared" si="120"/>
        <v>non</v>
      </c>
      <c r="P202" s="6" t="b">
        <f t="shared" si="121"/>
        <v>0</v>
      </c>
      <c r="Q202" s="6">
        <f t="shared" si="122"/>
        <v>0</v>
      </c>
      <c r="R202" s="6">
        <f t="shared" si="123"/>
        <v>0</v>
      </c>
      <c r="T202" s="205" t="s">
        <v>197</v>
      </c>
      <c r="U202">
        <f t="shared" ca="1" si="124"/>
        <v>0</v>
      </c>
      <c r="V202">
        <f t="shared" ca="1" si="125"/>
        <v>0</v>
      </c>
      <c r="W202" t="b">
        <f t="shared" si="126"/>
        <v>0</v>
      </c>
      <c r="X202" s="6" t="str">
        <f t="shared" si="127"/>
        <v>non</v>
      </c>
      <c r="Y202">
        <f t="shared" ca="1" si="128"/>
        <v>1576.1808219178083</v>
      </c>
      <c r="Z202" t="b">
        <f t="shared" si="129"/>
        <v>0</v>
      </c>
      <c r="AA202" s="206">
        <f t="shared" ca="1" si="73"/>
        <v>1747.8246575342466</v>
      </c>
      <c r="AB202">
        <f t="shared" ca="1" si="78"/>
        <v>0</v>
      </c>
      <c r="AC202">
        <f t="shared" ca="1" si="79"/>
        <v>29.424657534246577</v>
      </c>
      <c r="AD202">
        <f t="shared" ca="1" si="80"/>
        <v>1747.8246575342466</v>
      </c>
      <c r="AE202">
        <f t="shared" si="74"/>
        <v>0</v>
      </c>
      <c r="AF202">
        <f t="shared" ca="1" si="76"/>
        <v>0</v>
      </c>
      <c r="AG202">
        <f t="shared" si="75"/>
        <v>0</v>
      </c>
      <c r="AH202">
        <f t="shared" si="77"/>
        <v>0</v>
      </c>
      <c r="AK202" s="205">
        <v>0</v>
      </c>
      <c r="AL202">
        <v>0</v>
      </c>
      <c r="AQ202">
        <v>0</v>
      </c>
      <c r="AR202">
        <v>0</v>
      </c>
      <c r="AS202">
        <v>0</v>
      </c>
    </row>
    <row r="203" spans="2:45" x14ac:dyDescent="0.25">
      <c r="B203" s="17">
        <v>69999999</v>
      </c>
      <c r="C203" s="2" t="s">
        <v>382</v>
      </c>
      <c r="D203" s="254">
        <f t="shared" ca="1" si="113"/>
        <v>46181</v>
      </c>
      <c r="E203">
        <v>35</v>
      </c>
      <c r="G203" t="s">
        <v>273</v>
      </c>
      <c r="H203" s="203">
        <f t="shared" si="114"/>
        <v>1607</v>
      </c>
      <c r="I203" s="6">
        <f t="shared" si="115"/>
        <v>0</v>
      </c>
      <c r="J203" s="200">
        <f>'Synthèse Horaires'!$C$5</f>
        <v>46023</v>
      </c>
      <c r="K203" s="6" t="str">
        <f t="shared" ca="1" si="116"/>
        <v>non</v>
      </c>
      <c r="L203" s="6" t="str">
        <f t="shared" ca="1" si="117"/>
        <v>oui</v>
      </c>
      <c r="M203" s="204" t="str">
        <f t="shared" ca="1" si="118"/>
        <v>non</v>
      </c>
      <c r="N203" s="204">
        <f t="shared" ca="1" si="119"/>
        <v>1576.1808219178083</v>
      </c>
      <c r="O203" s="204" t="str">
        <f t="shared" si="120"/>
        <v>non</v>
      </c>
      <c r="P203" s="6" t="b">
        <f t="shared" si="121"/>
        <v>0</v>
      </c>
      <c r="Q203" s="6">
        <f t="shared" si="122"/>
        <v>0</v>
      </c>
      <c r="R203" s="6">
        <f t="shared" si="123"/>
        <v>0</v>
      </c>
      <c r="T203" s="205" t="s">
        <v>194</v>
      </c>
      <c r="U203">
        <f t="shared" ca="1" si="124"/>
        <v>0</v>
      </c>
      <c r="V203">
        <f t="shared" ca="1" si="125"/>
        <v>0</v>
      </c>
      <c r="W203" t="b">
        <f t="shared" si="126"/>
        <v>0</v>
      </c>
      <c r="X203" s="6" t="str">
        <f t="shared" si="127"/>
        <v>non</v>
      </c>
      <c r="Y203">
        <f t="shared" ca="1" si="128"/>
        <v>1576.1808219178083</v>
      </c>
      <c r="Z203" t="b">
        <f t="shared" si="129"/>
        <v>0</v>
      </c>
      <c r="AA203" s="206">
        <f t="shared" ca="1" si="73"/>
        <v>1747.8246575342466</v>
      </c>
      <c r="AB203">
        <f t="shared" ca="1" si="78"/>
        <v>0</v>
      </c>
      <c r="AC203">
        <f t="shared" ca="1" si="79"/>
        <v>29.424657534246577</v>
      </c>
      <c r="AD203">
        <f t="shared" ca="1" si="80"/>
        <v>1747.8246575342466</v>
      </c>
      <c r="AE203">
        <f t="shared" si="74"/>
        <v>0</v>
      </c>
      <c r="AF203">
        <f t="shared" ca="1" si="76"/>
        <v>0</v>
      </c>
      <c r="AG203">
        <f t="shared" si="75"/>
        <v>0</v>
      </c>
      <c r="AH203">
        <f t="shared" si="77"/>
        <v>0</v>
      </c>
      <c r="AK203" s="205">
        <v>0</v>
      </c>
      <c r="AL203">
        <v>0</v>
      </c>
      <c r="AQ203">
        <v>0</v>
      </c>
      <c r="AR203">
        <v>0</v>
      </c>
      <c r="AS203">
        <v>0</v>
      </c>
    </row>
    <row r="204" spans="2:45" x14ac:dyDescent="0.25">
      <c r="B204" s="17">
        <v>79999999</v>
      </c>
      <c r="C204" s="2" t="s">
        <v>383</v>
      </c>
      <c r="D204" s="254">
        <f t="shared" ca="1" si="113"/>
        <v>46181</v>
      </c>
      <c r="E204">
        <v>35</v>
      </c>
      <c r="G204" t="s">
        <v>273</v>
      </c>
      <c r="H204" s="203">
        <f t="shared" si="114"/>
        <v>1607</v>
      </c>
      <c r="I204" s="6">
        <f t="shared" si="115"/>
        <v>0</v>
      </c>
      <c r="J204" s="200">
        <f>'Synthèse Horaires'!$C$5</f>
        <v>46023</v>
      </c>
      <c r="K204" s="6" t="str">
        <f t="shared" ca="1" si="116"/>
        <v>non</v>
      </c>
      <c r="L204" s="6" t="str">
        <f t="shared" ca="1" si="117"/>
        <v>oui</v>
      </c>
      <c r="M204" s="204" t="str">
        <f t="shared" ca="1" si="118"/>
        <v>non</v>
      </c>
      <c r="N204" s="204">
        <f t="shared" ca="1" si="119"/>
        <v>1576.1808219178083</v>
      </c>
      <c r="O204" s="204" t="str">
        <f t="shared" si="120"/>
        <v>non</v>
      </c>
      <c r="P204" s="6" t="b">
        <f t="shared" si="121"/>
        <v>0</v>
      </c>
      <c r="Q204" s="6">
        <f t="shared" si="122"/>
        <v>0</v>
      </c>
      <c r="R204" s="6">
        <f t="shared" si="123"/>
        <v>0</v>
      </c>
      <c r="T204" s="205" t="s">
        <v>199</v>
      </c>
      <c r="U204">
        <f t="shared" ca="1" si="124"/>
        <v>0</v>
      </c>
      <c r="V204">
        <f t="shared" ca="1" si="125"/>
        <v>0</v>
      </c>
      <c r="W204" t="b">
        <f t="shared" si="126"/>
        <v>0</v>
      </c>
      <c r="X204" s="6" t="str">
        <f t="shared" si="127"/>
        <v>non</v>
      </c>
      <c r="Y204">
        <f t="shared" ca="1" si="128"/>
        <v>1576.1808219178083</v>
      </c>
      <c r="Z204" t="b">
        <f t="shared" si="129"/>
        <v>0</v>
      </c>
      <c r="AA204" s="206">
        <f t="shared" ca="1" si="73"/>
        <v>1747.8246575342466</v>
      </c>
      <c r="AB204">
        <f t="shared" ca="1" si="78"/>
        <v>0</v>
      </c>
      <c r="AC204">
        <f t="shared" ca="1" si="79"/>
        <v>29.424657534246577</v>
      </c>
      <c r="AD204">
        <f t="shared" ca="1" si="80"/>
        <v>1747.8246575342466</v>
      </c>
      <c r="AE204">
        <f t="shared" si="74"/>
        <v>0</v>
      </c>
      <c r="AF204">
        <f t="shared" ca="1" si="76"/>
        <v>0</v>
      </c>
      <c r="AG204">
        <f t="shared" si="75"/>
        <v>0</v>
      </c>
      <c r="AH204">
        <f t="shared" si="77"/>
        <v>0</v>
      </c>
      <c r="AK204" s="205">
        <v>0</v>
      </c>
      <c r="AL204">
        <v>0</v>
      </c>
      <c r="AQ204">
        <v>0</v>
      </c>
      <c r="AR204">
        <v>0</v>
      </c>
      <c r="AS204">
        <v>0</v>
      </c>
    </row>
    <row r="205" spans="2:45" x14ac:dyDescent="0.25">
      <c r="B205" s="17">
        <v>89999999</v>
      </c>
      <c r="C205" s="2" t="s">
        <v>384</v>
      </c>
      <c r="D205" s="254">
        <f t="shared" ca="1" si="113"/>
        <v>46181</v>
      </c>
      <c r="E205">
        <v>35</v>
      </c>
      <c r="G205" t="s">
        <v>273</v>
      </c>
      <c r="H205" s="203">
        <f t="shared" si="114"/>
        <v>1607</v>
      </c>
      <c r="I205" s="6">
        <f t="shared" si="115"/>
        <v>0</v>
      </c>
      <c r="J205" s="200">
        <f>'Synthèse Horaires'!$C$5</f>
        <v>46023</v>
      </c>
      <c r="K205" s="6" t="str">
        <f t="shared" ca="1" si="116"/>
        <v>non</v>
      </c>
      <c r="L205" s="6" t="str">
        <f t="shared" ca="1" si="117"/>
        <v>oui</v>
      </c>
      <c r="M205" s="204" t="str">
        <f t="shared" ca="1" si="118"/>
        <v>non</v>
      </c>
      <c r="N205" s="204">
        <f t="shared" ca="1" si="119"/>
        <v>1576.1808219178083</v>
      </c>
      <c r="O205" s="204" t="str">
        <f t="shared" si="120"/>
        <v>non</v>
      </c>
      <c r="P205" s="6" t="b">
        <f t="shared" si="121"/>
        <v>0</v>
      </c>
      <c r="Q205" s="6">
        <f t="shared" si="122"/>
        <v>0</v>
      </c>
      <c r="R205" s="6">
        <f t="shared" si="123"/>
        <v>0</v>
      </c>
      <c r="T205" s="205" t="s">
        <v>192</v>
      </c>
      <c r="U205">
        <f t="shared" ca="1" si="124"/>
        <v>0</v>
      </c>
      <c r="V205">
        <f t="shared" ca="1" si="125"/>
        <v>0</v>
      </c>
      <c r="W205" t="b">
        <f t="shared" si="126"/>
        <v>0</v>
      </c>
      <c r="X205" s="6" t="str">
        <f t="shared" si="127"/>
        <v>non</v>
      </c>
      <c r="Y205">
        <f t="shared" ca="1" si="128"/>
        <v>1576.1808219178083</v>
      </c>
      <c r="Z205" t="b">
        <f t="shared" si="129"/>
        <v>0</v>
      </c>
      <c r="AA205" s="206">
        <f t="shared" ca="1" si="73"/>
        <v>1747.8246575342466</v>
      </c>
      <c r="AB205">
        <f t="shared" ca="1" si="78"/>
        <v>0</v>
      </c>
      <c r="AC205">
        <f t="shared" ca="1" si="79"/>
        <v>29.424657534246577</v>
      </c>
      <c r="AD205">
        <f t="shared" ca="1" si="80"/>
        <v>1747.8246575342466</v>
      </c>
      <c r="AE205">
        <f t="shared" si="74"/>
        <v>0</v>
      </c>
      <c r="AF205">
        <f t="shared" ca="1" si="76"/>
        <v>0</v>
      </c>
      <c r="AG205">
        <f t="shared" si="75"/>
        <v>0</v>
      </c>
      <c r="AH205">
        <f t="shared" si="77"/>
        <v>0</v>
      </c>
      <c r="AK205" s="205">
        <v>0</v>
      </c>
      <c r="AL205">
        <v>0</v>
      </c>
      <c r="AQ205">
        <v>0</v>
      </c>
      <c r="AR205">
        <v>0</v>
      </c>
      <c r="AS205">
        <v>0</v>
      </c>
    </row>
    <row r="206" spans="2:45" x14ac:dyDescent="0.25">
      <c r="B206" s="17">
        <v>99999999</v>
      </c>
      <c r="C206" s="2" t="s">
        <v>385</v>
      </c>
      <c r="D206" s="254">
        <f t="shared" ca="1" si="113"/>
        <v>46181</v>
      </c>
      <c r="E206">
        <v>35</v>
      </c>
      <c r="G206" t="s">
        <v>273</v>
      </c>
      <c r="H206" s="203">
        <f t="shared" si="114"/>
        <v>1607</v>
      </c>
      <c r="I206" s="6">
        <f t="shared" si="115"/>
        <v>0</v>
      </c>
      <c r="J206" s="200">
        <f>'Synthèse Horaires'!$C$5</f>
        <v>46023</v>
      </c>
      <c r="K206" s="6" t="str">
        <f t="shared" ca="1" si="116"/>
        <v>non</v>
      </c>
      <c r="L206" s="6" t="str">
        <f t="shared" ca="1" si="117"/>
        <v>oui</v>
      </c>
      <c r="M206" s="204" t="str">
        <f t="shared" ca="1" si="118"/>
        <v>non</v>
      </c>
      <c r="N206" s="204">
        <f t="shared" ca="1" si="119"/>
        <v>1576.1808219178083</v>
      </c>
      <c r="O206" s="204" t="str">
        <f t="shared" si="120"/>
        <v>non</v>
      </c>
      <c r="P206" s="6" t="b">
        <f t="shared" si="121"/>
        <v>0</v>
      </c>
      <c r="Q206" s="6">
        <f t="shared" si="122"/>
        <v>0</v>
      </c>
      <c r="R206" s="6">
        <f t="shared" si="123"/>
        <v>0</v>
      </c>
      <c r="T206" s="205" t="s">
        <v>198</v>
      </c>
      <c r="U206">
        <f t="shared" ca="1" si="124"/>
        <v>0</v>
      </c>
      <c r="V206">
        <f t="shared" ca="1" si="125"/>
        <v>0</v>
      </c>
      <c r="W206" t="b">
        <f t="shared" si="126"/>
        <v>0</v>
      </c>
      <c r="X206" s="6" t="str">
        <f t="shared" si="127"/>
        <v>non</v>
      </c>
      <c r="Y206">
        <f t="shared" ca="1" si="128"/>
        <v>1576.1808219178083</v>
      </c>
      <c r="Z206" t="b">
        <f t="shared" si="129"/>
        <v>0</v>
      </c>
      <c r="AA206" s="206">
        <f t="shared" ref="AA206:AA245" ca="1" si="130">(IF(Y206=FALSE(),(Z206+AB206),(AD206)))+AF206+AH206+AI206</f>
        <v>1747.8246575342466</v>
      </c>
      <c r="AB206">
        <f t="shared" ca="1" si="78"/>
        <v>0</v>
      </c>
      <c r="AC206">
        <f t="shared" ca="1" si="79"/>
        <v>29.424657534246577</v>
      </c>
      <c r="AD206">
        <f t="shared" ca="1" si="80"/>
        <v>1747.8246575342466</v>
      </c>
      <c r="AE206">
        <f t="shared" ref="AE206:AE269" si="131">IFERROR(((VLOOKUP(B206,AQ:AS,2,0)-30)*-1),0)</f>
        <v>0</v>
      </c>
      <c r="AF206">
        <f t="shared" ca="1" si="76"/>
        <v>0</v>
      </c>
      <c r="AG206">
        <f t="shared" ref="AG206:AG269" si="132">IFERROR(((VLOOKUP(B206,AQ:AS,2,0)-30)*-1),0)</f>
        <v>0</v>
      </c>
      <c r="AH206">
        <f t="shared" si="77"/>
        <v>0</v>
      </c>
      <c r="AK206" s="205">
        <v>0</v>
      </c>
      <c r="AL206">
        <v>0</v>
      </c>
      <c r="AQ206">
        <v>0</v>
      </c>
      <c r="AR206">
        <v>0</v>
      </c>
      <c r="AS206">
        <v>0</v>
      </c>
    </row>
    <row r="207" spans="2:45" x14ac:dyDescent="0.25">
      <c r="B207" s="17">
        <v>109999999</v>
      </c>
      <c r="C207" s="2" t="s">
        <v>386</v>
      </c>
      <c r="D207" s="254">
        <f t="shared" ca="1" si="113"/>
        <v>46181</v>
      </c>
      <c r="E207">
        <v>35</v>
      </c>
      <c r="G207" t="s">
        <v>273</v>
      </c>
      <c r="H207" s="203">
        <f t="shared" si="114"/>
        <v>1607</v>
      </c>
      <c r="I207" s="6">
        <f t="shared" si="115"/>
        <v>0</v>
      </c>
      <c r="J207" s="200">
        <f>'Synthèse Horaires'!$C$5</f>
        <v>46023</v>
      </c>
      <c r="K207" s="6" t="str">
        <f t="shared" ca="1" si="116"/>
        <v>non</v>
      </c>
      <c r="L207" s="6" t="str">
        <f t="shared" ca="1" si="117"/>
        <v>oui</v>
      </c>
      <c r="M207" s="204" t="str">
        <f t="shared" ca="1" si="118"/>
        <v>non</v>
      </c>
      <c r="N207" s="204">
        <f t="shared" ca="1" si="119"/>
        <v>1576.1808219178083</v>
      </c>
      <c r="O207" s="204" t="str">
        <f t="shared" si="120"/>
        <v>non</v>
      </c>
      <c r="P207" s="6" t="b">
        <f t="shared" si="121"/>
        <v>0</v>
      </c>
      <c r="Q207" s="6">
        <f t="shared" si="122"/>
        <v>0</v>
      </c>
      <c r="R207" s="6">
        <f t="shared" si="123"/>
        <v>0</v>
      </c>
      <c r="T207" s="205" t="s">
        <v>193</v>
      </c>
      <c r="U207">
        <f t="shared" ca="1" si="124"/>
        <v>0</v>
      </c>
      <c r="V207">
        <f t="shared" ca="1" si="125"/>
        <v>0</v>
      </c>
      <c r="W207" t="b">
        <f t="shared" si="126"/>
        <v>0</v>
      </c>
      <c r="X207" s="6" t="str">
        <f t="shared" si="127"/>
        <v>non</v>
      </c>
      <c r="Y207">
        <f t="shared" ca="1" si="128"/>
        <v>1576.1808219178083</v>
      </c>
      <c r="Z207" t="b">
        <f t="shared" si="129"/>
        <v>0</v>
      </c>
      <c r="AA207" s="206">
        <f t="shared" ca="1" si="130"/>
        <v>1747.8246575342466</v>
      </c>
      <c r="AB207">
        <f t="shared" ca="1" si="78"/>
        <v>0</v>
      </c>
      <c r="AC207">
        <f t="shared" ca="1" si="79"/>
        <v>29.424657534246577</v>
      </c>
      <c r="AD207">
        <f t="shared" ca="1" si="80"/>
        <v>1747.8246575342466</v>
      </c>
      <c r="AE207">
        <f t="shared" si="131"/>
        <v>0</v>
      </c>
      <c r="AF207">
        <f t="shared" ca="1" si="76"/>
        <v>0</v>
      </c>
      <c r="AG207">
        <f t="shared" si="132"/>
        <v>0</v>
      </c>
      <c r="AH207">
        <f t="shared" si="77"/>
        <v>0</v>
      </c>
      <c r="AK207" s="205">
        <v>0</v>
      </c>
      <c r="AL207">
        <v>0</v>
      </c>
      <c r="AQ207">
        <v>0</v>
      </c>
      <c r="AR207">
        <v>0</v>
      </c>
      <c r="AS207">
        <v>0</v>
      </c>
    </row>
    <row r="208" spans="2:45" x14ac:dyDescent="0.25">
      <c r="B208" s="17">
        <v>119999999</v>
      </c>
      <c r="C208" s="2" t="s">
        <v>387</v>
      </c>
      <c r="D208" s="254">
        <f t="shared" ca="1" si="113"/>
        <v>46181</v>
      </c>
      <c r="E208">
        <v>35</v>
      </c>
      <c r="G208" t="s">
        <v>273</v>
      </c>
      <c r="H208" s="203">
        <f t="shared" si="114"/>
        <v>1607</v>
      </c>
      <c r="I208" s="6">
        <f t="shared" si="115"/>
        <v>0</v>
      </c>
      <c r="J208" s="200">
        <f>'Synthèse Horaires'!$C$5</f>
        <v>46023</v>
      </c>
      <c r="K208" s="6" t="str">
        <f t="shared" ca="1" si="116"/>
        <v>non</v>
      </c>
      <c r="L208" s="6" t="str">
        <f t="shared" ca="1" si="117"/>
        <v>oui</v>
      </c>
      <c r="M208" s="204" t="str">
        <f t="shared" ca="1" si="118"/>
        <v>non</v>
      </c>
      <c r="N208" s="204">
        <f t="shared" ca="1" si="119"/>
        <v>1576.1808219178083</v>
      </c>
      <c r="O208" s="204" t="str">
        <f t="shared" si="120"/>
        <v>non</v>
      </c>
      <c r="P208" s="6" t="b">
        <f t="shared" si="121"/>
        <v>0</v>
      </c>
      <c r="Q208" s="6">
        <f t="shared" si="122"/>
        <v>0</v>
      </c>
      <c r="R208" s="6">
        <f t="shared" si="123"/>
        <v>0</v>
      </c>
      <c r="T208" s="205" t="s">
        <v>190</v>
      </c>
      <c r="U208">
        <f t="shared" ca="1" si="124"/>
        <v>0</v>
      </c>
      <c r="V208">
        <f t="shared" ca="1" si="125"/>
        <v>0</v>
      </c>
      <c r="W208" t="b">
        <f t="shared" si="126"/>
        <v>0</v>
      </c>
      <c r="X208" s="6" t="str">
        <f t="shared" si="127"/>
        <v>non</v>
      </c>
      <c r="Y208">
        <f t="shared" ca="1" si="128"/>
        <v>1576.1808219178083</v>
      </c>
      <c r="Z208" t="b">
        <f t="shared" si="129"/>
        <v>0</v>
      </c>
      <c r="AA208" s="206">
        <f t="shared" ca="1" si="130"/>
        <v>1747.8246575342466</v>
      </c>
      <c r="AB208">
        <f t="shared" ca="1" si="78"/>
        <v>0</v>
      </c>
      <c r="AC208">
        <f t="shared" ca="1" si="79"/>
        <v>29.424657534246577</v>
      </c>
      <c r="AD208">
        <f t="shared" ca="1" si="80"/>
        <v>1747.8246575342466</v>
      </c>
      <c r="AE208">
        <f t="shared" si="131"/>
        <v>0</v>
      </c>
      <c r="AF208">
        <f t="shared" ca="1" si="76"/>
        <v>0</v>
      </c>
      <c r="AG208">
        <f t="shared" si="132"/>
        <v>0</v>
      </c>
      <c r="AH208">
        <f t="shared" si="77"/>
        <v>0</v>
      </c>
      <c r="AK208" s="205">
        <v>0</v>
      </c>
      <c r="AL208">
        <v>0</v>
      </c>
      <c r="AQ208">
        <v>0</v>
      </c>
      <c r="AR208">
        <v>0</v>
      </c>
      <c r="AS208">
        <v>0</v>
      </c>
    </row>
    <row r="209" spans="2:45" x14ac:dyDescent="0.25">
      <c r="B209" s="17">
        <v>129999999</v>
      </c>
      <c r="C209" s="2" t="s">
        <v>388</v>
      </c>
      <c r="D209" s="254">
        <f t="shared" ca="1" si="113"/>
        <v>46181</v>
      </c>
      <c r="E209">
        <v>35</v>
      </c>
      <c r="G209" t="s">
        <v>273</v>
      </c>
      <c r="H209" s="203">
        <f t="shared" si="114"/>
        <v>1607</v>
      </c>
      <c r="I209" s="6">
        <f t="shared" si="115"/>
        <v>0</v>
      </c>
      <c r="J209" s="200">
        <f>'Synthèse Horaires'!$C$5</f>
        <v>46023</v>
      </c>
      <c r="K209" s="6" t="str">
        <f t="shared" ca="1" si="116"/>
        <v>non</v>
      </c>
      <c r="L209" s="6" t="str">
        <f t="shared" ca="1" si="117"/>
        <v>oui</v>
      </c>
      <c r="M209" s="204" t="str">
        <f t="shared" ca="1" si="118"/>
        <v>non</v>
      </c>
      <c r="N209" s="204">
        <f t="shared" ca="1" si="119"/>
        <v>1576.1808219178083</v>
      </c>
      <c r="O209" s="204" t="str">
        <f t="shared" si="120"/>
        <v>non</v>
      </c>
      <c r="P209" s="6" t="b">
        <f t="shared" si="121"/>
        <v>0</v>
      </c>
      <c r="Q209" s="6">
        <f t="shared" si="122"/>
        <v>0</v>
      </c>
      <c r="R209" s="6">
        <f t="shared" si="123"/>
        <v>0</v>
      </c>
      <c r="T209" s="205" t="s">
        <v>195</v>
      </c>
      <c r="U209">
        <f t="shared" ca="1" si="124"/>
        <v>0</v>
      </c>
      <c r="V209">
        <f t="shared" ca="1" si="125"/>
        <v>0</v>
      </c>
      <c r="W209" t="b">
        <f t="shared" si="126"/>
        <v>0</v>
      </c>
      <c r="X209" s="6" t="str">
        <f t="shared" si="127"/>
        <v>non</v>
      </c>
      <c r="Y209">
        <f t="shared" ca="1" si="128"/>
        <v>1576.1808219178083</v>
      </c>
      <c r="Z209" t="b">
        <f t="shared" si="129"/>
        <v>0</v>
      </c>
      <c r="AA209" s="206">
        <f t="shared" ca="1" si="130"/>
        <v>1747.8246575342466</v>
      </c>
      <c r="AB209">
        <f t="shared" ca="1" si="78"/>
        <v>0</v>
      </c>
      <c r="AC209">
        <f t="shared" ca="1" si="79"/>
        <v>29.424657534246577</v>
      </c>
      <c r="AD209">
        <f t="shared" ca="1" si="80"/>
        <v>1747.8246575342466</v>
      </c>
      <c r="AE209">
        <f t="shared" si="131"/>
        <v>0</v>
      </c>
      <c r="AF209">
        <f t="shared" ca="1" si="76"/>
        <v>0</v>
      </c>
      <c r="AG209">
        <f t="shared" si="132"/>
        <v>0</v>
      </c>
      <c r="AH209">
        <f t="shared" si="77"/>
        <v>0</v>
      </c>
      <c r="AK209" s="205">
        <v>0</v>
      </c>
      <c r="AL209">
        <v>0</v>
      </c>
      <c r="AQ209">
        <v>0</v>
      </c>
      <c r="AR209">
        <v>0</v>
      </c>
      <c r="AS209">
        <v>0</v>
      </c>
    </row>
    <row r="210" spans="2:45" x14ac:dyDescent="0.25">
      <c r="B210" s="17">
        <v>139999999</v>
      </c>
      <c r="C210" s="2" t="s">
        <v>389</v>
      </c>
      <c r="D210" s="254">
        <f t="shared" ca="1" si="113"/>
        <v>46181</v>
      </c>
      <c r="E210">
        <v>35</v>
      </c>
      <c r="G210" t="s">
        <v>273</v>
      </c>
      <c r="H210" s="203">
        <f t="shared" si="114"/>
        <v>1607</v>
      </c>
      <c r="I210" s="6">
        <f t="shared" si="115"/>
        <v>0</v>
      </c>
      <c r="J210" s="200">
        <f>'Synthèse Horaires'!$C$5</f>
        <v>46023</v>
      </c>
      <c r="K210" s="6" t="str">
        <f t="shared" ca="1" si="116"/>
        <v>non</v>
      </c>
      <c r="L210" s="6" t="str">
        <f t="shared" ca="1" si="117"/>
        <v>oui</v>
      </c>
      <c r="M210" s="204" t="str">
        <f t="shared" ca="1" si="118"/>
        <v>non</v>
      </c>
      <c r="N210" s="204">
        <f t="shared" ca="1" si="119"/>
        <v>1576.1808219178083</v>
      </c>
      <c r="O210" s="204" t="str">
        <f t="shared" si="120"/>
        <v>non</v>
      </c>
      <c r="P210" s="6" t="b">
        <f t="shared" si="121"/>
        <v>0</v>
      </c>
      <c r="Q210" s="6">
        <f t="shared" si="122"/>
        <v>0</v>
      </c>
      <c r="R210" s="6">
        <f t="shared" si="123"/>
        <v>0</v>
      </c>
      <c r="T210" s="205" t="s">
        <v>191</v>
      </c>
      <c r="U210">
        <f t="shared" ca="1" si="124"/>
        <v>0</v>
      </c>
      <c r="V210">
        <f t="shared" ca="1" si="125"/>
        <v>0</v>
      </c>
      <c r="W210" t="b">
        <f t="shared" si="126"/>
        <v>0</v>
      </c>
      <c r="X210" s="6" t="str">
        <f t="shared" si="127"/>
        <v>non</v>
      </c>
      <c r="Y210">
        <f t="shared" ca="1" si="128"/>
        <v>1576.1808219178083</v>
      </c>
      <c r="Z210" t="b">
        <f t="shared" si="129"/>
        <v>0</v>
      </c>
      <c r="AA210" s="206">
        <f t="shared" ca="1" si="130"/>
        <v>1747.8246575342466</v>
      </c>
      <c r="AB210">
        <f t="shared" ca="1" si="78"/>
        <v>0</v>
      </c>
      <c r="AC210">
        <f t="shared" ca="1" si="79"/>
        <v>29.424657534246577</v>
      </c>
      <c r="AD210">
        <f t="shared" ca="1" si="80"/>
        <v>1747.8246575342466</v>
      </c>
      <c r="AE210">
        <f t="shared" si="131"/>
        <v>0</v>
      </c>
      <c r="AF210">
        <f t="shared" ca="1" si="76"/>
        <v>0</v>
      </c>
      <c r="AG210">
        <f t="shared" si="132"/>
        <v>0</v>
      </c>
      <c r="AH210">
        <f t="shared" si="77"/>
        <v>0</v>
      </c>
      <c r="AK210" s="205">
        <v>0</v>
      </c>
      <c r="AL210">
        <v>0</v>
      </c>
      <c r="AQ210">
        <v>0</v>
      </c>
      <c r="AR210">
        <v>0</v>
      </c>
      <c r="AS210">
        <v>0</v>
      </c>
    </row>
    <row r="211" spans="2:45" x14ac:dyDescent="0.25">
      <c r="B211" s="17">
        <v>149999999</v>
      </c>
      <c r="C211" s="2" t="s">
        <v>390</v>
      </c>
      <c r="D211" s="254">
        <f t="shared" ca="1" si="113"/>
        <v>46181</v>
      </c>
      <c r="E211">
        <v>35</v>
      </c>
      <c r="G211" t="s">
        <v>273</v>
      </c>
      <c r="H211" s="203">
        <f t="shared" si="114"/>
        <v>1607</v>
      </c>
      <c r="I211" s="6">
        <f t="shared" si="115"/>
        <v>0</v>
      </c>
      <c r="J211" s="200">
        <f>'Synthèse Horaires'!$C$5</f>
        <v>46023</v>
      </c>
      <c r="K211" s="6" t="str">
        <f t="shared" ca="1" si="116"/>
        <v>non</v>
      </c>
      <c r="L211" s="6" t="str">
        <f t="shared" ca="1" si="117"/>
        <v>oui</v>
      </c>
      <c r="M211" s="204" t="str">
        <f t="shared" ca="1" si="118"/>
        <v>non</v>
      </c>
      <c r="N211" s="204">
        <f t="shared" ca="1" si="119"/>
        <v>1576.1808219178083</v>
      </c>
      <c r="O211" s="204" t="str">
        <f t="shared" si="120"/>
        <v>non</v>
      </c>
      <c r="P211" s="6" t="b">
        <f t="shared" si="121"/>
        <v>0</v>
      </c>
      <c r="Q211" s="6">
        <f t="shared" si="122"/>
        <v>0</v>
      </c>
      <c r="R211" s="6">
        <f t="shared" si="123"/>
        <v>0</v>
      </c>
      <c r="T211" s="205" t="s">
        <v>186</v>
      </c>
      <c r="U211">
        <f t="shared" ca="1" si="124"/>
        <v>0</v>
      </c>
      <c r="V211">
        <f t="shared" ca="1" si="125"/>
        <v>0</v>
      </c>
      <c r="W211" t="b">
        <f t="shared" si="126"/>
        <v>0</v>
      </c>
      <c r="X211" s="6" t="str">
        <f t="shared" si="127"/>
        <v>non</v>
      </c>
      <c r="Y211">
        <f t="shared" ca="1" si="128"/>
        <v>1576.1808219178083</v>
      </c>
      <c r="Z211" t="b">
        <f t="shared" si="129"/>
        <v>0</v>
      </c>
      <c r="AA211" s="206">
        <f t="shared" ca="1" si="130"/>
        <v>1747.8246575342466</v>
      </c>
      <c r="AB211">
        <f t="shared" ca="1" si="78"/>
        <v>0</v>
      </c>
      <c r="AC211">
        <f t="shared" ca="1" si="79"/>
        <v>29.424657534246577</v>
      </c>
      <c r="AD211">
        <f t="shared" ca="1" si="80"/>
        <v>1747.8246575342466</v>
      </c>
      <c r="AE211">
        <f t="shared" si="131"/>
        <v>0</v>
      </c>
      <c r="AF211">
        <f t="shared" ca="1" si="76"/>
        <v>0</v>
      </c>
      <c r="AG211">
        <f t="shared" si="132"/>
        <v>0</v>
      </c>
      <c r="AH211">
        <f t="shared" si="77"/>
        <v>0</v>
      </c>
      <c r="AK211" s="205">
        <v>0</v>
      </c>
      <c r="AL211">
        <v>0</v>
      </c>
      <c r="AQ211">
        <v>0</v>
      </c>
      <c r="AR211">
        <v>0</v>
      </c>
      <c r="AS211">
        <v>0</v>
      </c>
    </row>
    <row r="212" spans="2:45" x14ac:dyDescent="0.25">
      <c r="B212" s="17">
        <v>159999999</v>
      </c>
      <c r="C212" s="2" t="s">
        <v>391</v>
      </c>
      <c r="D212" s="254">
        <f t="shared" ca="1" si="113"/>
        <v>46181</v>
      </c>
      <c r="E212">
        <v>35</v>
      </c>
      <c r="G212" t="s">
        <v>273</v>
      </c>
      <c r="H212" s="203">
        <f t="shared" si="114"/>
        <v>1607</v>
      </c>
      <c r="I212" s="6">
        <f t="shared" si="115"/>
        <v>0</v>
      </c>
      <c r="J212" s="200">
        <f>'Synthèse Horaires'!$C$5</f>
        <v>46023</v>
      </c>
      <c r="K212" s="6" t="str">
        <f t="shared" ca="1" si="116"/>
        <v>non</v>
      </c>
      <c r="L212" s="6" t="str">
        <f t="shared" ca="1" si="117"/>
        <v>oui</v>
      </c>
      <c r="M212" s="204" t="str">
        <f t="shared" ca="1" si="118"/>
        <v>non</v>
      </c>
      <c r="N212" s="204">
        <f t="shared" ca="1" si="119"/>
        <v>1576.1808219178083</v>
      </c>
      <c r="O212" s="204" t="str">
        <f t="shared" si="120"/>
        <v>non</v>
      </c>
      <c r="P212" s="6" t="b">
        <f t="shared" si="121"/>
        <v>0</v>
      </c>
      <c r="Q212" s="6">
        <f t="shared" si="122"/>
        <v>0</v>
      </c>
      <c r="R212" s="6">
        <f t="shared" si="123"/>
        <v>0</v>
      </c>
      <c r="T212" s="205" t="s">
        <v>182</v>
      </c>
      <c r="U212">
        <f t="shared" ca="1" si="124"/>
        <v>0</v>
      </c>
      <c r="V212">
        <f t="shared" ca="1" si="125"/>
        <v>0</v>
      </c>
      <c r="W212" t="b">
        <f t="shared" si="126"/>
        <v>0</v>
      </c>
      <c r="X212" s="6" t="str">
        <f t="shared" si="127"/>
        <v>non</v>
      </c>
      <c r="Y212">
        <f t="shared" ca="1" si="128"/>
        <v>1576.1808219178083</v>
      </c>
      <c r="Z212" t="b">
        <f t="shared" si="129"/>
        <v>0</v>
      </c>
      <c r="AA212" s="206">
        <f t="shared" ca="1" si="130"/>
        <v>1747.8246575342466</v>
      </c>
      <c r="AB212">
        <f t="shared" ca="1" si="78"/>
        <v>0</v>
      </c>
      <c r="AC212">
        <f t="shared" ca="1" si="79"/>
        <v>29.424657534246577</v>
      </c>
      <c r="AD212">
        <f t="shared" ca="1" si="80"/>
        <v>1747.8246575342466</v>
      </c>
      <c r="AE212">
        <f t="shared" si="131"/>
        <v>0</v>
      </c>
      <c r="AF212">
        <f t="shared" ca="1" si="76"/>
        <v>0</v>
      </c>
      <c r="AG212">
        <f t="shared" si="132"/>
        <v>0</v>
      </c>
      <c r="AH212">
        <f t="shared" si="77"/>
        <v>0</v>
      </c>
      <c r="AK212" s="205">
        <v>0</v>
      </c>
      <c r="AL212">
        <v>0</v>
      </c>
      <c r="AQ212">
        <v>0</v>
      </c>
      <c r="AR212">
        <v>0</v>
      </c>
      <c r="AS212">
        <v>0</v>
      </c>
    </row>
    <row r="213" spans="2:45" x14ac:dyDescent="0.25">
      <c r="B213" s="17">
        <v>169999999</v>
      </c>
      <c r="C213" s="2" t="s">
        <v>392</v>
      </c>
      <c r="D213" s="254">
        <f t="shared" ca="1" si="113"/>
        <v>46181</v>
      </c>
      <c r="E213">
        <v>35</v>
      </c>
      <c r="G213" t="s">
        <v>273</v>
      </c>
      <c r="H213" s="203">
        <f t="shared" si="114"/>
        <v>1607</v>
      </c>
      <c r="I213" s="6">
        <f t="shared" si="115"/>
        <v>0</v>
      </c>
      <c r="J213" s="200">
        <f>'Synthèse Horaires'!$C$5</f>
        <v>46023</v>
      </c>
      <c r="K213" s="6" t="str">
        <f t="shared" ca="1" si="116"/>
        <v>non</v>
      </c>
      <c r="L213" s="6" t="str">
        <f t="shared" ca="1" si="117"/>
        <v>oui</v>
      </c>
      <c r="M213" s="204" t="str">
        <f t="shared" ca="1" si="118"/>
        <v>non</v>
      </c>
      <c r="N213" s="204">
        <f t="shared" ca="1" si="119"/>
        <v>1576.1808219178083</v>
      </c>
      <c r="O213" s="204" t="str">
        <f t="shared" si="120"/>
        <v>non</v>
      </c>
      <c r="P213" s="6" t="b">
        <f t="shared" si="121"/>
        <v>0</v>
      </c>
      <c r="Q213" s="6">
        <f t="shared" si="122"/>
        <v>0</v>
      </c>
      <c r="R213" s="6">
        <f t="shared" si="123"/>
        <v>0</v>
      </c>
      <c r="T213" s="205" t="s">
        <v>185</v>
      </c>
      <c r="U213">
        <f t="shared" ca="1" si="124"/>
        <v>0</v>
      </c>
      <c r="V213">
        <f t="shared" ca="1" si="125"/>
        <v>0</v>
      </c>
      <c r="W213" t="b">
        <f t="shared" si="126"/>
        <v>0</v>
      </c>
      <c r="X213" s="6" t="str">
        <f t="shared" si="127"/>
        <v>non</v>
      </c>
      <c r="Y213">
        <f t="shared" ca="1" si="128"/>
        <v>1576.1808219178083</v>
      </c>
      <c r="Z213" t="b">
        <f t="shared" si="129"/>
        <v>0</v>
      </c>
      <c r="AA213" s="206">
        <f t="shared" ca="1" si="130"/>
        <v>1747.8246575342466</v>
      </c>
      <c r="AB213">
        <f t="shared" ca="1" si="78"/>
        <v>0</v>
      </c>
      <c r="AC213">
        <f t="shared" ca="1" si="79"/>
        <v>29.424657534246577</v>
      </c>
      <c r="AD213">
        <f t="shared" ca="1" si="80"/>
        <v>1747.8246575342466</v>
      </c>
      <c r="AE213">
        <f t="shared" si="131"/>
        <v>0</v>
      </c>
      <c r="AF213">
        <f t="shared" ca="1" si="76"/>
        <v>0</v>
      </c>
      <c r="AG213">
        <f t="shared" si="132"/>
        <v>0</v>
      </c>
      <c r="AH213">
        <f t="shared" si="77"/>
        <v>0</v>
      </c>
      <c r="AK213" s="205">
        <v>0</v>
      </c>
      <c r="AL213">
        <v>0</v>
      </c>
      <c r="AQ213">
        <v>0</v>
      </c>
      <c r="AR213">
        <v>0</v>
      </c>
      <c r="AS213">
        <v>0</v>
      </c>
    </row>
    <row r="214" spans="2:45" x14ac:dyDescent="0.25">
      <c r="B214" s="17">
        <v>179999999</v>
      </c>
      <c r="C214" s="2" t="s">
        <v>393</v>
      </c>
      <c r="D214" s="254">
        <f t="shared" ca="1" si="113"/>
        <v>46181</v>
      </c>
      <c r="E214">
        <v>35</v>
      </c>
      <c r="G214" t="s">
        <v>273</v>
      </c>
      <c r="H214" s="203">
        <f t="shared" ref="H214:H223" si="133">ROUNDUP((($C$9/5)*E214)+($G$4*(E214/$G$5))+IF(E214=20,$G$10,(IF(E214=25,$G$9,(IF(E214=35,$G$6,IF(E214=39,$G$7,(IF(E214=41,$G$8,($G$6*(E214/$G$5)))))))))),0)</f>
        <v>1607</v>
      </c>
      <c r="I214" s="6">
        <f t="shared" ref="I214:I223" si="134">F214*2</f>
        <v>0</v>
      </c>
      <c r="J214" s="200">
        <f>'Synthèse Horaires'!$C$5</f>
        <v>46023</v>
      </c>
      <c r="K214" s="6" t="str">
        <f t="shared" ref="K214:K223" ca="1" si="135">IF(N(D214)&lt;N($G$3),"oui","non")</f>
        <v>non</v>
      </c>
      <c r="L214" s="6" t="str">
        <f t="shared" ref="L214:L223" ca="1" si="136">IF(N(D214)&gt;N($G$3),"oui","non")</f>
        <v>oui</v>
      </c>
      <c r="M214" s="204" t="str">
        <f t="shared" ref="M214:M223" ca="1" si="137">IF(G214="Employé",(IF(K214="oui",H214,"non")),"non")</f>
        <v>non</v>
      </c>
      <c r="N214" s="204">
        <f t="shared" ref="N214:N223" ca="1" si="138">IF(G214="Employé",(IF(L214="oui",(H214*(($G$3+365)-D214+1)/365),0)))</f>
        <v>1576.1808219178083</v>
      </c>
      <c r="O214" s="204" t="str">
        <f t="shared" ref="O214:O223" si="139">IF(G214="Cadre",(IF(K214="oui",F214,0)),"non")</f>
        <v>non</v>
      </c>
      <c r="P214" s="6" t="b">
        <f t="shared" ref="P214:P223" si="140">IF(G214="Cadre",(IF(L214="oui",((((($G$3+365)-D214+1)*F214)/365)),0)))</f>
        <v>0</v>
      </c>
      <c r="Q214" s="6">
        <f t="shared" ref="Q214:Q223" si="141">IF(O214="non",0,O214*2)</f>
        <v>0</v>
      </c>
      <c r="R214" s="6">
        <f t="shared" ref="R214:R223" si="142">IF(ISERROR(P214),0,P214*2)</f>
        <v>0</v>
      </c>
      <c r="T214" s="205" t="s">
        <v>183</v>
      </c>
      <c r="U214">
        <f t="shared" ref="U214:U223" ca="1" si="143">TODAY()-D214</f>
        <v>0</v>
      </c>
      <c r="V214">
        <f t="shared" ref="V214:V223" ca="1" si="144">IF(G214="Employé",IF(U214&gt;9125,3,IF(U214&gt;7300,2,IF(U214&gt;5475,1,))))</f>
        <v>0</v>
      </c>
      <c r="W214" t="b">
        <f t="shared" ref="W214:W223" si="145">IF(G214="Cadre",IF(U214&gt;3650,2,IF(U214&gt;1825,1,)))</f>
        <v>0</v>
      </c>
      <c r="X214" s="6" t="str">
        <f t="shared" ref="X214:X223" si="146">IF(G214="Employé",IF(E214&lt;$G$5,E214,"non"),"non")</f>
        <v>non</v>
      </c>
      <c r="Y214">
        <f t="shared" ref="Y214:Y223" ca="1" si="147">IF(AND(G214="Employé",N214=0),M214,N214)</f>
        <v>1576.1808219178083</v>
      </c>
      <c r="Z214" t="b">
        <f t="shared" ref="Z214:Z223" si="148">IF(AND(G214="Cadre",P214=0),O214,P214)</f>
        <v>0</v>
      </c>
      <c r="AA214" s="206">
        <f t="shared" ca="1" si="130"/>
        <v>1747.8246575342466</v>
      </c>
      <c r="AB214">
        <f t="shared" ca="1" si="78"/>
        <v>0</v>
      </c>
      <c r="AC214">
        <f t="shared" ca="1" si="79"/>
        <v>29.424657534246577</v>
      </c>
      <c r="AD214">
        <f t="shared" ca="1" si="80"/>
        <v>1747.8246575342466</v>
      </c>
      <c r="AE214">
        <f t="shared" si="131"/>
        <v>0</v>
      </c>
      <c r="AF214">
        <f t="shared" ref="AF214:AF245" ca="1" si="149">IF(AND(G214="Employé",L214="oui"),0,(AE214*(E214/5)))</f>
        <v>0</v>
      </c>
      <c r="AG214">
        <f t="shared" si="132"/>
        <v>0</v>
      </c>
      <c r="AH214">
        <f t="shared" si="77"/>
        <v>0</v>
      </c>
      <c r="AK214" s="205">
        <v>0</v>
      </c>
      <c r="AL214">
        <v>0</v>
      </c>
      <c r="AQ214">
        <v>0</v>
      </c>
      <c r="AR214">
        <v>0</v>
      </c>
      <c r="AS214">
        <v>0</v>
      </c>
    </row>
    <row r="215" spans="2:45" x14ac:dyDescent="0.25">
      <c r="B215" s="17">
        <v>189999999</v>
      </c>
      <c r="C215" s="2" t="s">
        <v>394</v>
      </c>
      <c r="D215" s="254">
        <f t="shared" ca="1" si="113"/>
        <v>46181</v>
      </c>
      <c r="E215">
        <v>35</v>
      </c>
      <c r="G215" t="s">
        <v>273</v>
      </c>
      <c r="H215" s="203">
        <f t="shared" si="133"/>
        <v>1607</v>
      </c>
      <c r="I215" s="6">
        <f t="shared" si="134"/>
        <v>0</v>
      </c>
      <c r="J215" s="200">
        <f>'Synthèse Horaires'!$C$5</f>
        <v>46023</v>
      </c>
      <c r="K215" s="6" t="str">
        <f t="shared" ca="1" si="135"/>
        <v>non</v>
      </c>
      <c r="L215" s="6" t="str">
        <f t="shared" ca="1" si="136"/>
        <v>oui</v>
      </c>
      <c r="M215" s="204" t="str">
        <f t="shared" ca="1" si="137"/>
        <v>non</v>
      </c>
      <c r="N215" s="204">
        <f t="shared" ca="1" si="138"/>
        <v>1576.1808219178083</v>
      </c>
      <c r="O215" s="204" t="str">
        <f t="shared" si="139"/>
        <v>non</v>
      </c>
      <c r="P215" s="6" t="b">
        <f t="shared" si="140"/>
        <v>0</v>
      </c>
      <c r="Q215" s="6">
        <f t="shared" si="141"/>
        <v>0</v>
      </c>
      <c r="R215" s="6">
        <f t="shared" si="142"/>
        <v>0</v>
      </c>
      <c r="T215" s="205" t="s">
        <v>184</v>
      </c>
      <c r="U215">
        <f t="shared" ca="1" si="143"/>
        <v>0</v>
      </c>
      <c r="V215">
        <f t="shared" ca="1" si="144"/>
        <v>0</v>
      </c>
      <c r="W215" t="b">
        <f t="shared" si="145"/>
        <v>0</v>
      </c>
      <c r="X215" s="6" t="str">
        <f t="shared" si="146"/>
        <v>non</v>
      </c>
      <c r="Y215">
        <f t="shared" ca="1" si="147"/>
        <v>1576.1808219178083</v>
      </c>
      <c r="Z215" t="b">
        <f t="shared" si="148"/>
        <v>0</v>
      </c>
      <c r="AA215" s="206">
        <f t="shared" ca="1" si="130"/>
        <v>1747.8246575342466</v>
      </c>
      <c r="AB215">
        <f t="shared" ca="1" si="78"/>
        <v>0</v>
      </c>
      <c r="AC215">
        <f t="shared" ca="1" si="79"/>
        <v>29.424657534246577</v>
      </c>
      <c r="AD215">
        <f t="shared" ca="1" si="80"/>
        <v>1747.8246575342466</v>
      </c>
      <c r="AE215">
        <f t="shared" si="131"/>
        <v>0</v>
      </c>
      <c r="AF215">
        <f t="shared" ca="1" si="149"/>
        <v>0</v>
      </c>
      <c r="AG215">
        <f t="shared" si="132"/>
        <v>0</v>
      </c>
      <c r="AH215">
        <f t="shared" si="77"/>
        <v>0</v>
      </c>
      <c r="AK215" s="205">
        <v>0</v>
      </c>
      <c r="AL215">
        <v>0</v>
      </c>
      <c r="AQ215">
        <v>0</v>
      </c>
      <c r="AR215">
        <v>0</v>
      </c>
      <c r="AS215">
        <v>0</v>
      </c>
    </row>
    <row r="216" spans="2:45" x14ac:dyDescent="0.25">
      <c r="B216" s="17">
        <v>199999999</v>
      </c>
      <c r="C216" s="2" t="s">
        <v>395</v>
      </c>
      <c r="D216" s="254">
        <f t="shared" ca="1" si="113"/>
        <v>46181</v>
      </c>
      <c r="E216">
        <v>35</v>
      </c>
      <c r="G216" t="s">
        <v>273</v>
      </c>
      <c r="H216" s="203">
        <f t="shared" si="133"/>
        <v>1607</v>
      </c>
      <c r="I216" s="6">
        <f t="shared" si="134"/>
        <v>0</v>
      </c>
      <c r="J216" s="200">
        <f>'Synthèse Horaires'!$C$5</f>
        <v>46023</v>
      </c>
      <c r="K216" s="6" t="str">
        <f t="shared" ca="1" si="135"/>
        <v>non</v>
      </c>
      <c r="L216" s="6" t="str">
        <f t="shared" ca="1" si="136"/>
        <v>oui</v>
      </c>
      <c r="M216" s="204" t="str">
        <f t="shared" ca="1" si="137"/>
        <v>non</v>
      </c>
      <c r="N216" s="204">
        <f t="shared" ca="1" si="138"/>
        <v>1576.1808219178083</v>
      </c>
      <c r="O216" s="204" t="str">
        <f t="shared" si="139"/>
        <v>non</v>
      </c>
      <c r="P216" s="6" t="b">
        <f t="shared" si="140"/>
        <v>0</v>
      </c>
      <c r="Q216" s="6">
        <f t="shared" si="141"/>
        <v>0</v>
      </c>
      <c r="R216" s="6">
        <f t="shared" si="142"/>
        <v>0</v>
      </c>
      <c r="T216" s="205" t="s">
        <v>187</v>
      </c>
      <c r="U216">
        <f t="shared" ca="1" si="143"/>
        <v>0</v>
      </c>
      <c r="V216">
        <f t="shared" ca="1" si="144"/>
        <v>0</v>
      </c>
      <c r="W216" t="b">
        <f t="shared" si="145"/>
        <v>0</v>
      </c>
      <c r="X216" s="6" t="str">
        <f t="shared" si="146"/>
        <v>non</v>
      </c>
      <c r="Y216">
        <f t="shared" ca="1" si="147"/>
        <v>1576.1808219178083</v>
      </c>
      <c r="Z216" t="b">
        <f t="shared" si="148"/>
        <v>0</v>
      </c>
      <c r="AA216" s="206">
        <f t="shared" ca="1" si="130"/>
        <v>1747.8246575342466</v>
      </c>
      <c r="AB216">
        <f t="shared" ca="1" si="78"/>
        <v>0</v>
      </c>
      <c r="AC216">
        <f t="shared" ca="1" si="79"/>
        <v>29.424657534246577</v>
      </c>
      <c r="AD216">
        <f t="shared" ca="1" si="80"/>
        <v>1747.8246575342466</v>
      </c>
      <c r="AE216">
        <f t="shared" si="131"/>
        <v>0</v>
      </c>
      <c r="AF216">
        <f t="shared" ca="1" si="149"/>
        <v>0</v>
      </c>
      <c r="AG216">
        <f t="shared" si="132"/>
        <v>0</v>
      </c>
      <c r="AH216">
        <f t="shared" si="77"/>
        <v>0</v>
      </c>
      <c r="AK216" s="205">
        <v>0</v>
      </c>
      <c r="AL216">
        <v>0</v>
      </c>
      <c r="AQ216">
        <v>0</v>
      </c>
      <c r="AR216">
        <v>0</v>
      </c>
      <c r="AS216">
        <v>0</v>
      </c>
    </row>
    <row r="217" spans="2:45" x14ac:dyDescent="0.25">
      <c r="B217" s="17" t="s">
        <v>666</v>
      </c>
      <c r="C217" t="s">
        <v>478</v>
      </c>
      <c r="D217" s="205">
        <v>43770</v>
      </c>
      <c r="E217">
        <v>35</v>
      </c>
      <c r="F217">
        <v>0</v>
      </c>
      <c r="G217" t="s">
        <v>273</v>
      </c>
      <c r="H217" s="203">
        <f t="shared" si="133"/>
        <v>1607</v>
      </c>
      <c r="I217" s="6">
        <f t="shared" si="134"/>
        <v>0</v>
      </c>
      <c r="J217" s="200">
        <f>'Synthèse Horaires'!$C$5</f>
        <v>46023</v>
      </c>
      <c r="K217" s="6" t="str">
        <f t="shared" si="135"/>
        <v>oui</v>
      </c>
      <c r="L217" s="6" t="str">
        <f t="shared" si="136"/>
        <v>non</v>
      </c>
      <c r="M217" s="204">
        <f t="shared" si="137"/>
        <v>1607</v>
      </c>
      <c r="N217" s="204">
        <f t="shared" si="138"/>
        <v>0</v>
      </c>
      <c r="O217" s="204" t="str">
        <f t="shared" si="139"/>
        <v>non</v>
      </c>
      <c r="P217" s="6" t="b">
        <f t="shared" si="140"/>
        <v>0</v>
      </c>
      <c r="Q217" s="6">
        <f t="shared" si="141"/>
        <v>0</v>
      </c>
      <c r="R217" s="6">
        <f t="shared" si="142"/>
        <v>0</v>
      </c>
      <c r="T217" s="205" t="s">
        <v>465</v>
      </c>
      <c r="U217">
        <f t="shared" ca="1" si="143"/>
        <v>2411</v>
      </c>
      <c r="V217">
        <f t="shared" ca="1" si="144"/>
        <v>0</v>
      </c>
      <c r="W217" t="b">
        <f t="shared" si="145"/>
        <v>0</v>
      </c>
      <c r="X217" s="6" t="str">
        <f t="shared" si="146"/>
        <v>non</v>
      </c>
      <c r="Y217">
        <f t="shared" si="147"/>
        <v>1607</v>
      </c>
      <c r="Z217" t="b">
        <f t="shared" si="148"/>
        <v>0</v>
      </c>
      <c r="AA217" s="206">
        <f t="shared" si="130"/>
        <v>1817</v>
      </c>
      <c r="AB217">
        <f t="shared" si="78"/>
        <v>0</v>
      </c>
      <c r="AC217">
        <f t="shared" si="79"/>
        <v>0</v>
      </c>
      <c r="AD217">
        <f t="shared" si="80"/>
        <v>1607</v>
      </c>
      <c r="AE217">
        <f t="shared" si="131"/>
        <v>30</v>
      </c>
      <c r="AF217">
        <f t="shared" si="149"/>
        <v>210</v>
      </c>
      <c r="AG217">
        <f t="shared" si="132"/>
        <v>30</v>
      </c>
      <c r="AH217">
        <f t="shared" si="77"/>
        <v>0</v>
      </c>
      <c r="AK217" s="205">
        <v>34234</v>
      </c>
      <c r="AL217" t="s">
        <v>621</v>
      </c>
      <c r="AQ217">
        <v>0</v>
      </c>
      <c r="AR217">
        <v>0</v>
      </c>
      <c r="AS217">
        <v>0</v>
      </c>
    </row>
    <row r="218" spans="2:45" x14ac:dyDescent="0.25">
      <c r="B218" s="17" t="s">
        <v>666</v>
      </c>
      <c r="C218" t="s">
        <v>511</v>
      </c>
      <c r="D218" s="205">
        <v>43997</v>
      </c>
      <c r="E218">
        <v>35</v>
      </c>
      <c r="F218">
        <v>0</v>
      </c>
      <c r="G218" t="s">
        <v>273</v>
      </c>
      <c r="H218" s="203">
        <f t="shared" si="133"/>
        <v>1607</v>
      </c>
      <c r="I218" s="6">
        <f t="shared" si="134"/>
        <v>0</v>
      </c>
      <c r="J218" s="200">
        <f>'Synthèse Horaires'!$C$5</f>
        <v>46023</v>
      </c>
      <c r="K218" s="6" t="str">
        <f t="shared" si="135"/>
        <v>oui</v>
      </c>
      <c r="L218" s="6" t="str">
        <f t="shared" si="136"/>
        <v>non</v>
      </c>
      <c r="M218" s="204">
        <f t="shared" si="137"/>
        <v>1607</v>
      </c>
      <c r="N218" s="204">
        <f t="shared" si="138"/>
        <v>0</v>
      </c>
      <c r="O218" s="204" t="str">
        <f t="shared" si="139"/>
        <v>non</v>
      </c>
      <c r="P218" s="6" t="b">
        <f t="shared" si="140"/>
        <v>0</v>
      </c>
      <c r="Q218" s="6">
        <f t="shared" si="141"/>
        <v>0</v>
      </c>
      <c r="R218" s="6">
        <f t="shared" si="142"/>
        <v>0</v>
      </c>
      <c r="T218" s="205" t="s">
        <v>465</v>
      </c>
      <c r="U218">
        <f t="shared" ca="1" si="143"/>
        <v>2184</v>
      </c>
      <c r="V218">
        <f t="shared" ca="1" si="144"/>
        <v>0</v>
      </c>
      <c r="W218" t="b">
        <f t="shared" si="145"/>
        <v>0</v>
      </c>
      <c r="X218" s="6" t="str">
        <f t="shared" si="146"/>
        <v>non</v>
      </c>
      <c r="Y218">
        <f t="shared" si="147"/>
        <v>1607</v>
      </c>
      <c r="Z218" t="b">
        <f t="shared" si="148"/>
        <v>0</v>
      </c>
      <c r="AA218" s="206">
        <f t="shared" si="130"/>
        <v>1817</v>
      </c>
      <c r="AB218">
        <f t="shared" si="78"/>
        <v>0</v>
      </c>
      <c r="AC218">
        <f t="shared" si="79"/>
        <v>0</v>
      </c>
      <c r="AD218">
        <f t="shared" si="80"/>
        <v>1607</v>
      </c>
      <c r="AE218">
        <f t="shared" si="131"/>
        <v>30</v>
      </c>
      <c r="AF218">
        <f t="shared" si="149"/>
        <v>210</v>
      </c>
      <c r="AG218">
        <f t="shared" si="132"/>
        <v>30</v>
      </c>
      <c r="AH218">
        <f t="shared" si="77"/>
        <v>0</v>
      </c>
      <c r="AK218" s="205">
        <v>28460</v>
      </c>
      <c r="AL218" t="s">
        <v>512</v>
      </c>
      <c r="AQ218">
        <v>0</v>
      </c>
      <c r="AR218">
        <v>0</v>
      </c>
      <c r="AS218">
        <v>0</v>
      </c>
    </row>
    <row r="219" spans="2:45" x14ac:dyDescent="0.25">
      <c r="B219" s="17" t="s">
        <v>666</v>
      </c>
      <c r="C219" t="s">
        <v>627</v>
      </c>
      <c r="D219" s="205">
        <v>44739</v>
      </c>
      <c r="E219">
        <v>35</v>
      </c>
      <c r="F219">
        <v>0</v>
      </c>
      <c r="G219" t="s">
        <v>273</v>
      </c>
      <c r="H219" s="203">
        <f t="shared" si="133"/>
        <v>1607</v>
      </c>
      <c r="I219" s="6">
        <f t="shared" si="134"/>
        <v>0</v>
      </c>
      <c r="J219" s="200">
        <f>'Synthèse Horaires'!$C$5</f>
        <v>46023</v>
      </c>
      <c r="K219" s="6" t="str">
        <f t="shared" si="135"/>
        <v>oui</v>
      </c>
      <c r="L219" s="6" t="str">
        <f t="shared" si="136"/>
        <v>non</v>
      </c>
      <c r="M219" s="204">
        <f t="shared" si="137"/>
        <v>1607</v>
      </c>
      <c r="N219" s="204">
        <f t="shared" si="138"/>
        <v>0</v>
      </c>
      <c r="O219" s="204" t="str">
        <f t="shared" si="139"/>
        <v>non</v>
      </c>
      <c r="P219" s="6" t="b">
        <f t="shared" si="140"/>
        <v>0</v>
      </c>
      <c r="Q219" s="6">
        <f t="shared" si="141"/>
        <v>0</v>
      </c>
      <c r="R219" s="6">
        <f t="shared" si="142"/>
        <v>0</v>
      </c>
      <c r="T219" s="205" t="s">
        <v>191</v>
      </c>
      <c r="U219">
        <f t="shared" ca="1" si="143"/>
        <v>1442</v>
      </c>
      <c r="V219">
        <f t="shared" ca="1" si="144"/>
        <v>0</v>
      </c>
      <c r="W219" t="b">
        <f t="shared" si="145"/>
        <v>0</v>
      </c>
      <c r="X219" s="6" t="str">
        <f t="shared" si="146"/>
        <v>non</v>
      </c>
      <c r="Y219">
        <f t="shared" si="147"/>
        <v>1607</v>
      </c>
      <c r="Z219" t="b">
        <f t="shared" si="148"/>
        <v>0</v>
      </c>
      <c r="AA219" s="206">
        <f t="shared" si="130"/>
        <v>1817</v>
      </c>
      <c r="AB219">
        <f t="shared" si="78"/>
        <v>0</v>
      </c>
      <c r="AC219">
        <f t="shared" si="79"/>
        <v>0</v>
      </c>
      <c r="AD219">
        <f t="shared" si="80"/>
        <v>1607</v>
      </c>
      <c r="AE219">
        <f t="shared" si="131"/>
        <v>30</v>
      </c>
      <c r="AF219">
        <f t="shared" si="149"/>
        <v>210</v>
      </c>
      <c r="AG219">
        <f t="shared" si="132"/>
        <v>30</v>
      </c>
      <c r="AH219">
        <f t="shared" si="77"/>
        <v>0</v>
      </c>
      <c r="AK219" s="205">
        <v>22735</v>
      </c>
      <c r="AL219" t="s">
        <v>514</v>
      </c>
      <c r="AQ219">
        <v>0</v>
      </c>
      <c r="AR219">
        <v>0</v>
      </c>
      <c r="AS219">
        <v>0</v>
      </c>
    </row>
    <row r="220" spans="2:45" x14ac:dyDescent="0.25">
      <c r="B220" s="17" t="s">
        <v>666</v>
      </c>
      <c r="C220" t="s">
        <v>650</v>
      </c>
      <c r="D220" s="205">
        <v>44824</v>
      </c>
      <c r="E220">
        <v>35</v>
      </c>
      <c r="F220">
        <v>0</v>
      </c>
      <c r="G220" t="s">
        <v>273</v>
      </c>
      <c r="H220" s="203">
        <f t="shared" si="133"/>
        <v>1607</v>
      </c>
      <c r="I220" s="6">
        <f t="shared" si="134"/>
        <v>0</v>
      </c>
      <c r="J220" s="200">
        <f>'Synthèse Horaires'!$C$5</f>
        <v>46023</v>
      </c>
      <c r="K220" s="6" t="str">
        <f t="shared" si="135"/>
        <v>oui</v>
      </c>
      <c r="L220" s="6" t="str">
        <f t="shared" si="136"/>
        <v>non</v>
      </c>
      <c r="M220" s="204">
        <f t="shared" si="137"/>
        <v>1607</v>
      </c>
      <c r="N220" s="204">
        <f t="shared" si="138"/>
        <v>0</v>
      </c>
      <c r="O220" s="204" t="str">
        <f t="shared" si="139"/>
        <v>non</v>
      </c>
      <c r="P220" s="6" t="b">
        <f t="shared" si="140"/>
        <v>0</v>
      </c>
      <c r="Q220" s="6">
        <f t="shared" si="141"/>
        <v>0</v>
      </c>
      <c r="R220" s="6">
        <f t="shared" si="142"/>
        <v>0</v>
      </c>
      <c r="T220" s="205" t="s">
        <v>189</v>
      </c>
      <c r="U220">
        <f t="shared" ca="1" si="143"/>
        <v>1357</v>
      </c>
      <c r="V220">
        <f t="shared" ca="1" si="144"/>
        <v>0</v>
      </c>
      <c r="W220" t="b">
        <f t="shared" si="145"/>
        <v>0</v>
      </c>
      <c r="X220" s="6" t="str">
        <f t="shared" si="146"/>
        <v>non</v>
      </c>
      <c r="Y220">
        <f t="shared" si="147"/>
        <v>1607</v>
      </c>
      <c r="Z220" t="b">
        <f t="shared" si="148"/>
        <v>0</v>
      </c>
      <c r="AA220" s="206">
        <f>(IF(Y220=FALSE(),(Z220+AB220),(AD220)))+AF220+AH220+AI220</f>
        <v>1817</v>
      </c>
      <c r="AB220">
        <f t="shared" si="78"/>
        <v>0</v>
      </c>
      <c r="AC220">
        <f t="shared" si="79"/>
        <v>0</v>
      </c>
      <c r="AD220">
        <f t="shared" si="80"/>
        <v>1607</v>
      </c>
      <c r="AE220">
        <f t="shared" si="131"/>
        <v>30</v>
      </c>
      <c r="AF220">
        <f t="shared" si="149"/>
        <v>210</v>
      </c>
      <c r="AG220">
        <f t="shared" si="132"/>
        <v>30</v>
      </c>
      <c r="AH220">
        <f t="shared" si="77"/>
        <v>0</v>
      </c>
      <c r="AK220" s="205">
        <v>36615</v>
      </c>
      <c r="AL220" t="s">
        <v>651</v>
      </c>
      <c r="AQ220">
        <v>0</v>
      </c>
      <c r="AR220">
        <v>0</v>
      </c>
      <c r="AS220">
        <v>0</v>
      </c>
    </row>
    <row r="221" spans="2:45" x14ac:dyDescent="0.25">
      <c r="B221" s="257" t="s">
        <v>666</v>
      </c>
      <c r="C221" s="5" t="s">
        <v>562</v>
      </c>
      <c r="D221" s="205">
        <v>44417</v>
      </c>
      <c r="E221">
        <v>35</v>
      </c>
      <c r="G221" t="s">
        <v>273</v>
      </c>
      <c r="H221" s="203">
        <f t="shared" si="133"/>
        <v>1607</v>
      </c>
      <c r="I221" s="6">
        <f t="shared" si="134"/>
        <v>0</v>
      </c>
      <c r="J221" s="200">
        <f>'Synthèse Horaires'!$C$5</f>
        <v>46023</v>
      </c>
      <c r="K221" s="6" t="str">
        <f t="shared" si="135"/>
        <v>oui</v>
      </c>
      <c r="L221" s="6" t="str">
        <f t="shared" si="136"/>
        <v>non</v>
      </c>
      <c r="M221" s="204">
        <f t="shared" si="137"/>
        <v>1607</v>
      </c>
      <c r="N221" s="204">
        <f t="shared" si="138"/>
        <v>0</v>
      </c>
      <c r="O221" s="204" t="str">
        <f t="shared" si="139"/>
        <v>non</v>
      </c>
      <c r="P221" s="6" t="b">
        <f t="shared" si="140"/>
        <v>0</v>
      </c>
      <c r="Q221" s="6">
        <f t="shared" si="141"/>
        <v>0</v>
      </c>
      <c r="R221" s="6">
        <f t="shared" si="142"/>
        <v>0</v>
      </c>
      <c r="T221" s="205" t="s">
        <v>199</v>
      </c>
      <c r="U221">
        <f t="shared" ca="1" si="143"/>
        <v>1764</v>
      </c>
      <c r="V221">
        <f t="shared" ca="1" si="144"/>
        <v>0</v>
      </c>
      <c r="W221" t="b">
        <f t="shared" si="145"/>
        <v>0</v>
      </c>
      <c r="X221" s="6" t="str">
        <f t="shared" si="146"/>
        <v>non</v>
      </c>
      <c r="Y221">
        <f t="shared" si="147"/>
        <v>1607</v>
      </c>
      <c r="Z221" t="b">
        <f t="shared" si="148"/>
        <v>0</v>
      </c>
      <c r="AA221" s="206">
        <f t="shared" si="130"/>
        <v>1817</v>
      </c>
      <c r="AB221">
        <f t="shared" si="78"/>
        <v>0</v>
      </c>
      <c r="AC221">
        <f t="shared" si="79"/>
        <v>0</v>
      </c>
      <c r="AD221">
        <f t="shared" si="80"/>
        <v>1607</v>
      </c>
      <c r="AE221">
        <f t="shared" si="131"/>
        <v>30</v>
      </c>
      <c r="AF221">
        <f t="shared" si="149"/>
        <v>210</v>
      </c>
      <c r="AG221">
        <f t="shared" si="132"/>
        <v>30</v>
      </c>
      <c r="AH221">
        <f t="shared" si="77"/>
        <v>0</v>
      </c>
      <c r="AK221" s="205">
        <v>36019</v>
      </c>
      <c r="AL221" t="s">
        <v>506</v>
      </c>
      <c r="AQ221">
        <v>0</v>
      </c>
      <c r="AR221">
        <v>0</v>
      </c>
      <c r="AS221">
        <v>0</v>
      </c>
    </row>
    <row r="222" spans="2:45" x14ac:dyDescent="0.25">
      <c r="B222" s="17" t="s">
        <v>666</v>
      </c>
      <c r="C222" t="s">
        <v>628</v>
      </c>
      <c r="D222" s="205">
        <v>44746</v>
      </c>
      <c r="E222">
        <v>35</v>
      </c>
      <c r="F222">
        <v>0</v>
      </c>
      <c r="G222" t="s">
        <v>273</v>
      </c>
      <c r="H222" s="203">
        <f t="shared" si="133"/>
        <v>1607</v>
      </c>
      <c r="I222" s="6">
        <f t="shared" si="134"/>
        <v>0</v>
      </c>
      <c r="J222" s="200">
        <f>'Synthèse Horaires'!$C$5</f>
        <v>46023</v>
      </c>
      <c r="K222" s="6" t="str">
        <f t="shared" si="135"/>
        <v>oui</v>
      </c>
      <c r="L222" s="6" t="str">
        <f t="shared" si="136"/>
        <v>non</v>
      </c>
      <c r="M222" s="204">
        <f t="shared" si="137"/>
        <v>1607</v>
      </c>
      <c r="N222" s="204">
        <f t="shared" si="138"/>
        <v>0</v>
      </c>
      <c r="O222" s="204" t="str">
        <f t="shared" si="139"/>
        <v>non</v>
      </c>
      <c r="P222" s="6" t="b">
        <f t="shared" si="140"/>
        <v>0</v>
      </c>
      <c r="Q222" s="6">
        <f t="shared" si="141"/>
        <v>0</v>
      </c>
      <c r="R222" s="6">
        <f t="shared" si="142"/>
        <v>0</v>
      </c>
      <c r="T222" s="205" t="s">
        <v>474</v>
      </c>
      <c r="U222">
        <f t="shared" ca="1" si="143"/>
        <v>1435</v>
      </c>
      <c r="V222">
        <f t="shared" ca="1" si="144"/>
        <v>0</v>
      </c>
      <c r="W222" t="b">
        <f t="shared" si="145"/>
        <v>0</v>
      </c>
      <c r="X222" s="6" t="str">
        <f t="shared" si="146"/>
        <v>non</v>
      </c>
      <c r="Y222">
        <f t="shared" si="147"/>
        <v>1607</v>
      </c>
      <c r="Z222" t="b">
        <f t="shared" si="148"/>
        <v>0</v>
      </c>
      <c r="AA222" s="206">
        <f t="shared" si="130"/>
        <v>1817</v>
      </c>
      <c r="AB222">
        <f t="shared" si="78"/>
        <v>0</v>
      </c>
      <c r="AC222">
        <f t="shared" si="79"/>
        <v>0</v>
      </c>
      <c r="AD222">
        <f t="shared" si="80"/>
        <v>1607</v>
      </c>
      <c r="AE222">
        <f t="shared" si="131"/>
        <v>30</v>
      </c>
      <c r="AF222">
        <f t="shared" si="149"/>
        <v>210</v>
      </c>
      <c r="AG222">
        <f t="shared" si="132"/>
        <v>30</v>
      </c>
      <c r="AH222">
        <f t="shared" si="77"/>
        <v>0</v>
      </c>
      <c r="AK222" s="205">
        <v>37692</v>
      </c>
      <c r="AL222" t="s">
        <v>508</v>
      </c>
      <c r="AQ222">
        <v>0</v>
      </c>
      <c r="AR222">
        <v>0</v>
      </c>
      <c r="AS222">
        <v>0</v>
      </c>
    </row>
    <row r="223" spans="2:45" x14ac:dyDescent="0.25">
      <c r="B223" s="278" t="s">
        <v>666</v>
      </c>
      <c r="C223" s="279" t="s">
        <v>725</v>
      </c>
      <c r="D223" s="205">
        <v>45537</v>
      </c>
      <c r="E223">
        <v>35</v>
      </c>
      <c r="F223">
        <v>0</v>
      </c>
      <c r="G223" t="s">
        <v>273</v>
      </c>
      <c r="H223" s="203">
        <f t="shared" si="133"/>
        <v>1607</v>
      </c>
      <c r="I223" s="6">
        <f t="shared" si="134"/>
        <v>0</v>
      </c>
      <c r="J223" s="200">
        <f>'Synthèse Horaires'!$C$5</f>
        <v>46023</v>
      </c>
      <c r="K223" s="6" t="str">
        <f t="shared" si="135"/>
        <v>oui</v>
      </c>
      <c r="L223" s="6" t="str">
        <f t="shared" si="136"/>
        <v>non</v>
      </c>
      <c r="M223" s="204">
        <f t="shared" si="137"/>
        <v>1607</v>
      </c>
      <c r="N223" s="204">
        <f t="shared" si="138"/>
        <v>0</v>
      </c>
      <c r="O223" s="204" t="str">
        <f t="shared" si="139"/>
        <v>non</v>
      </c>
      <c r="P223" s="6" t="b">
        <f t="shared" si="140"/>
        <v>0</v>
      </c>
      <c r="Q223" s="6">
        <f t="shared" si="141"/>
        <v>0</v>
      </c>
      <c r="R223" s="6">
        <f t="shared" si="142"/>
        <v>0</v>
      </c>
      <c r="T223" s="205" t="s">
        <v>465</v>
      </c>
      <c r="U223">
        <f t="shared" ca="1" si="143"/>
        <v>644</v>
      </c>
      <c r="V223">
        <f t="shared" ca="1" si="144"/>
        <v>0</v>
      </c>
      <c r="W223" t="b">
        <f t="shared" si="145"/>
        <v>0</v>
      </c>
      <c r="X223" s="6" t="str">
        <f t="shared" si="146"/>
        <v>non</v>
      </c>
      <c r="Y223">
        <f t="shared" si="147"/>
        <v>1607</v>
      </c>
      <c r="Z223" t="b">
        <f t="shared" si="148"/>
        <v>0</v>
      </c>
      <c r="AA223" s="206">
        <f t="shared" si="130"/>
        <v>1817</v>
      </c>
      <c r="AB223">
        <f t="shared" si="78"/>
        <v>0</v>
      </c>
      <c r="AC223">
        <f t="shared" si="79"/>
        <v>0</v>
      </c>
      <c r="AD223">
        <f t="shared" si="80"/>
        <v>1607</v>
      </c>
      <c r="AE223">
        <f t="shared" si="131"/>
        <v>30</v>
      </c>
      <c r="AF223">
        <f t="shared" si="149"/>
        <v>210</v>
      </c>
      <c r="AG223">
        <f t="shared" si="132"/>
        <v>30</v>
      </c>
      <c r="AH223">
        <f t="shared" si="77"/>
        <v>0</v>
      </c>
      <c r="AK223" s="205">
        <v>34597</v>
      </c>
      <c r="AL223" t="s">
        <v>506</v>
      </c>
      <c r="AQ223">
        <v>0</v>
      </c>
      <c r="AR223">
        <v>0</v>
      </c>
      <c r="AS223">
        <v>0</v>
      </c>
    </row>
    <row r="224" spans="2:45" x14ac:dyDescent="0.25">
      <c r="B224" s="17" t="s">
        <v>666</v>
      </c>
      <c r="C224" t="s">
        <v>652</v>
      </c>
      <c r="D224" s="205">
        <v>44839</v>
      </c>
      <c r="E224">
        <v>24</v>
      </c>
      <c r="F224">
        <v>0</v>
      </c>
      <c r="G224" t="s">
        <v>273</v>
      </c>
      <c r="H224" s="203">
        <f t="shared" ref="H224:H245" si="150">ROUNDUP((($C$9/5)*E224)+($G$4*(E224/$G$5))+IF(E224=20,$G$10,(IF(E224=25,$G$9,(IF(E224=35,$G$6,IF(E224=39,$G$7,(IF(E224=41,$G$8,($G$6*(E224/$G$5)))))))))),0)</f>
        <v>1102</v>
      </c>
      <c r="I224" s="6">
        <f t="shared" ref="I224:I245" si="151">F224*2</f>
        <v>0</v>
      </c>
      <c r="J224" s="200">
        <f>'Synthèse Horaires'!$C$5</f>
        <v>46023</v>
      </c>
      <c r="K224" s="6" t="str">
        <f t="shared" ref="K224:K245" si="152">IF(N(D224)&lt;N($G$3),"oui","non")</f>
        <v>oui</v>
      </c>
      <c r="L224" s="6" t="str">
        <f t="shared" ref="L224:L245" si="153">IF(N(D224)&gt;N($G$3),"oui","non")</f>
        <v>non</v>
      </c>
      <c r="M224" s="204">
        <f t="shared" ref="M224:M245" si="154">IF(G224="Employé",(IF(K224="oui",H224,"non")),"non")</f>
        <v>1102</v>
      </c>
      <c r="N224" s="204">
        <f t="shared" ref="N224:N245" si="155">IF(G224="Employé",(IF(L224="oui",(H224*(($G$3+365)-D224+1)/365),0)))</f>
        <v>0</v>
      </c>
      <c r="O224" s="204" t="str">
        <f t="shared" ref="O224:O245" si="156">IF(G224="Cadre",(IF(K224="oui",F224,0)),"non")</f>
        <v>non</v>
      </c>
      <c r="P224" s="6" t="b">
        <f t="shared" ref="P224:P245" si="157">IF(G224="Cadre",(IF(L224="oui",((((($G$3+365)-D224+1)*F224)/365)),0)))</f>
        <v>0</v>
      </c>
      <c r="Q224" s="6">
        <f t="shared" ref="Q224:Q245" si="158">IF(O224="non",0,O224*2)</f>
        <v>0</v>
      </c>
      <c r="R224" s="6">
        <f t="shared" ref="R224:R245" si="159">IF(ISERROR(P224),0,P224*2)</f>
        <v>0</v>
      </c>
      <c r="S224" t="s">
        <v>341</v>
      </c>
      <c r="T224" s="205" t="s">
        <v>194</v>
      </c>
      <c r="U224">
        <f t="shared" ref="U224:U245" ca="1" si="160">TODAY()-D224</f>
        <v>1342</v>
      </c>
      <c r="V224">
        <f t="shared" ref="V224:V245" ca="1" si="161">IF(G224="Employé",IF(U224&gt;9125,3,IF(U224&gt;7300,2,IF(U224&gt;5475,1,))))</f>
        <v>0</v>
      </c>
      <c r="W224" t="b">
        <f t="shared" ref="W224:W245" si="162">IF(G224="Cadre",IF(U224&gt;3650,2,IF(U224&gt;1825,1,)))</f>
        <v>0</v>
      </c>
      <c r="X224" s="6">
        <f t="shared" ref="X224:X245" si="163">IF(G224="Employé",IF(E224&lt;$G$5,E224,"non"),"non")</f>
        <v>24</v>
      </c>
      <c r="Y224">
        <f t="shared" ref="Y224:Y245" si="164">IF(AND(G224="Employé",N224=0),M224,N224)</f>
        <v>1102</v>
      </c>
      <c r="Z224" t="b">
        <f t="shared" ref="Z224:Z245" si="165">IF(AND(G224="Cadre",P224=0),O224,P224)</f>
        <v>0</v>
      </c>
      <c r="AA224" s="206">
        <f t="shared" si="130"/>
        <v>1246</v>
      </c>
      <c r="AB224">
        <f t="shared" si="78"/>
        <v>0</v>
      </c>
      <c r="AC224">
        <f t="shared" si="79"/>
        <v>0</v>
      </c>
      <c r="AD224">
        <f t="shared" si="80"/>
        <v>1102</v>
      </c>
      <c r="AE224">
        <f t="shared" si="131"/>
        <v>30</v>
      </c>
      <c r="AF224">
        <f t="shared" si="149"/>
        <v>144</v>
      </c>
      <c r="AG224">
        <f t="shared" si="132"/>
        <v>30</v>
      </c>
      <c r="AH224">
        <f t="shared" si="77"/>
        <v>0</v>
      </c>
      <c r="AK224" s="205">
        <v>44670</v>
      </c>
      <c r="AL224" t="s">
        <v>514</v>
      </c>
      <c r="AQ224">
        <v>0</v>
      </c>
      <c r="AR224">
        <v>0</v>
      </c>
      <c r="AS224">
        <v>0</v>
      </c>
    </row>
    <row r="225" spans="2:45" x14ac:dyDescent="0.25">
      <c r="B225" s="17" t="s">
        <v>666</v>
      </c>
      <c r="C225" t="s">
        <v>653</v>
      </c>
      <c r="D225" s="205">
        <v>44837</v>
      </c>
      <c r="E225">
        <v>35</v>
      </c>
      <c r="F225">
        <v>0</v>
      </c>
      <c r="G225" t="s">
        <v>273</v>
      </c>
      <c r="H225" s="203">
        <f t="shared" si="150"/>
        <v>1607</v>
      </c>
      <c r="I225" s="6">
        <f t="shared" si="151"/>
        <v>0</v>
      </c>
      <c r="J225" s="200">
        <f>'Synthèse Horaires'!$C$5</f>
        <v>46023</v>
      </c>
      <c r="K225" s="6" t="str">
        <f t="shared" si="152"/>
        <v>oui</v>
      </c>
      <c r="L225" s="6" t="str">
        <f t="shared" si="153"/>
        <v>non</v>
      </c>
      <c r="M225" s="204">
        <f t="shared" si="154"/>
        <v>1607</v>
      </c>
      <c r="N225" s="204">
        <f t="shared" si="155"/>
        <v>0</v>
      </c>
      <c r="O225" s="204" t="str">
        <f t="shared" si="156"/>
        <v>non</v>
      </c>
      <c r="P225" s="6" t="b">
        <f t="shared" si="157"/>
        <v>0</v>
      </c>
      <c r="Q225" s="6">
        <f t="shared" si="158"/>
        <v>0</v>
      </c>
      <c r="R225" s="6">
        <f t="shared" si="159"/>
        <v>0</v>
      </c>
      <c r="T225" s="205" t="s">
        <v>190</v>
      </c>
      <c r="U225">
        <f t="shared" ca="1" si="160"/>
        <v>1344</v>
      </c>
      <c r="V225">
        <f t="shared" ca="1" si="161"/>
        <v>0</v>
      </c>
      <c r="W225" t="b">
        <f t="shared" si="162"/>
        <v>0</v>
      </c>
      <c r="X225" s="6" t="str">
        <f t="shared" si="163"/>
        <v>non</v>
      </c>
      <c r="Y225">
        <f t="shared" si="164"/>
        <v>1607</v>
      </c>
      <c r="Z225" t="b">
        <f t="shared" si="165"/>
        <v>0</v>
      </c>
      <c r="AA225" s="206">
        <f t="shared" si="130"/>
        <v>1817</v>
      </c>
      <c r="AB225">
        <f t="shared" si="78"/>
        <v>0</v>
      </c>
      <c r="AC225">
        <f t="shared" si="79"/>
        <v>0</v>
      </c>
      <c r="AD225">
        <f t="shared" si="80"/>
        <v>1607</v>
      </c>
      <c r="AE225">
        <f t="shared" si="131"/>
        <v>30</v>
      </c>
      <c r="AF225">
        <f t="shared" si="149"/>
        <v>210</v>
      </c>
      <c r="AG225">
        <f t="shared" si="132"/>
        <v>30</v>
      </c>
      <c r="AH225">
        <f t="shared" si="77"/>
        <v>0</v>
      </c>
      <c r="AK225" s="205">
        <v>37214</v>
      </c>
      <c r="AL225" t="s">
        <v>506</v>
      </c>
      <c r="AQ225">
        <v>0</v>
      </c>
      <c r="AR225">
        <v>0</v>
      </c>
      <c r="AS225">
        <v>0</v>
      </c>
    </row>
    <row r="226" spans="2:45" x14ac:dyDescent="0.25">
      <c r="B226" s="17" t="s">
        <v>666</v>
      </c>
      <c r="C226" t="s">
        <v>654</v>
      </c>
      <c r="D226" s="205">
        <v>44835</v>
      </c>
      <c r="E226">
        <v>35</v>
      </c>
      <c r="F226">
        <v>0</v>
      </c>
      <c r="G226" t="s">
        <v>273</v>
      </c>
      <c r="H226" s="203">
        <f t="shared" si="150"/>
        <v>1607</v>
      </c>
      <c r="I226" s="6">
        <f t="shared" si="151"/>
        <v>0</v>
      </c>
      <c r="J226" s="200">
        <f>'Synthèse Horaires'!$C$5</f>
        <v>46023</v>
      </c>
      <c r="K226" s="6" t="str">
        <f t="shared" si="152"/>
        <v>oui</v>
      </c>
      <c r="L226" s="6" t="str">
        <f t="shared" si="153"/>
        <v>non</v>
      </c>
      <c r="M226" s="204">
        <f t="shared" si="154"/>
        <v>1607</v>
      </c>
      <c r="N226" s="204">
        <f t="shared" si="155"/>
        <v>0</v>
      </c>
      <c r="O226" s="204" t="str">
        <f t="shared" si="156"/>
        <v>non</v>
      </c>
      <c r="P226" s="6" t="b">
        <f t="shared" si="157"/>
        <v>0</v>
      </c>
      <c r="Q226" s="6">
        <f t="shared" si="158"/>
        <v>0</v>
      </c>
      <c r="R226" s="6">
        <f t="shared" si="159"/>
        <v>0</v>
      </c>
      <c r="T226" s="205" t="s">
        <v>195</v>
      </c>
      <c r="U226">
        <f t="shared" ca="1" si="160"/>
        <v>1346</v>
      </c>
      <c r="V226">
        <f t="shared" ca="1" si="161"/>
        <v>0</v>
      </c>
      <c r="W226" t="b">
        <f t="shared" si="162"/>
        <v>0</v>
      </c>
      <c r="X226" s="6" t="str">
        <f t="shared" si="163"/>
        <v>non</v>
      </c>
      <c r="Y226">
        <f t="shared" si="164"/>
        <v>1607</v>
      </c>
      <c r="Z226" t="b">
        <f t="shared" si="165"/>
        <v>0</v>
      </c>
      <c r="AA226" s="206">
        <f t="shared" si="130"/>
        <v>1817</v>
      </c>
      <c r="AB226">
        <f t="shared" si="78"/>
        <v>0</v>
      </c>
      <c r="AC226">
        <f t="shared" si="79"/>
        <v>0</v>
      </c>
      <c r="AD226">
        <f t="shared" si="80"/>
        <v>1607</v>
      </c>
      <c r="AE226">
        <f t="shared" si="131"/>
        <v>30</v>
      </c>
      <c r="AF226">
        <f t="shared" si="149"/>
        <v>210</v>
      </c>
      <c r="AG226">
        <f t="shared" si="132"/>
        <v>30</v>
      </c>
      <c r="AH226">
        <f t="shared" si="77"/>
        <v>0</v>
      </c>
      <c r="AK226" s="205">
        <v>36358</v>
      </c>
      <c r="AL226" t="s">
        <v>509</v>
      </c>
      <c r="AQ226">
        <v>0</v>
      </c>
      <c r="AR226">
        <v>0</v>
      </c>
      <c r="AS226">
        <v>0</v>
      </c>
    </row>
    <row r="227" spans="2:45" x14ac:dyDescent="0.25">
      <c r="B227" s="17" t="s">
        <v>666</v>
      </c>
      <c r="C227" t="s">
        <v>655</v>
      </c>
      <c r="D227" s="205">
        <v>44823</v>
      </c>
      <c r="E227">
        <v>35</v>
      </c>
      <c r="F227">
        <v>0</v>
      </c>
      <c r="G227" t="s">
        <v>273</v>
      </c>
      <c r="H227" s="203">
        <f t="shared" si="150"/>
        <v>1607</v>
      </c>
      <c r="I227" s="6">
        <f t="shared" si="151"/>
        <v>0</v>
      </c>
      <c r="J227" s="200">
        <f>'Synthèse Horaires'!$C$5</f>
        <v>46023</v>
      </c>
      <c r="K227" s="6" t="str">
        <f t="shared" si="152"/>
        <v>oui</v>
      </c>
      <c r="L227" s="6" t="str">
        <f t="shared" si="153"/>
        <v>non</v>
      </c>
      <c r="M227" s="204">
        <f t="shared" si="154"/>
        <v>1607</v>
      </c>
      <c r="N227" s="204">
        <f t="shared" si="155"/>
        <v>0</v>
      </c>
      <c r="O227" s="204" t="str">
        <f t="shared" si="156"/>
        <v>non</v>
      </c>
      <c r="P227" s="6" t="b">
        <f t="shared" si="157"/>
        <v>0</v>
      </c>
      <c r="Q227" s="6">
        <f t="shared" si="158"/>
        <v>0</v>
      </c>
      <c r="R227" s="6">
        <f t="shared" si="159"/>
        <v>0</v>
      </c>
      <c r="T227" s="205" t="s">
        <v>606</v>
      </c>
      <c r="U227">
        <f t="shared" ca="1" si="160"/>
        <v>1358</v>
      </c>
      <c r="V227">
        <f t="shared" ca="1" si="161"/>
        <v>0</v>
      </c>
      <c r="W227" t="b">
        <f t="shared" si="162"/>
        <v>0</v>
      </c>
      <c r="X227" s="6" t="str">
        <f t="shared" si="163"/>
        <v>non</v>
      </c>
      <c r="Y227">
        <f t="shared" si="164"/>
        <v>1607</v>
      </c>
      <c r="Z227" t="b">
        <f t="shared" si="165"/>
        <v>0</v>
      </c>
      <c r="AA227" s="206">
        <f t="shared" si="130"/>
        <v>1817</v>
      </c>
      <c r="AB227">
        <f t="shared" si="78"/>
        <v>0</v>
      </c>
      <c r="AC227">
        <f t="shared" si="79"/>
        <v>0</v>
      </c>
      <c r="AD227">
        <f t="shared" si="80"/>
        <v>1607</v>
      </c>
      <c r="AE227">
        <f t="shared" si="131"/>
        <v>30</v>
      </c>
      <c r="AF227">
        <f t="shared" si="149"/>
        <v>210</v>
      </c>
      <c r="AG227">
        <f t="shared" si="132"/>
        <v>30</v>
      </c>
      <c r="AH227">
        <f t="shared" si="77"/>
        <v>0</v>
      </c>
      <c r="AK227" s="205">
        <v>35171</v>
      </c>
      <c r="AL227" t="s">
        <v>506</v>
      </c>
      <c r="AQ227">
        <v>0</v>
      </c>
      <c r="AR227">
        <v>0</v>
      </c>
      <c r="AS227">
        <v>0</v>
      </c>
    </row>
    <row r="228" spans="2:45" x14ac:dyDescent="0.25">
      <c r="B228" s="286" t="s">
        <v>666</v>
      </c>
      <c r="C228" s="269" t="s">
        <v>656</v>
      </c>
      <c r="D228" s="205">
        <v>44830</v>
      </c>
      <c r="E228">
        <v>35</v>
      </c>
      <c r="F228">
        <v>0</v>
      </c>
      <c r="G228" t="s">
        <v>273</v>
      </c>
      <c r="H228" s="203">
        <f t="shared" si="150"/>
        <v>1607</v>
      </c>
      <c r="I228" s="6">
        <f t="shared" si="151"/>
        <v>0</v>
      </c>
      <c r="J228" s="200">
        <f>'Synthèse Horaires'!$C$5</f>
        <v>46023</v>
      </c>
      <c r="K228" s="6" t="str">
        <f t="shared" si="152"/>
        <v>oui</v>
      </c>
      <c r="L228" s="6" t="str">
        <f t="shared" si="153"/>
        <v>non</v>
      </c>
      <c r="M228" s="204">
        <f t="shared" si="154"/>
        <v>1607</v>
      </c>
      <c r="N228" s="204">
        <f t="shared" si="155"/>
        <v>0</v>
      </c>
      <c r="O228" s="204" t="str">
        <f t="shared" si="156"/>
        <v>non</v>
      </c>
      <c r="P228" s="6" t="b">
        <f t="shared" si="157"/>
        <v>0</v>
      </c>
      <c r="Q228" s="6">
        <f t="shared" si="158"/>
        <v>0</v>
      </c>
      <c r="R228" s="6">
        <f t="shared" si="159"/>
        <v>0</v>
      </c>
      <c r="T228" s="205" t="s">
        <v>606</v>
      </c>
      <c r="U228">
        <f t="shared" ca="1" si="160"/>
        <v>1351</v>
      </c>
      <c r="V228">
        <f t="shared" ca="1" si="161"/>
        <v>0</v>
      </c>
      <c r="W228" t="b">
        <f t="shared" si="162"/>
        <v>0</v>
      </c>
      <c r="X228" s="6" t="str">
        <f t="shared" si="163"/>
        <v>non</v>
      </c>
      <c r="Y228">
        <f t="shared" si="164"/>
        <v>1607</v>
      </c>
      <c r="Z228" t="b">
        <f t="shared" si="165"/>
        <v>0</v>
      </c>
      <c r="AA228" s="206">
        <f t="shared" si="130"/>
        <v>1817</v>
      </c>
      <c r="AB228">
        <f t="shared" si="78"/>
        <v>0</v>
      </c>
      <c r="AC228">
        <f t="shared" si="79"/>
        <v>0</v>
      </c>
      <c r="AD228">
        <f t="shared" si="80"/>
        <v>1607</v>
      </c>
      <c r="AE228">
        <f t="shared" si="131"/>
        <v>30</v>
      </c>
      <c r="AF228">
        <f t="shared" si="149"/>
        <v>210</v>
      </c>
      <c r="AG228">
        <f t="shared" si="132"/>
        <v>30</v>
      </c>
      <c r="AH228">
        <f t="shared" si="77"/>
        <v>0</v>
      </c>
      <c r="AK228" s="205">
        <v>33702</v>
      </c>
      <c r="AL228" t="s">
        <v>657</v>
      </c>
      <c r="AQ228">
        <v>0</v>
      </c>
      <c r="AR228">
        <v>0</v>
      </c>
      <c r="AS228">
        <v>0</v>
      </c>
    </row>
    <row r="229" spans="2:45" x14ac:dyDescent="0.25">
      <c r="B229" s="17" t="s">
        <v>666</v>
      </c>
      <c r="C229" t="s">
        <v>658</v>
      </c>
      <c r="D229" s="205">
        <v>44851</v>
      </c>
      <c r="E229">
        <v>39</v>
      </c>
      <c r="F229">
        <v>0</v>
      </c>
      <c r="G229" t="s">
        <v>273</v>
      </c>
      <c r="H229" s="203">
        <f t="shared" si="150"/>
        <v>1787</v>
      </c>
      <c r="I229" s="6">
        <f t="shared" si="151"/>
        <v>0</v>
      </c>
      <c r="J229" s="200">
        <f>'Synthèse Horaires'!$C$5</f>
        <v>46023</v>
      </c>
      <c r="K229" s="6" t="str">
        <f t="shared" si="152"/>
        <v>oui</v>
      </c>
      <c r="L229" s="6" t="str">
        <f t="shared" si="153"/>
        <v>non</v>
      </c>
      <c r="M229" s="204">
        <f t="shared" si="154"/>
        <v>1787</v>
      </c>
      <c r="N229" s="204">
        <f t="shared" si="155"/>
        <v>0</v>
      </c>
      <c r="O229" s="204" t="str">
        <f t="shared" si="156"/>
        <v>non</v>
      </c>
      <c r="P229" s="6" t="b">
        <f t="shared" si="157"/>
        <v>0</v>
      </c>
      <c r="Q229" s="6">
        <f t="shared" si="158"/>
        <v>0</v>
      </c>
      <c r="R229" s="6">
        <f t="shared" si="159"/>
        <v>0</v>
      </c>
      <c r="T229" s="205" t="s">
        <v>465</v>
      </c>
      <c r="U229">
        <f t="shared" ca="1" si="160"/>
        <v>1330</v>
      </c>
      <c r="V229">
        <f t="shared" ca="1" si="161"/>
        <v>0</v>
      </c>
      <c r="W229" t="b">
        <f t="shared" si="162"/>
        <v>0</v>
      </c>
      <c r="X229" s="6" t="str">
        <f t="shared" si="163"/>
        <v>non</v>
      </c>
      <c r="Y229">
        <f t="shared" si="164"/>
        <v>1787</v>
      </c>
      <c r="Z229" t="b">
        <f t="shared" si="165"/>
        <v>0</v>
      </c>
      <c r="AA229" s="206">
        <f t="shared" si="130"/>
        <v>2021</v>
      </c>
      <c r="AB229">
        <f t="shared" si="78"/>
        <v>0</v>
      </c>
      <c r="AC229">
        <f t="shared" si="79"/>
        <v>0</v>
      </c>
      <c r="AD229">
        <f t="shared" si="80"/>
        <v>1787</v>
      </c>
      <c r="AE229">
        <f t="shared" si="131"/>
        <v>30</v>
      </c>
      <c r="AF229">
        <f t="shared" si="149"/>
        <v>234</v>
      </c>
      <c r="AG229">
        <f t="shared" si="132"/>
        <v>30</v>
      </c>
      <c r="AH229">
        <f t="shared" si="77"/>
        <v>0</v>
      </c>
      <c r="AK229" s="205">
        <v>29806</v>
      </c>
      <c r="AL229" t="s">
        <v>659</v>
      </c>
      <c r="AQ229">
        <v>0</v>
      </c>
      <c r="AR229">
        <v>0</v>
      </c>
      <c r="AS229">
        <v>0</v>
      </c>
    </row>
    <row r="230" spans="2:45" x14ac:dyDescent="0.25">
      <c r="B230" s="17">
        <v>3000000048</v>
      </c>
      <c r="C230" t="s">
        <v>660</v>
      </c>
      <c r="D230" s="205">
        <v>44867</v>
      </c>
      <c r="E230">
        <v>39</v>
      </c>
      <c r="F230">
        <v>0</v>
      </c>
      <c r="G230" t="s">
        <v>273</v>
      </c>
      <c r="H230" s="203">
        <f t="shared" si="150"/>
        <v>1787</v>
      </c>
      <c r="I230" s="6">
        <f t="shared" si="151"/>
        <v>0</v>
      </c>
      <c r="J230" s="200">
        <f>'Synthèse Horaires'!$C$5</f>
        <v>46023</v>
      </c>
      <c r="K230" s="6" t="str">
        <f t="shared" si="152"/>
        <v>oui</v>
      </c>
      <c r="L230" s="6" t="str">
        <f t="shared" si="153"/>
        <v>non</v>
      </c>
      <c r="M230" s="204">
        <f t="shared" si="154"/>
        <v>1787</v>
      </c>
      <c r="N230" s="204">
        <f t="shared" si="155"/>
        <v>0</v>
      </c>
      <c r="O230" s="204" t="str">
        <f t="shared" si="156"/>
        <v>non</v>
      </c>
      <c r="P230" s="6" t="b">
        <f t="shared" si="157"/>
        <v>0</v>
      </c>
      <c r="Q230" s="6">
        <f t="shared" si="158"/>
        <v>0</v>
      </c>
      <c r="R230" s="6">
        <f t="shared" si="159"/>
        <v>0</v>
      </c>
      <c r="T230" s="205" t="s">
        <v>465</v>
      </c>
      <c r="U230">
        <f t="shared" ca="1" si="160"/>
        <v>1314</v>
      </c>
      <c r="V230">
        <f t="shared" ca="1" si="161"/>
        <v>0</v>
      </c>
      <c r="W230" t="b">
        <f t="shared" si="162"/>
        <v>0</v>
      </c>
      <c r="X230" s="6" t="str">
        <f t="shared" si="163"/>
        <v>non</v>
      </c>
      <c r="Y230">
        <f t="shared" si="164"/>
        <v>1787</v>
      </c>
      <c r="Z230" t="b">
        <f t="shared" si="165"/>
        <v>0</v>
      </c>
      <c r="AA230" s="206">
        <f t="shared" si="130"/>
        <v>1787</v>
      </c>
      <c r="AB230">
        <f t="shared" si="78"/>
        <v>0</v>
      </c>
      <c r="AC230">
        <f t="shared" si="79"/>
        <v>0</v>
      </c>
      <c r="AD230">
        <f t="shared" si="80"/>
        <v>1787</v>
      </c>
      <c r="AE230">
        <f t="shared" si="131"/>
        <v>0</v>
      </c>
      <c r="AF230">
        <f t="shared" si="149"/>
        <v>0</v>
      </c>
      <c r="AG230">
        <f t="shared" si="132"/>
        <v>0</v>
      </c>
      <c r="AH230">
        <f t="shared" si="77"/>
        <v>0</v>
      </c>
      <c r="AK230" s="205">
        <v>29353</v>
      </c>
      <c r="AL230" t="s">
        <v>659</v>
      </c>
      <c r="AQ230">
        <v>0</v>
      </c>
      <c r="AR230">
        <v>0</v>
      </c>
      <c r="AS230">
        <v>0</v>
      </c>
    </row>
    <row r="231" spans="2:45" x14ac:dyDescent="0.25">
      <c r="B231" s="289" t="s">
        <v>666</v>
      </c>
      <c r="C231" s="33" t="s">
        <v>548</v>
      </c>
      <c r="D231" s="200">
        <v>44256</v>
      </c>
      <c r="E231">
        <v>25</v>
      </c>
      <c r="G231" t="s">
        <v>273</v>
      </c>
      <c r="H231" s="203">
        <f t="shared" si="150"/>
        <v>1147</v>
      </c>
      <c r="I231" s="6">
        <f t="shared" si="151"/>
        <v>0</v>
      </c>
      <c r="J231" s="200">
        <f>'Synthèse Horaires'!$C$5</f>
        <v>46023</v>
      </c>
      <c r="K231" s="6" t="str">
        <f t="shared" si="152"/>
        <v>oui</v>
      </c>
      <c r="L231" s="6" t="str">
        <f t="shared" si="153"/>
        <v>non</v>
      </c>
      <c r="M231" s="204">
        <f t="shared" si="154"/>
        <v>1147</v>
      </c>
      <c r="N231" s="204">
        <f t="shared" si="155"/>
        <v>0</v>
      </c>
      <c r="O231" s="204" t="str">
        <f t="shared" si="156"/>
        <v>non</v>
      </c>
      <c r="P231" s="6" t="b">
        <f t="shared" si="157"/>
        <v>0</v>
      </c>
      <c r="Q231" s="6">
        <f t="shared" si="158"/>
        <v>0</v>
      </c>
      <c r="R231" s="6">
        <f t="shared" si="159"/>
        <v>0</v>
      </c>
      <c r="T231" s="205" t="s">
        <v>465</v>
      </c>
      <c r="U231">
        <f t="shared" ca="1" si="160"/>
        <v>1925</v>
      </c>
      <c r="V231">
        <f t="shared" ca="1" si="161"/>
        <v>0</v>
      </c>
      <c r="W231" t="b">
        <f t="shared" si="162"/>
        <v>0</v>
      </c>
      <c r="X231" s="6">
        <f t="shared" si="163"/>
        <v>25</v>
      </c>
      <c r="Y231">
        <f t="shared" si="164"/>
        <v>1147</v>
      </c>
      <c r="Z231" t="b">
        <f t="shared" si="165"/>
        <v>0</v>
      </c>
      <c r="AA231" s="206">
        <f t="shared" si="130"/>
        <v>1297</v>
      </c>
      <c r="AB231">
        <f t="shared" si="78"/>
        <v>0</v>
      </c>
      <c r="AC231">
        <f t="shared" si="79"/>
        <v>0</v>
      </c>
      <c r="AD231">
        <f t="shared" si="80"/>
        <v>1147</v>
      </c>
      <c r="AE231">
        <f t="shared" si="131"/>
        <v>30</v>
      </c>
      <c r="AF231">
        <f t="shared" si="149"/>
        <v>150</v>
      </c>
      <c r="AG231">
        <f t="shared" si="132"/>
        <v>30</v>
      </c>
      <c r="AH231">
        <f t="shared" si="77"/>
        <v>0</v>
      </c>
      <c r="AK231" s="205">
        <v>31544</v>
      </c>
      <c r="AL231" t="s">
        <v>514</v>
      </c>
      <c r="AQ231">
        <v>0</v>
      </c>
      <c r="AR231">
        <v>0</v>
      </c>
      <c r="AS231">
        <v>0</v>
      </c>
    </row>
    <row r="232" spans="2:45" x14ac:dyDescent="0.25">
      <c r="B232" s="17">
        <v>2199999999</v>
      </c>
      <c r="C232" s="2" t="s">
        <v>661</v>
      </c>
      <c r="D232" s="254">
        <f t="shared" ref="D232" ca="1" si="166">TODAY()</f>
        <v>46181</v>
      </c>
      <c r="E232">
        <v>35</v>
      </c>
      <c r="G232" t="s">
        <v>273</v>
      </c>
      <c r="H232" s="203">
        <f t="shared" si="150"/>
        <v>1607</v>
      </c>
      <c r="I232" s="6">
        <f t="shared" si="151"/>
        <v>0</v>
      </c>
      <c r="J232" s="200">
        <f>'Synthèse Horaires'!$C$5</f>
        <v>46023</v>
      </c>
      <c r="K232" s="6" t="str">
        <f t="shared" ca="1" si="152"/>
        <v>non</v>
      </c>
      <c r="L232" s="6" t="str">
        <f t="shared" ca="1" si="153"/>
        <v>oui</v>
      </c>
      <c r="M232" s="204" t="str">
        <f t="shared" ca="1" si="154"/>
        <v>non</v>
      </c>
      <c r="N232" s="204">
        <f t="shared" ca="1" si="155"/>
        <v>1576.1808219178083</v>
      </c>
      <c r="O232" s="204" t="str">
        <f t="shared" si="156"/>
        <v>non</v>
      </c>
      <c r="P232" s="6" t="b">
        <f t="shared" si="157"/>
        <v>0</v>
      </c>
      <c r="Q232" s="6">
        <f t="shared" si="158"/>
        <v>0</v>
      </c>
      <c r="R232" s="6">
        <f t="shared" si="159"/>
        <v>0</v>
      </c>
      <c r="T232" s="205" t="s">
        <v>607</v>
      </c>
      <c r="U232">
        <f t="shared" ca="1" si="160"/>
        <v>0</v>
      </c>
      <c r="V232">
        <f t="shared" ca="1" si="161"/>
        <v>0</v>
      </c>
      <c r="W232" t="b">
        <f t="shared" si="162"/>
        <v>0</v>
      </c>
      <c r="X232" s="6" t="str">
        <f t="shared" si="163"/>
        <v>non</v>
      </c>
      <c r="Y232">
        <f t="shared" ca="1" si="164"/>
        <v>1576.1808219178083</v>
      </c>
      <c r="Z232" t="b">
        <f t="shared" si="165"/>
        <v>0</v>
      </c>
      <c r="AA232" s="206">
        <f t="shared" ca="1" si="130"/>
        <v>1747.8246575342466</v>
      </c>
      <c r="AB232">
        <f t="shared" ca="1" si="78"/>
        <v>0</v>
      </c>
      <c r="AC232">
        <f t="shared" ca="1" si="79"/>
        <v>29.424657534246577</v>
      </c>
      <c r="AD232">
        <f t="shared" ca="1" si="80"/>
        <v>1747.8246575342466</v>
      </c>
      <c r="AE232">
        <f t="shared" si="131"/>
        <v>0</v>
      </c>
      <c r="AF232">
        <f t="shared" ca="1" si="149"/>
        <v>0</v>
      </c>
      <c r="AG232">
        <f t="shared" si="132"/>
        <v>0</v>
      </c>
      <c r="AH232">
        <f t="shared" si="77"/>
        <v>0</v>
      </c>
      <c r="AK232" s="205">
        <v>32513</v>
      </c>
      <c r="AL232" t="s">
        <v>497</v>
      </c>
      <c r="AQ232">
        <v>0</v>
      </c>
      <c r="AR232">
        <v>0</v>
      </c>
      <c r="AS232">
        <v>0</v>
      </c>
    </row>
    <row r="233" spans="2:45" x14ac:dyDescent="0.25">
      <c r="B233" s="257" t="s">
        <v>666</v>
      </c>
      <c r="C233" s="5" t="s">
        <v>726</v>
      </c>
      <c r="D233" s="6">
        <v>45531</v>
      </c>
      <c r="E233">
        <v>35</v>
      </c>
      <c r="F233">
        <v>0</v>
      </c>
      <c r="G233" t="s">
        <v>273</v>
      </c>
      <c r="H233" s="203">
        <f t="shared" si="150"/>
        <v>1607</v>
      </c>
      <c r="I233" s="6">
        <f t="shared" si="151"/>
        <v>0</v>
      </c>
      <c r="J233" s="200">
        <f>'Synthèse Horaires'!$C$5</f>
        <v>46023</v>
      </c>
      <c r="K233" s="6" t="str">
        <f t="shared" si="152"/>
        <v>oui</v>
      </c>
      <c r="L233" s="6" t="str">
        <f t="shared" si="153"/>
        <v>non</v>
      </c>
      <c r="M233" s="204">
        <f t="shared" si="154"/>
        <v>1607</v>
      </c>
      <c r="N233" s="204">
        <f t="shared" si="155"/>
        <v>0</v>
      </c>
      <c r="O233" s="204" t="str">
        <f t="shared" si="156"/>
        <v>non</v>
      </c>
      <c r="P233" s="6" t="b">
        <f t="shared" si="157"/>
        <v>0</v>
      </c>
      <c r="Q233" s="6">
        <f t="shared" si="158"/>
        <v>0</v>
      </c>
      <c r="R233" s="6">
        <f t="shared" si="159"/>
        <v>0</v>
      </c>
      <c r="T233" s="205" t="s">
        <v>607</v>
      </c>
      <c r="U233">
        <f t="shared" ca="1" si="160"/>
        <v>650</v>
      </c>
      <c r="V233">
        <f t="shared" ca="1" si="161"/>
        <v>0</v>
      </c>
      <c r="W233" t="b">
        <f t="shared" si="162"/>
        <v>0</v>
      </c>
      <c r="X233" s="6" t="str">
        <f t="shared" si="163"/>
        <v>non</v>
      </c>
      <c r="Y233">
        <f t="shared" si="164"/>
        <v>1607</v>
      </c>
      <c r="Z233" t="b">
        <f t="shared" si="165"/>
        <v>0</v>
      </c>
      <c r="AA233" s="206">
        <f t="shared" si="130"/>
        <v>1817</v>
      </c>
      <c r="AB233">
        <f t="shared" si="78"/>
        <v>0</v>
      </c>
      <c r="AC233">
        <f t="shared" si="79"/>
        <v>0</v>
      </c>
      <c r="AD233">
        <f t="shared" si="80"/>
        <v>1607</v>
      </c>
      <c r="AE233">
        <f t="shared" si="131"/>
        <v>30</v>
      </c>
      <c r="AF233">
        <f t="shared" si="149"/>
        <v>210</v>
      </c>
      <c r="AG233">
        <f t="shared" si="132"/>
        <v>30</v>
      </c>
      <c r="AH233">
        <f t="shared" si="77"/>
        <v>0</v>
      </c>
      <c r="AK233" s="205">
        <v>36644</v>
      </c>
      <c r="AL233" t="s">
        <v>514</v>
      </c>
      <c r="AQ233">
        <v>0</v>
      </c>
      <c r="AR233">
        <v>0</v>
      </c>
      <c r="AS233">
        <v>0</v>
      </c>
    </row>
    <row r="234" spans="2:45" x14ac:dyDescent="0.25">
      <c r="B234" s="17">
        <v>6000000020</v>
      </c>
      <c r="C234" t="s">
        <v>664</v>
      </c>
      <c r="D234" s="200">
        <v>44841</v>
      </c>
      <c r="E234">
        <v>0</v>
      </c>
      <c r="F234">
        <v>218</v>
      </c>
      <c r="G234" t="s">
        <v>102</v>
      </c>
      <c r="H234" s="203">
        <f t="shared" si="150"/>
        <v>0</v>
      </c>
      <c r="I234" s="6">
        <f t="shared" si="151"/>
        <v>436</v>
      </c>
      <c r="J234" s="200">
        <f>'Synthèse Horaires'!$C$5</f>
        <v>46023</v>
      </c>
      <c r="K234" s="6" t="str">
        <f t="shared" si="152"/>
        <v>oui</v>
      </c>
      <c r="L234" s="6" t="str">
        <f t="shared" si="153"/>
        <v>non</v>
      </c>
      <c r="M234" s="204" t="str">
        <f t="shared" si="154"/>
        <v>non</v>
      </c>
      <c r="N234" s="204" t="b">
        <f t="shared" si="155"/>
        <v>0</v>
      </c>
      <c r="O234" s="204">
        <f t="shared" si="156"/>
        <v>218</v>
      </c>
      <c r="P234" s="6">
        <f t="shared" si="157"/>
        <v>0</v>
      </c>
      <c r="Q234" s="6">
        <f t="shared" si="158"/>
        <v>436</v>
      </c>
      <c r="R234" s="6">
        <f t="shared" si="159"/>
        <v>0</v>
      </c>
      <c r="T234" s="205" t="s">
        <v>473</v>
      </c>
      <c r="U234">
        <f t="shared" ca="1" si="160"/>
        <v>1340</v>
      </c>
      <c r="V234" t="b">
        <f t="shared" si="161"/>
        <v>0</v>
      </c>
      <c r="W234">
        <f t="shared" ca="1" si="162"/>
        <v>0</v>
      </c>
      <c r="X234" s="6" t="str">
        <f t="shared" si="163"/>
        <v>non</v>
      </c>
      <c r="Y234" t="b">
        <f t="shared" si="164"/>
        <v>0</v>
      </c>
      <c r="Z234">
        <f t="shared" si="165"/>
        <v>218</v>
      </c>
      <c r="AA234" s="206">
        <f t="shared" si="130"/>
        <v>218</v>
      </c>
      <c r="AB234">
        <f t="shared" si="78"/>
        <v>0</v>
      </c>
      <c r="AC234">
        <f t="shared" si="79"/>
        <v>0</v>
      </c>
      <c r="AD234">
        <f t="shared" si="80"/>
        <v>0</v>
      </c>
      <c r="AE234">
        <f t="shared" si="131"/>
        <v>0</v>
      </c>
      <c r="AF234">
        <f t="shared" si="149"/>
        <v>0</v>
      </c>
      <c r="AG234">
        <f t="shared" si="132"/>
        <v>0</v>
      </c>
      <c r="AH234">
        <f t="shared" si="77"/>
        <v>0</v>
      </c>
      <c r="AJ234" s="9"/>
      <c r="AK234" s="205">
        <v>33953</v>
      </c>
      <c r="AL234" t="s">
        <v>509</v>
      </c>
      <c r="AQ234">
        <v>0</v>
      </c>
      <c r="AR234">
        <v>0</v>
      </c>
      <c r="AS234">
        <v>0</v>
      </c>
    </row>
    <row r="235" spans="2:45" x14ac:dyDescent="0.25">
      <c r="B235" s="17" t="s">
        <v>666</v>
      </c>
      <c r="C235" t="s">
        <v>665</v>
      </c>
      <c r="D235" s="200">
        <v>44867</v>
      </c>
      <c r="E235">
        <v>35</v>
      </c>
      <c r="F235">
        <v>0</v>
      </c>
      <c r="G235" t="s">
        <v>273</v>
      </c>
      <c r="H235" s="203">
        <f t="shared" si="150"/>
        <v>1607</v>
      </c>
      <c r="I235" s="6">
        <f t="shared" si="151"/>
        <v>0</v>
      </c>
      <c r="J235" s="200">
        <f>'Synthèse Horaires'!$C$5</f>
        <v>46023</v>
      </c>
      <c r="K235" s="6" t="str">
        <f t="shared" si="152"/>
        <v>oui</v>
      </c>
      <c r="L235" s="6" t="str">
        <f t="shared" si="153"/>
        <v>non</v>
      </c>
      <c r="M235" s="204">
        <f t="shared" si="154"/>
        <v>1607</v>
      </c>
      <c r="N235" s="204">
        <f t="shared" si="155"/>
        <v>0</v>
      </c>
      <c r="O235" s="204" t="str">
        <f t="shared" si="156"/>
        <v>non</v>
      </c>
      <c r="P235" s="6" t="b">
        <f t="shared" si="157"/>
        <v>0</v>
      </c>
      <c r="Q235" s="6">
        <f t="shared" si="158"/>
        <v>0</v>
      </c>
      <c r="R235" s="6">
        <f t="shared" si="159"/>
        <v>0</v>
      </c>
      <c r="T235" s="205" t="s">
        <v>608</v>
      </c>
      <c r="U235">
        <f t="shared" ca="1" si="160"/>
        <v>1314</v>
      </c>
      <c r="V235">
        <f t="shared" ca="1" si="161"/>
        <v>0</v>
      </c>
      <c r="W235" t="b">
        <f t="shared" si="162"/>
        <v>0</v>
      </c>
      <c r="X235" s="6" t="str">
        <f t="shared" si="163"/>
        <v>non</v>
      </c>
      <c r="Y235">
        <f t="shared" si="164"/>
        <v>1607</v>
      </c>
      <c r="Z235" t="b">
        <f t="shared" si="165"/>
        <v>0</v>
      </c>
      <c r="AA235" s="206">
        <f t="shared" si="130"/>
        <v>1817</v>
      </c>
      <c r="AB235">
        <f t="shared" si="78"/>
        <v>0</v>
      </c>
      <c r="AC235">
        <f t="shared" si="79"/>
        <v>0</v>
      </c>
      <c r="AD235">
        <f t="shared" si="80"/>
        <v>1607</v>
      </c>
      <c r="AE235">
        <f t="shared" si="131"/>
        <v>30</v>
      </c>
      <c r="AF235">
        <f t="shared" si="149"/>
        <v>210</v>
      </c>
      <c r="AG235">
        <f t="shared" si="132"/>
        <v>30</v>
      </c>
      <c r="AH235">
        <f t="shared" si="77"/>
        <v>0</v>
      </c>
      <c r="AK235" s="205">
        <v>25979</v>
      </c>
      <c r="AL235" t="s">
        <v>508</v>
      </c>
      <c r="AQ235">
        <v>0</v>
      </c>
      <c r="AR235">
        <v>0</v>
      </c>
      <c r="AS235">
        <v>0</v>
      </c>
    </row>
    <row r="236" spans="2:45" x14ac:dyDescent="0.25">
      <c r="B236" s="17">
        <v>200000030</v>
      </c>
      <c r="C236" t="s">
        <v>598</v>
      </c>
      <c r="D236" s="205">
        <v>44502</v>
      </c>
      <c r="E236">
        <v>35</v>
      </c>
      <c r="G236" t="s">
        <v>273</v>
      </c>
      <c r="H236" s="203">
        <f t="shared" si="150"/>
        <v>1607</v>
      </c>
      <c r="I236" s="6">
        <f t="shared" si="151"/>
        <v>0</v>
      </c>
      <c r="J236" s="200">
        <f>'Synthèse Horaires'!$C$5</f>
        <v>46023</v>
      </c>
      <c r="K236" s="6" t="str">
        <f t="shared" si="152"/>
        <v>oui</v>
      </c>
      <c r="L236" s="6" t="str">
        <f t="shared" si="153"/>
        <v>non</v>
      </c>
      <c r="M236" s="204">
        <f t="shared" si="154"/>
        <v>1607</v>
      </c>
      <c r="N236" s="204">
        <f t="shared" si="155"/>
        <v>0</v>
      </c>
      <c r="O236" s="204" t="str">
        <f t="shared" si="156"/>
        <v>non</v>
      </c>
      <c r="P236" s="6" t="b">
        <f t="shared" si="157"/>
        <v>0</v>
      </c>
      <c r="Q236" s="6">
        <f t="shared" si="158"/>
        <v>0</v>
      </c>
      <c r="R236" s="6">
        <f t="shared" si="159"/>
        <v>0</v>
      </c>
      <c r="T236" s="205" t="s">
        <v>404</v>
      </c>
      <c r="U236">
        <f t="shared" ca="1" si="160"/>
        <v>1679</v>
      </c>
      <c r="V236">
        <f t="shared" ca="1" si="161"/>
        <v>0</v>
      </c>
      <c r="W236" t="b">
        <f t="shared" si="162"/>
        <v>0</v>
      </c>
      <c r="X236" s="6" t="str">
        <f t="shared" si="163"/>
        <v>non</v>
      </c>
      <c r="Y236">
        <f t="shared" si="164"/>
        <v>1607</v>
      </c>
      <c r="Z236" t="b">
        <f t="shared" si="165"/>
        <v>0</v>
      </c>
      <c r="AA236" s="206">
        <f t="shared" si="130"/>
        <v>1488</v>
      </c>
      <c r="AB236">
        <f t="shared" si="78"/>
        <v>0</v>
      </c>
      <c r="AC236">
        <f t="shared" si="79"/>
        <v>0</v>
      </c>
      <c r="AD236">
        <f t="shared" si="80"/>
        <v>1607</v>
      </c>
      <c r="AE236">
        <f t="shared" si="131"/>
        <v>-17</v>
      </c>
      <c r="AF236">
        <f t="shared" si="149"/>
        <v>-119</v>
      </c>
      <c r="AG236">
        <f t="shared" si="132"/>
        <v>-17</v>
      </c>
      <c r="AH236">
        <f t="shared" si="77"/>
        <v>0</v>
      </c>
      <c r="AK236" s="205">
        <v>33059</v>
      </c>
      <c r="AL236" t="s">
        <v>508</v>
      </c>
      <c r="AQ236">
        <v>0</v>
      </c>
      <c r="AR236">
        <v>0</v>
      </c>
      <c r="AS236">
        <v>0</v>
      </c>
    </row>
    <row r="237" spans="2:45" x14ac:dyDescent="0.25">
      <c r="B237" s="17" t="s">
        <v>666</v>
      </c>
      <c r="C237" t="s">
        <v>513</v>
      </c>
      <c r="D237" s="205">
        <v>44000</v>
      </c>
      <c r="E237">
        <v>35</v>
      </c>
      <c r="G237" t="s">
        <v>273</v>
      </c>
      <c r="H237" s="203">
        <f t="shared" si="150"/>
        <v>1607</v>
      </c>
      <c r="I237" s="6">
        <f t="shared" si="151"/>
        <v>0</v>
      </c>
      <c r="J237" s="200">
        <f>'Synthèse Horaires'!$C$5</f>
        <v>46023</v>
      </c>
      <c r="K237" s="6" t="str">
        <f t="shared" si="152"/>
        <v>oui</v>
      </c>
      <c r="L237" s="6" t="str">
        <f t="shared" si="153"/>
        <v>non</v>
      </c>
      <c r="M237" s="204">
        <f t="shared" si="154"/>
        <v>1607</v>
      </c>
      <c r="N237" s="204">
        <f t="shared" si="155"/>
        <v>0</v>
      </c>
      <c r="O237" s="204" t="str">
        <f t="shared" si="156"/>
        <v>non</v>
      </c>
      <c r="P237" s="6" t="b">
        <f t="shared" si="157"/>
        <v>0</v>
      </c>
      <c r="Q237" s="6">
        <f t="shared" si="158"/>
        <v>0</v>
      </c>
      <c r="R237" s="6">
        <f t="shared" si="159"/>
        <v>0</v>
      </c>
      <c r="T237" s="205" t="s">
        <v>474</v>
      </c>
      <c r="U237">
        <f t="shared" ca="1" si="160"/>
        <v>2181</v>
      </c>
      <c r="V237">
        <f t="shared" ca="1" si="161"/>
        <v>0</v>
      </c>
      <c r="W237" t="b">
        <f t="shared" si="162"/>
        <v>0</v>
      </c>
      <c r="X237" s="6" t="str">
        <f t="shared" si="163"/>
        <v>non</v>
      </c>
      <c r="Y237">
        <f t="shared" si="164"/>
        <v>1607</v>
      </c>
      <c r="Z237" t="b">
        <f t="shared" si="165"/>
        <v>0</v>
      </c>
      <c r="AA237" s="206">
        <f t="shared" si="130"/>
        <v>1817</v>
      </c>
      <c r="AB237">
        <f t="shared" si="78"/>
        <v>0</v>
      </c>
      <c r="AC237">
        <f t="shared" si="79"/>
        <v>0</v>
      </c>
      <c r="AD237">
        <f t="shared" si="80"/>
        <v>1607</v>
      </c>
      <c r="AE237">
        <f t="shared" si="131"/>
        <v>30</v>
      </c>
      <c r="AF237">
        <f t="shared" si="149"/>
        <v>210</v>
      </c>
      <c r="AG237">
        <f t="shared" si="132"/>
        <v>30</v>
      </c>
      <c r="AH237">
        <f t="shared" si="77"/>
        <v>0</v>
      </c>
      <c r="AK237" s="205">
        <v>27053</v>
      </c>
      <c r="AL237" t="s">
        <v>508</v>
      </c>
      <c r="AQ237">
        <v>0</v>
      </c>
      <c r="AR237">
        <v>0</v>
      </c>
      <c r="AS237">
        <v>0</v>
      </c>
    </row>
    <row r="238" spans="2:45" x14ac:dyDescent="0.25">
      <c r="B238" s="17">
        <v>300000011</v>
      </c>
      <c r="C238" t="s">
        <v>403</v>
      </c>
      <c r="D238" s="205">
        <v>42618</v>
      </c>
      <c r="E238">
        <v>35</v>
      </c>
      <c r="G238" t="s">
        <v>273</v>
      </c>
      <c r="H238" s="203">
        <f t="shared" si="150"/>
        <v>1607</v>
      </c>
      <c r="I238" s="6">
        <f t="shared" si="151"/>
        <v>0</v>
      </c>
      <c r="J238" s="200">
        <f>'Synthèse Horaires'!$C$5</f>
        <v>46023</v>
      </c>
      <c r="K238" s="6" t="str">
        <f t="shared" si="152"/>
        <v>oui</v>
      </c>
      <c r="L238" s="6" t="str">
        <f t="shared" si="153"/>
        <v>non</v>
      </c>
      <c r="M238" s="204">
        <f t="shared" si="154"/>
        <v>1607</v>
      </c>
      <c r="N238" s="204">
        <f t="shared" si="155"/>
        <v>0</v>
      </c>
      <c r="O238" s="204" t="str">
        <f t="shared" si="156"/>
        <v>non</v>
      </c>
      <c r="P238" s="6" t="b">
        <f t="shared" si="157"/>
        <v>0</v>
      </c>
      <c r="Q238" s="6">
        <f t="shared" si="158"/>
        <v>0</v>
      </c>
      <c r="R238" s="6">
        <f t="shared" si="159"/>
        <v>0</v>
      </c>
      <c r="T238" s="205" t="s">
        <v>188</v>
      </c>
      <c r="U238">
        <f t="shared" ca="1" si="160"/>
        <v>3563</v>
      </c>
      <c r="V238">
        <f t="shared" ca="1" si="161"/>
        <v>0</v>
      </c>
      <c r="W238" t="b">
        <f t="shared" si="162"/>
        <v>0</v>
      </c>
      <c r="X238" s="6" t="str">
        <f t="shared" si="163"/>
        <v>non</v>
      </c>
      <c r="Y238">
        <f t="shared" si="164"/>
        <v>1607</v>
      </c>
      <c r="Z238" t="b">
        <f t="shared" si="165"/>
        <v>0</v>
      </c>
      <c r="AA238" s="206">
        <f t="shared" si="130"/>
        <v>1607</v>
      </c>
      <c r="AB238">
        <f t="shared" si="78"/>
        <v>0</v>
      </c>
      <c r="AC238">
        <f t="shared" si="79"/>
        <v>0</v>
      </c>
      <c r="AD238">
        <f t="shared" si="80"/>
        <v>1607</v>
      </c>
      <c r="AE238">
        <f t="shared" si="131"/>
        <v>0</v>
      </c>
      <c r="AF238">
        <f t="shared" si="149"/>
        <v>0</v>
      </c>
      <c r="AG238">
        <f t="shared" si="132"/>
        <v>0</v>
      </c>
      <c r="AH238">
        <f t="shared" si="77"/>
        <v>0</v>
      </c>
      <c r="AK238" s="205">
        <v>29746</v>
      </c>
      <c r="AL238" t="s">
        <v>589</v>
      </c>
      <c r="AQ238">
        <v>0</v>
      </c>
      <c r="AR238">
        <v>0</v>
      </c>
      <c r="AS238">
        <v>0</v>
      </c>
    </row>
    <row r="239" spans="2:45" x14ac:dyDescent="0.25">
      <c r="B239" s="17" t="s">
        <v>666</v>
      </c>
      <c r="C239" t="s">
        <v>540</v>
      </c>
      <c r="D239" s="205">
        <v>44137</v>
      </c>
      <c r="E239">
        <v>35</v>
      </c>
      <c r="F239">
        <v>0</v>
      </c>
      <c r="G239" t="s">
        <v>273</v>
      </c>
      <c r="H239" s="203">
        <f t="shared" si="150"/>
        <v>1607</v>
      </c>
      <c r="I239" s="6">
        <f t="shared" si="151"/>
        <v>0</v>
      </c>
      <c r="J239" s="200">
        <f>'Synthèse Horaires'!$C$5</f>
        <v>46023</v>
      </c>
      <c r="K239" s="6" t="str">
        <f t="shared" si="152"/>
        <v>oui</v>
      </c>
      <c r="L239" s="6" t="str">
        <f t="shared" si="153"/>
        <v>non</v>
      </c>
      <c r="M239" s="204">
        <f t="shared" si="154"/>
        <v>1607</v>
      </c>
      <c r="N239" s="204">
        <f>IF(G239="Employé",(IF(L239="oui",(H239*(($G$3+365)-D239+1)/365),0)))</f>
        <v>0</v>
      </c>
      <c r="O239" s="204" t="str">
        <f t="shared" si="156"/>
        <v>non</v>
      </c>
      <c r="P239" s="6" t="b">
        <f t="shared" si="157"/>
        <v>0</v>
      </c>
      <c r="Q239" s="6">
        <f t="shared" si="158"/>
        <v>0</v>
      </c>
      <c r="R239" s="6">
        <f t="shared" si="159"/>
        <v>0</v>
      </c>
      <c r="T239" s="205" t="s">
        <v>195</v>
      </c>
      <c r="U239">
        <f t="shared" ca="1" si="160"/>
        <v>2044</v>
      </c>
      <c r="V239">
        <f t="shared" ca="1" si="161"/>
        <v>0</v>
      </c>
      <c r="W239" t="b">
        <f t="shared" si="162"/>
        <v>0</v>
      </c>
      <c r="X239" s="6" t="str">
        <f t="shared" si="163"/>
        <v>non</v>
      </c>
      <c r="Y239">
        <f t="shared" si="164"/>
        <v>1607</v>
      </c>
      <c r="Z239" t="b">
        <f t="shared" si="165"/>
        <v>0</v>
      </c>
      <c r="AA239" s="206">
        <f t="shared" si="130"/>
        <v>1817</v>
      </c>
      <c r="AB239">
        <f t="shared" si="78"/>
        <v>0</v>
      </c>
      <c r="AC239">
        <f t="shared" si="79"/>
        <v>0</v>
      </c>
      <c r="AD239">
        <f t="shared" si="80"/>
        <v>1607</v>
      </c>
      <c r="AE239">
        <f t="shared" si="131"/>
        <v>30</v>
      </c>
      <c r="AF239">
        <f t="shared" si="149"/>
        <v>210</v>
      </c>
      <c r="AG239">
        <f t="shared" si="132"/>
        <v>30</v>
      </c>
      <c r="AH239">
        <f t="shared" si="77"/>
        <v>0</v>
      </c>
      <c r="AK239" s="205">
        <v>26919</v>
      </c>
      <c r="AL239" t="s">
        <v>506</v>
      </c>
      <c r="AQ239">
        <v>0</v>
      </c>
      <c r="AR239">
        <v>0</v>
      </c>
      <c r="AS239">
        <v>0</v>
      </c>
    </row>
    <row r="240" spans="2:45" x14ac:dyDescent="0.25">
      <c r="B240" s="17">
        <v>500000013</v>
      </c>
      <c r="C240" t="s">
        <v>416</v>
      </c>
      <c r="D240" s="205">
        <v>42810</v>
      </c>
      <c r="E240">
        <v>35</v>
      </c>
      <c r="G240" t="s">
        <v>273</v>
      </c>
      <c r="H240" s="203">
        <f t="shared" si="150"/>
        <v>1607</v>
      </c>
      <c r="I240" s="6">
        <f t="shared" si="151"/>
        <v>0</v>
      </c>
      <c r="J240" s="200">
        <f>'Synthèse Horaires'!$C$5</f>
        <v>46023</v>
      </c>
      <c r="K240" s="6" t="str">
        <f t="shared" si="152"/>
        <v>oui</v>
      </c>
      <c r="L240" s="6" t="str">
        <f t="shared" si="153"/>
        <v>non</v>
      </c>
      <c r="M240" s="204">
        <f t="shared" si="154"/>
        <v>1607</v>
      </c>
      <c r="N240" s="204">
        <f t="shared" si="155"/>
        <v>0</v>
      </c>
      <c r="O240" s="204" t="str">
        <f t="shared" si="156"/>
        <v>non</v>
      </c>
      <c r="P240" s="6" t="b">
        <f t="shared" si="157"/>
        <v>0</v>
      </c>
      <c r="Q240" s="6">
        <f t="shared" si="158"/>
        <v>0</v>
      </c>
      <c r="R240" s="6">
        <f t="shared" si="159"/>
        <v>0</v>
      </c>
      <c r="T240" s="205" t="s">
        <v>197</v>
      </c>
      <c r="U240">
        <f t="shared" ca="1" si="160"/>
        <v>3371</v>
      </c>
      <c r="V240">
        <f t="shared" ca="1" si="161"/>
        <v>0</v>
      </c>
      <c r="W240" t="b">
        <f t="shared" si="162"/>
        <v>0</v>
      </c>
      <c r="X240" s="6" t="str">
        <f t="shared" si="163"/>
        <v>non</v>
      </c>
      <c r="Y240">
        <f t="shared" si="164"/>
        <v>1607</v>
      </c>
      <c r="Z240" t="b">
        <f t="shared" si="165"/>
        <v>0</v>
      </c>
      <c r="AA240" s="206">
        <f t="shared" si="130"/>
        <v>1607</v>
      </c>
      <c r="AB240">
        <f t="shared" si="78"/>
        <v>0</v>
      </c>
      <c r="AC240">
        <f t="shared" si="79"/>
        <v>0</v>
      </c>
      <c r="AD240">
        <f t="shared" si="80"/>
        <v>1607</v>
      </c>
      <c r="AE240">
        <f t="shared" si="131"/>
        <v>0</v>
      </c>
      <c r="AF240">
        <f t="shared" si="149"/>
        <v>0</v>
      </c>
      <c r="AG240">
        <f t="shared" si="132"/>
        <v>0</v>
      </c>
      <c r="AH240">
        <f t="shared" si="77"/>
        <v>0</v>
      </c>
      <c r="AK240" s="205">
        <v>25953</v>
      </c>
      <c r="AL240" t="s">
        <v>508</v>
      </c>
      <c r="AQ240">
        <v>0</v>
      </c>
      <c r="AR240">
        <v>0</v>
      </c>
      <c r="AS240">
        <v>0</v>
      </c>
    </row>
    <row r="241" spans="2:45" x14ac:dyDescent="0.25">
      <c r="B241" s="17" t="s">
        <v>666</v>
      </c>
      <c r="C241" t="s">
        <v>405</v>
      </c>
      <c r="D241" s="205">
        <v>42801</v>
      </c>
      <c r="E241">
        <v>28</v>
      </c>
      <c r="G241" t="s">
        <v>273</v>
      </c>
      <c r="H241" s="203">
        <f t="shared" si="150"/>
        <v>1286</v>
      </c>
      <c r="I241" s="6">
        <f t="shared" si="151"/>
        <v>0</v>
      </c>
      <c r="J241" s="200">
        <f>'Synthèse Horaires'!$C$5</f>
        <v>46023</v>
      </c>
      <c r="K241" s="6" t="str">
        <f t="shared" si="152"/>
        <v>oui</v>
      </c>
      <c r="L241" s="6" t="str">
        <f t="shared" si="153"/>
        <v>non</v>
      </c>
      <c r="M241" s="204">
        <f t="shared" si="154"/>
        <v>1286</v>
      </c>
      <c r="N241" s="204">
        <f t="shared" si="155"/>
        <v>0</v>
      </c>
      <c r="O241" s="204" t="str">
        <f t="shared" si="156"/>
        <v>non</v>
      </c>
      <c r="P241" s="6" t="b">
        <f t="shared" si="157"/>
        <v>0</v>
      </c>
      <c r="Q241" s="6">
        <f t="shared" si="158"/>
        <v>0</v>
      </c>
      <c r="R241" s="6">
        <f t="shared" si="159"/>
        <v>0</v>
      </c>
      <c r="T241" s="205" t="s">
        <v>187</v>
      </c>
      <c r="U241">
        <f t="shared" ca="1" si="160"/>
        <v>3380</v>
      </c>
      <c r="V241">
        <f t="shared" ca="1" si="161"/>
        <v>0</v>
      </c>
      <c r="W241" t="b">
        <f t="shared" si="162"/>
        <v>0</v>
      </c>
      <c r="X241" s="6">
        <f t="shared" si="163"/>
        <v>28</v>
      </c>
      <c r="Y241">
        <f t="shared" si="164"/>
        <v>1286</v>
      </c>
      <c r="Z241" t="b">
        <f t="shared" si="165"/>
        <v>0</v>
      </c>
      <c r="AA241" s="206">
        <f t="shared" si="130"/>
        <v>1454</v>
      </c>
      <c r="AB241">
        <f t="shared" si="78"/>
        <v>0</v>
      </c>
      <c r="AC241">
        <f t="shared" si="79"/>
        <v>0</v>
      </c>
      <c r="AD241">
        <f t="shared" si="80"/>
        <v>1286</v>
      </c>
      <c r="AE241">
        <f t="shared" si="131"/>
        <v>30</v>
      </c>
      <c r="AF241">
        <f t="shared" si="149"/>
        <v>168</v>
      </c>
      <c r="AG241">
        <f t="shared" si="132"/>
        <v>30</v>
      </c>
      <c r="AH241">
        <f t="shared" si="77"/>
        <v>0</v>
      </c>
      <c r="AK241" s="205">
        <v>0</v>
      </c>
      <c r="AL241">
        <v>0</v>
      </c>
      <c r="AQ241">
        <v>0</v>
      </c>
      <c r="AR241">
        <v>0</v>
      </c>
      <c r="AS241">
        <v>0</v>
      </c>
    </row>
    <row r="242" spans="2:45" x14ac:dyDescent="0.25">
      <c r="B242" s="261" t="s">
        <v>666</v>
      </c>
      <c r="C242" s="260" t="s">
        <v>479</v>
      </c>
      <c r="D242" s="205">
        <v>43787</v>
      </c>
      <c r="E242">
        <v>35</v>
      </c>
      <c r="F242">
        <v>0</v>
      </c>
      <c r="G242" t="s">
        <v>273</v>
      </c>
      <c r="H242" s="203">
        <f t="shared" si="150"/>
        <v>1607</v>
      </c>
      <c r="I242" s="6">
        <f t="shared" si="151"/>
        <v>0</v>
      </c>
      <c r="J242" s="200">
        <f>'Synthèse Horaires'!$C$5</f>
        <v>46023</v>
      </c>
      <c r="K242" s="6" t="str">
        <f t="shared" si="152"/>
        <v>oui</v>
      </c>
      <c r="L242" s="6" t="str">
        <f t="shared" si="153"/>
        <v>non</v>
      </c>
      <c r="M242" s="204">
        <f t="shared" si="154"/>
        <v>1607</v>
      </c>
      <c r="N242" s="204">
        <f t="shared" si="155"/>
        <v>0</v>
      </c>
      <c r="O242" s="204" t="str">
        <f t="shared" si="156"/>
        <v>non</v>
      </c>
      <c r="P242" s="6" t="b">
        <f t="shared" si="157"/>
        <v>0</v>
      </c>
      <c r="Q242" s="6">
        <f t="shared" si="158"/>
        <v>0</v>
      </c>
      <c r="R242" s="6">
        <f t="shared" si="159"/>
        <v>0</v>
      </c>
      <c r="T242" s="205" t="s">
        <v>404</v>
      </c>
      <c r="U242">
        <f t="shared" ca="1" si="160"/>
        <v>2394</v>
      </c>
      <c r="V242">
        <f t="shared" ca="1" si="161"/>
        <v>0</v>
      </c>
      <c r="W242" t="b">
        <f t="shared" si="162"/>
        <v>0</v>
      </c>
      <c r="X242" s="6" t="str">
        <f t="shared" si="163"/>
        <v>non</v>
      </c>
      <c r="Y242">
        <f t="shared" si="164"/>
        <v>1607</v>
      </c>
      <c r="Z242" t="b">
        <f t="shared" si="165"/>
        <v>0</v>
      </c>
      <c r="AA242" s="206">
        <f t="shared" si="130"/>
        <v>1817</v>
      </c>
      <c r="AB242">
        <f t="shared" si="78"/>
        <v>0</v>
      </c>
      <c r="AC242">
        <f t="shared" si="79"/>
        <v>0</v>
      </c>
      <c r="AD242">
        <f t="shared" si="80"/>
        <v>1607</v>
      </c>
      <c r="AE242">
        <f t="shared" si="131"/>
        <v>30</v>
      </c>
      <c r="AF242">
        <f t="shared" si="149"/>
        <v>210</v>
      </c>
      <c r="AG242">
        <f t="shared" si="132"/>
        <v>30</v>
      </c>
      <c r="AH242">
        <f t="shared" si="77"/>
        <v>0</v>
      </c>
      <c r="AK242" s="205">
        <v>34463</v>
      </c>
      <c r="AL242" t="s">
        <v>509</v>
      </c>
      <c r="AQ242">
        <v>0</v>
      </c>
      <c r="AR242">
        <v>0</v>
      </c>
      <c r="AS242">
        <v>0</v>
      </c>
    </row>
    <row r="243" spans="2:45" x14ac:dyDescent="0.25">
      <c r="B243" s="17">
        <v>500000024</v>
      </c>
      <c r="C243" t="s">
        <v>549</v>
      </c>
      <c r="D243" s="205">
        <v>44292</v>
      </c>
      <c r="E243">
        <v>35</v>
      </c>
      <c r="F243">
        <v>0</v>
      </c>
      <c r="G243" t="s">
        <v>273</v>
      </c>
      <c r="H243" s="203">
        <f t="shared" si="150"/>
        <v>1607</v>
      </c>
      <c r="I243" s="6">
        <f t="shared" si="151"/>
        <v>0</v>
      </c>
      <c r="J243" s="200">
        <f>'Synthèse Horaires'!$C$5</f>
        <v>46023</v>
      </c>
      <c r="K243" s="6" t="str">
        <f t="shared" si="152"/>
        <v>oui</v>
      </c>
      <c r="L243" s="6" t="str">
        <f t="shared" si="153"/>
        <v>non</v>
      </c>
      <c r="M243" s="204">
        <f t="shared" si="154"/>
        <v>1607</v>
      </c>
      <c r="N243" s="204">
        <f t="shared" si="155"/>
        <v>0</v>
      </c>
      <c r="O243" s="204" t="str">
        <f t="shared" si="156"/>
        <v>non</v>
      </c>
      <c r="P243" s="6" t="b">
        <f t="shared" si="157"/>
        <v>0</v>
      </c>
      <c r="Q243" s="6">
        <f t="shared" si="158"/>
        <v>0</v>
      </c>
      <c r="R243" s="6">
        <f t="shared" si="159"/>
        <v>0</v>
      </c>
      <c r="T243" s="205" t="s">
        <v>606</v>
      </c>
      <c r="U243">
        <f t="shared" ca="1" si="160"/>
        <v>1889</v>
      </c>
      <c r="V243">
        <f t="shared" ca="1" si="161"/>
        <v>0</v>
      </c>
      <c r="W243" t="b">
        <f t="shared" si="162"/>
        <v>0</v>
      </c>
      <c r="X243" s="6" t="str">
        <f t="shared" si="163"/>
        <v>non</v>
      </c>
      <c r="Y243">
        <f t="shared" si="164"/>
        <v>1607</v>
      </c>
      <c r="Z243" t="b">
        <f t="shared" si="165"/>
        <v>0</v>
      </c>
      <c r="AA243" s="206">
        <f t="shared" si="130"/>
        <v>1607</v>
      </c>
      <c r="AB243">
        <f t="shared" si="78"/>
        <v>0</v>
      </c>
      <c r="AC243">
        <f t="shared" si="79"/>
        <v>0</v>
      </c>
      <c r="AD243">
        <f t="shared" si="80"/>
        <v>1607</v>
      </c>
      <c r="AE243">
        <f t="shared" si="131"/>
        <v>0</v>
      </c>
      <c r="AF243">
        <f t="shared" si="149"/>
        <v>0</v>
      </c>
      <c r="AG243">
        <f t="shared" si="132"/>
        <v>0</v>
      </c>
      <c r="AH243">
        <f t="shared" si="77"/>
        <v>0</v>
      </c>
      <c r="AK243" s="205">
        <v>37123</v>
      </c>
      <c r="AL243" t="s">
        <v>590</v>
      </c>
      <c r="AQ243">
        <v>0</v>
      </c>
      <c r="AR243">
        <v>0</v>
      </c>
      <c r="AS243">
        <v>0</v>
      </c>
    </row>
    <row r="244" spans="2:45" x14ac:dyDescent="0.25">
      <c r="B244" s="17" t="s">
        <v>666</v>
      </c>
      <c r="C244" t="s">
        <v>417</v>
      </c>
      <c r="D244" s="205">
        <v>42850</v>
      </c>
      <c r="E244">
        <v>25</v>
      </c>
      <c r="G244" t="s">
        <v>273</v>
      </c>
      <c r="H244" s="203">
        <f t="shared" si="150"/>
        <v>1147</v>
      </c>
      <c r="I244" s="6">
        <f t="shared" si="151"/>
        <v>0</v>
      </c>
      <c r="J244" s="200">
        <f>'Synthèse Horaires'!$C$5</f>
        <v>46023</v>
      </c>
      <c r="K244" s="6" t="str">
        <f t="shared" si="152"/>
        <v>oui</v>
      </c>
      <c r="L244" s="6" t="str">
        <f t="shared" si="153"/>
        <v>non</v>
      </c>
      <c r="M244" s="204">
        <f t="shared" si="154"/>
        <v>1147</v>
      </c>
      <c r="N244" s="204">
        <f t="shared" si="155"/>
        <v>0</v>
      </c>
      <c r="O244" s="204" t="str">
        <f t="shared" si="156"/>
        <v>non</v>
      </c>
      <c r="P244" s="6" t="b">
        <f t="shared" si="157"/>
        <v>0</v>
      </c>
      <c r="Q244" s="6">
        <f t="shared" si="158"/>
        <v>0</v>
      </c>
      <c r="R244" s="6">
        <f t="shared" si="159"/>
        <v>0</v>
      </c>
      <c r="S244" t="s">
        <v>342</v>
      </c>
      <c r="T244" s="205" t="s">
        <v>192</v>
      </c>
      <c r="U244">
        <f t="shared" ca="1" si="160"/>
        <v>3331</v>
      </c>
      <c r="V244">
        <f t="shared" ca="1" si="161"/>
        <v>0</v>
      </c>
      <c r="W244" t="b">
        <f t="shared" si="162"/>
        <v>0</v>
      </c>
      <c r="X244" s="6">
        <f t="shared" si="163"/>
        <v>25</v>
      </c>
      <c r="Y244">
        <f t="shared" si="164"/>
        <v>1147</v>
      </c>
      <c r="Z244" t="b">
        <f t="shared" si="165"/>
        <v>0</v>
      </c>
      <c r="AA244" s="206">
        <f t="shared" si="130"/>
        <v>1297</v>
      </c>
      <c r="AB244">
        <f t="shared" si="78"/>
        <v>0</v>
      </c>
      <c r="AC244">
        <f t="shared" si="79"/>
        <v>0</v>
      </c>
      <c r="AD244">
        <f t="shared" si="80"/>
        <v>1147</v>
      </c>
      <c r="AE244">
        <f t="shared" si="131"/>
        <v>30</v>
      </c>
      <c r="AF244">
        <f t="shared" si="149"/>
        <v>150</v>
      </c>
      <c r="AG244">
        <f t="shared" si="132"/>
        <v>30</v>
      </c>
      <c r="AH244">
        <f t="shared" si="77"/>
        <v>0</v>
      </c>
      <c r="AK244" s="205">
        <v>0</v>
      </c>
      <c r="AL244">
        <v>0</v>
      </c>
      <c r="AQ244">
        <v>0</v>
      </c>
      <c r="AR244">
        <v>0</v>
      </c>
      <c r="AS244">
        <v>0</v>
      </c>
    </row>
    <row r="245" spans="2:45" x14ac:dyDescent="0.25">
      <c r="B245" s="257" t="s">
        <v>666</v>
      </c>
      <c r="C245" s="5" t="s">
        <v>717</v>
      </c>
      <c r="D245" s="205">
        <v>43872</v>
      </c>
      <c r="F245">
        <v>218</v>
      </c>
      <c r="G245" t="s">
        <v>102</v>
      </c>
      <c r="H245" s="203">
        <f t="shared" si="150"/>
        <v>0</v>
      </c>
      <c r="I245" s="6">
        <f t="shared" si="151"/>
        <v>436</v>
      </c>
      <c r="J245" s="200">
        <f>'Synthèse Horaires'!$C$5</f>
        <v>46023</v>
      </c>
      <c r="K245" s="6" t="str">
        <f t="shared" si="152"/>
        <v>oui</v>
      </c>
      <c r="L245" s="6" t="str">
        <f t="shared" si="153"/>
        <v>non</v>
      </c>
      <c r="M245" s="204" t="str">
        <f t="shared" si="154"/>
        <v>non</v>
      </c>
      <c r="N245" s="204" t="b">
        <f t="shared" si="155"/>
        <v>0</v>
      </c>
      <c r="O245" s="204">
        <f t="shared" si="156"/>
        <v>218</v>
      </c>
      <c r="P245" s="6">
        <f t="shared" si="157"/>
        <v>0</v>
      </c>
      <c r="Q245" s="6">
        <f t="shared" si="158"/>
        <v>436</v>
      </c>
      <c r="R245" s="6">
        <f t="shared" si="159"/>
        <v>0</v>
      </c>
      <c r="T245" s="205" t="s">
        <v>473</v>
      </c>
      <c r="U245">
        <f t="shared" ca="1" si="160"/>
        <v>2309</v>
      </c>
      <c r="V245" t="b">
        <f t="shared" si="161"/>
        <v>0</v>
      </c>
      <c r="W245">
        <f t="shared" ca="1" si="162"/>
        <v>1</v>
      </c>
      <c r="X245" s="6" t="str">
        <f t="shared" si="163"/>
        <v>non</v>
      </c>
      <c r="Y245" t="b">
        <f t="shared" si="164"/>
        <v>0</v>
      </c>
      <c r="Z245">
        <f t="shared" si="165"/>
        <v>218</v>
      </c>
      <c r="AA245" s="206">
        <f t="shared" si="130"/>
        <v>248</v>
      </c>
      <c r="AB245">
        <f t="shared" si="78"/>
        <v>0</v>
      </c>
      <c r="AC245">
        <f t="shared" si="79"/>
        <v>0</v>
      </c>
      <c r="AD245">
        <f t="shared" si="80"/>
        <v>0</v>
      </c>
      <c r="AE245">
        <f t="shared" si="131"/>
        <v>30</v>
      </c>
      <c r="AF245">
        <f t="shared" si="149"/>
        <v>0</v>
      </c>
      <c r="AG245">
        <f t="shared" si="132"/>
        <v>30</v>
      </c>
      <c r="AH245">
        <f t="shared" ref="AH245" si="167">IF(G245="Cadre",AG245,0)</f>
        <v>30</v>
      </c>
      <c r="AK245" s="205">
        <v>28479</v>
      </c>
      <c r="AL245" t="s">
        <v>508</v>
      </c>
      <c r="AQ245">
        <v>0</v>
      </c>
      <c r="AR245">
        <v>0</v>
      </c>
      <c r="AS245">
        <v>0</v>
      </c>
    </row>
    <row r="246" spans="2:45" x14ac:dyDescent="0.25">
      <c r="B246" s="17" t="s">
        <v>666</v>
      </c>
      <c r="C246" t="s">
        <v>629</v>
      </c>
      <c r="D246" s="205">
        <v>44805</v>
      </c>
      <c r="E246">
        <v>35</v>
      </c>
      <c r="F246">
        <v>0</v>
      </c>
      <c r="G246" t="s">
        <v>273</v>
      </c>
      <c r="H246" s="203">
        <f t="shared" ref="H246" si="168">ROUNDUP((($C$9/5)*E246)+($G$4*(E246/$G$5))+IF(E246=20,$G$10,(IF(E246=25,$G$9,(IF(E246=35,$G$6,IF(E246=39,$G$7,(IF(E246=41,$G$8,($G$6*(E246/$G$5)))))))))),0)</f>
        <v>1607</v>
      </c>
      <c r="I246" s="6">
        <f t="shared" ref="I246" si="169">F246*2</f>
        <v>0</v>
      </c>
      <c r="J246" s="200">
        <f>'Synthèse Horaires'!$C$5</f>
        <v>46023</v>
      </c>
      <c r="K246" s="6" t="str">
        <f t="shared" ref="K246" si="170">IF(N(D246)&lt;N($G$3),"oui","non")</f>
        <v>oui</v>
      </c>
      <c r="L246" s="6" t="str">
        <f t="shared" ref="L246" si="171">IF(N(D246)&gt;N($G$3),"oui","non")</f>
        <v>non</v>
      </c>
      <c r="M246" s="204">
        <f t="shared" ref="M246" si="172">IF(G246="Employé",(IF(K246="oui",H246,"non")),"non")</f>
        <v>1607</v>
      </c>
      <c r="N246" s="204">
        <f t="shared" ref="N246" si="173">IF(G246="Employé",(IF(L246="oui",(H246*(($G$3+365)-D246+1)/365),0)))</f>
        <v>0</v>
      </c>
      <c r="O246" s="204" t="str">
        <f t="shared" ref="O246" si="174">IF(G246="Cadre",(IF(K246="oui",F246,0)),"non")</f>
        <v>non</v>
      </c>
      <c r="P246" s="6" t="b">
        <f t="shared" ref="P246" si="175">IF(G246="Cadre",(IF(L246="oui",((((($G$3+365)-D246+1)*F246)/365)),0)))</f>
        <v>0</v>
      </c>
      <c r="Q246" s="6">
        <f t="shared" ref="Q246" si="176">IF(O246="non",0,O246*2)</f>
        <v>0</v>
      </c>
      <c r="R246" s="6">
        <f t="shared" ref="R246" si="177">IF(ISERROR(P246),0,P246*2)</f>
        <v>0</v>
      </c>
      <c r="T246" s="205" t="s">
        <v>199</v>
      </c>
      <c r="U246">
        <f t="shared" ref="U246" ca="1" si="178">TODAY()-D246</f>
        <v>1376</v>
      </c>
      <c r="V246">
        <f t="shared" ref="V246" ca="1" si="179">IF(G246="Employé",IF(U246&gt;9125,3,IF(U246&gt;7300,2,IF(U246&gt;5475,1,))))</f>
        <v>0</v>
      </c>
      <c r="W246" t="b">
        <f t="shared" ref="W246" si="180">IF(G246="Cadre",IF(U246&gt;3650,2,IF(U246&gt;1825,1,)))</f>
        <v>0</v>
      </c>
      <c r="X246" s="6" t="str">
        <f t="shared" ref="X246" si="181">IF(G246="Employé",IF(E246&lt;$G$5,E246,"non"),"non")</f>
        <v>non</v>
      </c>
      <c r="Y246">
        <f t="shared" ref="Y246" si="182">IF(AND(G246="Employé",N246=0),M246,N246)</f>
        <v>1607</v>
      </c>
      <c r="Z246" t="b">
        <f t="shared" ref="Z246" si="183">IF(AND(G246="Cadre",P246=0),O246,P246)</f>
        <v>0</v>
      </c>
      <c r="AA246" s="206">
        <f t="shared" ref="AA246" si="184">(IF(Y246=FALSE(),(Z246+AB246),(AD246)))+AF246+AH246+AI246</f>
        <v>1817</v>
      </c>
      <c r="AB246">
        <f t="shared" ref="AB246" si="185">IF(AND(L246="oui",G246="Cadre"),(30*(Z246/F246)),0)</f>
        <v>0</v>
      </c>
      <c r="AC246">
        <f t="shared" ref="AC246" si="186">IF(AND(G246="Employé",L246="oui"),(30*(Y246/H246)),0)</f>
        <v>0</v>
      </c>
      <c r="AD246">
        <f t="shared" ref="AD246" si="187">Y246+(AC246*(E246/6))</f>
        <v>1607</v>
      </c>
      <c r="AE246">
        <f t="shared" si="131"/>
        <v>30</v>
      </c>
      <c r="AF246">
        <f t="shared" ref="AF246" si="188">IF(AND(G246="Employé",L246="oui"),0,(AE246*(E246/5)))</f>
        <v>210</v>
      </c>
      <c r="AG246">
        <f t="shared" si="132"/>
        <v>30</v>
      </c>
      <c r="AH246">
        <f t="shared" ref="AH246" si="189">IF(G246="Cadre",AG246,0)</f>
        <v>0</v>
      </c>
      <c r="AK246" s="205">
        <v>38339</v>
      </c>
      <c r="AL246" t="s">
        <v>539</v>
      </c>
      <c r="AQ246">
        <v>0</v>
      </c>
      <c r="AR246">
        <v>0</v>
      </c>
      <c r="AS246">
        <v>0</v>
      </c>
    </row>
    <row r="247" spans="2:45" x14ac:dyDescent="0.25">
      <c r="B247" s="17" t="s">
        <v>666</v>
      </c>
      <c r="C247" t="s">
        <v>418</v>
      </c>
      <c r="D247" s="205">
        <v>43017</v>
      </c>
      <c r="E247">
        <v>35</v>
      </c>
      <c r="G247" t="s">
        <v>273</v>
      </c>
      <c r="H247" s="203">
        <f t="shared" ref="H247:H249" si="190">ROUNDUP((($C$9/5)*E247)+($G$4*(E247/$G$5))+IF(E247=20,$G$10,(IF(E247=25,$G$9,(IF(E247=35,$G$6,IF(E247=39,$G$7,(IF(E247=41,$G$8,($G$6*(E247/$G$5)))))))))),0)</f>
        <v>1607</v>
      </c>
      <c r="I247" s="6">
        <f t="shared" ref="I247:I249" si="191">F247*2</f>
        <v>0</v>
      </c>
      <c r="J247" s="200">
        <f>'Synthèse Horaires'!$C$5</f>
        <v>46023</v>
      </c>
      <c r="K247" s="6" t="str">
        <f t="shared" ref="K247:K249" si="192">IF(N(D247)&lt;N($G$3),"oui","non")</f>
        <v>oui</v>
      </c>
      <c r="L247" s="6" t="str">
        <f t="shared" ref="L247:L249" si="193">IF(N(D247)&gt;N($G$3),"oui","non")</f>
        <v>non</v>
      </c>
      <c r="M247" s="204">
        <f t="shared" ref="M247:M249" si="194">IF(G247="Employé",(IF(K247="oui",H247,"non")),"non")</f>
        <v>1607</v>
      </c>
      <c r="N247" s="204">
        <f t="shared" ref="N247:N249" si="195">IF(G247="Employé",(IF(L247="oui",(H247*(($G$3+365)-D247+1)/365),0)))</f>
        <v>0</v>
      </c>
      <c r="O247" s="204" t="str">
        <f t="shared" ref="O247:O249" si="196">IF(G247="Cadre",(IF(K247="oui",F247,0)),"non")</f>
        <v>non</v>
      </c>
      <c r="P247" s="6" t="b">
        <f t="shared" ref="P247:P249" si="197">IF(G247="Cadre",(IF(L247="oui",((((($G$3+365)-D247+1)*F247)/365)),0)))</f>
        <v>0</v>
      </c>
      <c r="Q247" s="6">
        <f t="shared" ref="Q247:Q249" si="198">IF(O247="non",0,O247*2)</f>
        <v>0</v>
      </c>
      <c r="R247" s="6">
        <f t="shared" ref="R247:R249" si="199">IF(ISERROR(P247),0,P247*2)</f>
        <v>0</v>
      </c>
      <c r="S247" t="s">
        <v>342</v>
      </c>
      <c r="T247" s="205" t="s">
        <v>187</v>
      </c>
      <c r="U247">
        <f t="shared" ref="U247:U249" ca="1" si="200">TODAY()-D247</f>
        <v>3164</v>
      </c>
      <c r="V247">
        <f t="shared" ref="V247:V249" ca="1" si="201">IF(G247="Employé",IF(U247&gt;9125,3,IF(U247&gt;7300,2,IF(U247&gt;5475,1,))))</f>
        <v>0</v>
      </c>
      <c r="W247" t="b">
        <f t="shared" ref="W247:W249" si="202">IF(G247="Cadre",IF(U247&gt;3650,2,IF(U247&gt;1825,1,)))</f>
        <v>0</v>
      </c>
      <c r="X247" s="6" t="str">
        <f t="shared" ref="X247:X249" si="203">IF(G247="Employé",IF(E247&lt;$G$5,E247,"non"),"non")</f>
        <v>non</v>
      </c>
      <c r="Y247">
        <f t="shared" ref="Y247:Y249" si="204">IF(AND(G247="Employé",N247=0),M247,N247)</f>
        <v>1607</v>
      </c>
      <c r="Z247" t="b">
        <f t="shared" ref="Z247:Z249" si="205">IF(AND(G247="Cadre",P247=0),O247,P247)</f>
        <v>0</v>
      </c>
      <c r="AA247" s="206">
        <f t="shared" ref="AA247:AA249" si="206">(IF(Y247=FALSE(),(Z247+AB247),(AD247)))+AF247+AH247+AI247</f>
        <v>1817</v>
      </c>
      <c r="AB247">
        <f t="shared" ref="AB247:AB249" si="207">IF(AND(L247="oui",G247="Cadre"),(30*(Z247/F247)),0)</f>
        <v>0</v>
      </c>
      <c r="AC247">
        <f t="shared" ref="AC247:AC249" si="208">IF(AND(G247="Employé",L247="oui"),(30*(Y247/H247)),0)</f>
        <v>0</v>
      </c>
      <c r="AD247">
        <f t="shared" ref="AD247:AD249" si="209">Y247+(AC247*(E247/6))</f>
        <v>1607</v>
      </c>
      <c r="AE247">
        <f t="shared" si="131"/>
        <v>30</v>
      </c>
      <c r="AF247">
        <f t="shared" ref="AF247:AF249" si="210">IF(AND(G247="Employé",L247="oui"),0,(AE247*(E247/5)))</f>
        <v>210</v>
      </c>
      <c r="AG247">
        <f t="shared" si="132"/>
        <v>30</v>
      </c>
      <c r="AH247">
        <f t="shared" ref="AH247:AH249" si="211">IF(G247="Cadre",AG247,0)</f>
        <v>0</v>
      </c>
      <c r="AK247" s="205">
        <v>25156</v>
      </c>
      <c r="AL247" t="s">
        <v>493</v>
      </c>
      <c r="AQ247">
        <v>0</v>
      </c>
      <c r="AR247">
        <v>0</v>
      </c>
      <c r="AS247">
        <v>0</v>
      </c>
    </row>
    <row r="248" spans="2:45" x14ac:dyDescent="0.25">
      <c r="B248" s="17" t="s">
        <v>666</v>
      </c>
      <c r="C248" t="s">
        <v>486</v>
      </c>
      <c r="D248" s="205">
        <v>43892</v>
      </c>
      <c r="E248">
        <v>35</v>
      </c>
      <c r="G248" t="s">
        <v>273</v>
      </c>
      <c r="H248" s="203">
        <f t="shared" si="190"/>
        <v>1607</v>
      </c>
      <c r="I248" s="6">
        <f t="shared" si="191"/>
        <v>0</v>
      </c>
      <c r="J248" s="200">
        <f>'Synthèse Horaires'!$C$5</f>
        <v>46023</v>
      </c>
      <c r="K248" s="6" t="str">
        <f t="shared" si="192"/>
        <v>oui</v>
      </c>
      <c r="L248" s="6" t="str">
        <f t="shared" si="193"/>
        <v>non</v>
      </c>
      <c r="M248" s="204">
        <f t="shared" si="194"/>
        <v>1607</v>
      </c>
      <c r="N248" s="204">
        <f t="shared" si="195"/>
        <v>0</v>
      </c>
      <c r="O248" s="204" t="str">
        <f t="shared" si="196"/>
        <v>non</v>
      </c>
      <c r="P248" s="6" t="b">
        <f t="shared" si="197"/>
        <v>0</v>
      </c>
      <c r="Q248" s="6">
        <f t="shared" si="198"/>
        <v>0</v>
      </c>
      <c r="R248" s="6">
        <f t="shared" si="199"/>
        <v>0</v>
      </c>
      <c r="T248" s="205" t="s">
        <v>465</v>
      </c>
      <c r="U248">
        <f t="shared" ca="1" si="200"/>
        <v>2289</v>
      </c>
      <c r="V248">
        <f t="shared" ca="1" si="201"/>
        <v>0</v>
      </c>
      <c r="W248" t="b">
        <f t="shared" si="202"/>
        <v>0</v>
      </c>
      <c r="X248" s="6" t="str">
        <f t="shared" si="203"/>
        <v>non</v>
      </c>
      <c r="Y248">
        <f t="shared" si="204"/>
        <v>1607</v>
      </c>
      <c r="Z248" t="b">
        <f t="shared" si="205"/>
        <v>0</v>
      </c>
      <c r="AA248" s="206">
        <f t="shared" si="206"/>
        <v>1817</v>
      </c>
      <c r="AB248">
        <f t="shared" si="207"/>
        <v>0</v>
      </c>
      <c r="AC248">
        <f t="shared" si="208"/>
        <v>0</v>
      </c>
      <c r="AD248">
        <f t="shared" si="209"/>
        <v>1607</v>
      </c>
      <c r="AE248">
        <f t="shared" si="131"/>
        <v>30</v>
      </c>
      <c r="AF248">
        <f t="shared" si="210"/>
        <v>210</v>
      </c>
      <c r="AG248">
        <f t="shared" si="132"/>
        <v>30</v>
      </c>
      <c r="AH248">
        <f t="shared" si="211"/>
        <v>0</v>
      </c>
      <c r="AK248" s="205">
        <v>0</v>
      </c>
      <c r="AL248">
        <v>0</v>
      </c>
      <c r="AQ248">
        <v>0</v>
      </c>
      <c r="AR248">
        <v>0</v>
      </c>
      <c r="AS248">
        <v>0</v>
      </c>
    </row>
    <row r="249" spans="2:45" x14ac:dyDescent="0.25">
      <c r="B249" s="17" t="s">
        <v>666</v>
      </c>
      <c r="C249" t="s">
        <v>541</v>
      </c>
      <c r="D249" s="205">
        <v>44137</v>
      </c>
      <c r="E249">
        <v>39</v>
      </c>
      <c r="F249">
        <v>0</v>
      </c>
      <c r="G249" t="s">
        <v>273</v>
      </c>
      <c r="H249" s="203">
        <f t="shared" si="190"/>
        <v>1787</v>
      </c>
      <c r="I249" s="6">
        <f t="shared" si="191"/>
        <v>0</v>
      </c>
      <c r="J249" s="200">
        <f>'Synthèse Horaires'!$C$5</f>
        <v>46023</v>
      </c>
      <c r="K249" s="6" t="str">
        <f t="shared" si="192"/>
        <v>oui</v>
      </c>
      <c r="L249" s="6" t="str">
        <f t="shared" si="193"/>
        <v>non</v>
      </c>
      <c r="M249" s="204">
        <f t="shared" si="194"/>
        <v>1787</v>
      </c>
      <c r="N249" s="204">
        <f t="shared" si="195"/>
        <v>0</v>
      </c>
      <c r="O249" s="204" t="str">
        <f t="shared" si="196"/>
        <v>non</v>
      </c>
      <c r="P249" s="6" t="b">
        <f t="shared" si="197"/>
        <v>0</v>
      </c>
      <c r="Q249" s="6">
        <f t="shared" si="198"/>
        <v>0</v>
      </c>
      <c r="R249" s="6">
        <f t="shared" si="199"/>
        <v>0</v>
      </c>
      <c r="T249" s="205" t="s">
        <v>195</v>
      </c>
      <c r="U249">
        <f t="shared" ca="1" si="200"/>
        <v>2044</v>
      </c>
      <c r="V249">
        <f t="shared" ca="1" si="201"/>
        <v>0</v>
      </c>
      <c r="W249" t="b">
        <f t="shared" si="202"/>
        <v>0</v>
      </c>
      <c r="X249" s="6" t="str">
        <f t="shared" si="203"/>
        <v>non</v>
      </c>
      <c r="Y249">
        <f t="shared" si="204"/>
        <v>1787</v>
      </c>
      <c r="Z249" t="b">
        <f t="shared" si="205"/>
        <v>0</v>
      </c>
      <c r="AA249" s="206">
        <f t="shared" si="206"/>
        <v>2021</v>
      </c>
      <c r="AB249">
        <f t="shared" si="207"/>
        <v>0</v>
      </c>
      <c r="AC249">
        <f t="shared" si="208"/>
        <v>0</v>
      </c>
      <c r="AD249">
        <f t="shared" si="209"/>
        <v>1787</v>
      </c>
      <c r="AE249">
        <f t="shared" si="131"/>
        <v>30</v>
      </c>
      <c r="AF249">
        <f t="shared" si="210"/>
        <v>234</v>
      </c>
      <c r="AG249">
        <f t="shared" si="132"/>
        <v>30</v>
      </c>
      <c r="AH249">
        <f t="shared" si="211"/>
        <v>0</v>
      </c>
      <c r="AK249" s="205">
        <v>36768</v>
      </c>
      <c r="AL249" t="s">
        <v>492</v>
      </c>
      <c r="AQ249">
        <v>0</v>
      </c>
      <c r="AR249">
        <v>0</v>
      </c>
      <c r="AS249">
        <v>0</v>
      </c>
    </row>
    <row r="250" spans="2:45" x14ac:dyDescent="0.25">
      <c r="B250" s="17">
        <v>800000013</v>
      </c>
      <c r="C250" t="s">
        <v>419</v>
      </c>
      <c r="D250" s="205">
        <v>42935</v>
      </c>
      <c r="E250">
        <v>35</v>
      </c>
      <c r="G250" t="s">
        <v>273</v>
      </c>
      <c r="H250" s="203">
        <f t="shared" ref="H250:H255" si="212">ROUNDUP((($C$9/5)*E250)+($G$4*(E250/$G$5))+IF(E250=20,$G$10,(IF(E250=25,$G$9,(IF(E250=35,$G$6,IF(E250=39,$G$7,(IF(E250=41,$G$8,($G$6*(E250/$G$5)))))))))),0)</f>
        <v>1607</v>
      </c>
      <c r="I250" s="6">
        <f t="shared" ref="I250:I255" si="213">F250*2</f>
        <v>0</v>
      </c>
      <c r="J250" s="200">
        <f>'Synthèse Horaires'!$C$5</f>
        <v>46023</v>
      </c>
      <c r="K250" s="6" t="str">
        <f t="shared" ref="K250:K255" si="214">IF(N(D250)&lt;N($G$3),"oui","non")</f>
        <v>oui</v>
      </c>
      <c r="L250" s="6" t="str">
        <f t="shared" ref="L250:L255" si="215">IF(N(D250)&gt;N($G$3),"oui","non")</f>
        <v>non</v>
      </c>
      <c r="M250" s="204">
        <f t="shared" ref="M250:M255" si="216">IF(G250="Employé",(IF(K250="oui",H250,"non")),"non")</f>
        <v>1607</v>
      </c>
      <c r="N250" s="204">
        <f t="shared" ref="N250:N255" si="217">IF(G250="Employé",(IF(L250="oui",(H250*(($G$3+365)-D250+1)/365),0)))</f>
        <v>0</v>
      </c>
      <c r="O250" s="204" t="str">
        <f t="shared" ref="O250:O255" si="218">IF(G250="Cadre",(IF(K250="oui",F250,0)),"non")</f>
        <v>non</v>
      </c>
      <c r="P250" s="6" t="b">
        <f t="shared" ref="P250:P255" si="219">IF(G250="Cadre",(IF(L250="oui",((((($G$3+365)-D250+1)*F250)/365)),0)))</f>
        <v>0</v>
      </c>
      <c r="Q250" s="6">
        <f t="shared" ref="Q250:Q255" si="220">IF(O250="non",0,O250*2)</f>
        <v>0</v>
      </c>
      <c r="R250" s="6">
        <f t="shared" ref="R250:R255" si="221">IF(ISERROR(P250),0,P250*2)</f>
        <v>0</v>
      </c>
      <c r="T250" s="205" t="s">
        <v>192</v>
      </c>
      <c r="U250">
        <f t="shared" ref="U250:U255" ca="1" si="222">TODAY()-D250</f>
        <v>3246</v>
      </c>
      <c r="V250">
        <f t="shared" ref="V250:V255" ca="1" si="223">IF(G250="Employé",IF(U250&gt;9125,3,IF(U250&gt;7300,2,IF(U250&gt;5475,1,))))</f>
        <v>0</v>
      </c>
      <c r="W250" t="b">
        <f t="shared" ref="W250:W255" si="224">IF(G250="Cadre",IF(U250&gt;3650,2,IF(U250&gt;1825,1,)))</f>
        <v>0</v>
      </c>
      <c r="X250" s="6" t="str">
        <f t="shared" ref="X250:X255" si="225">IF(G250="Employé",IF(E250&lt;$G$5,E250,"non"),"non")</f>
        <v>non</v>
      </c>
      <c r="Y250">
        <f t="shared" ref="Y250:Y255" si="226">IF(AND(G250="Employé",N250=0),M250,N250)</f>
        <v>1607</v>
      </c>
      <c r="Z250" t="b">
        <f t="shared" ref="Z250:Z255" si="227">IF(AND(G250="Cadre",P250=0),O250,P250)</f>
        <v>0</v>
      </c>
      <c r="AA250" s="206">
        <f t="shared" ref="AA250:AA255" si="228">(IF(Y250=FALSE(),(Z250+AB250),(AD250)))+AF250+AH250+AI250</f>
        <v>1607</v>
      </c>
      <c r="AB250">
        <f t="shared" ref="AB250:AB255" si="229">IF(AND(L250="oui",G250="Cadre"),(30*(Z250/F250)),0)</f>
        <v>0</v>
      </c>
      <c r="AC250">
        <f t="shared" ref="AC250:AC255" si="230">IF(AND(G250="Employé",L250="oui"),(30*(Y250/H250)),0)</f>
        <v>0</v>
      </c>
      <c r="AD250">
        <f t="shared" ref="AD250:AD255" si="231">Y250+(AC250*(E250/6))</f>
        <v>1607</v>
      </c>
      <c r="AE250">
        <f t="shared" si="131"/>
        <v>0</v>
      </c>
      <c r="AF250">
        <f t="shared" ref="AF250:AF255" si="232">IF(AND(G250="Employé",L250="oui"),0,(AE250*(E250/5)))</f>
        <v>0</v>
      </c>
      <c r="AG250">
        <f t="shared" si="132"/>
        <v>0</v>
      </c>
      <c r="AH250">
        <f t="shared" ref="AH250:AH255" si="233">IF(G250="Cadre",AG250,0)</f>
        <v>0</v>
      </c>
      <c r="AK250" s="205">
        <v>30781</v>
      </c>
      <c r="AL250" t="s">
        <v>514</v>
      </c>
      <c r="AQ250">
        <v>0</v>
      </c>
      <c r="AR250">
        <v>0</v>
      </c>
      <c r="AS250">
        <v>0</v>
      </c>
    </row>
    <row r="251" spans="2:45" x14ac:dyDescent="0.25">
      <c r="B251" s="17" t="s">
        <v>666</v>
      </c>
      <c r="C251" t="s">
        <v>487</v>
      </c>
      <c r="D251" s="205">
        <v>43906</v>
      </c>
      <c r="E251">
        <v>35</v>
      </c>
      <c r="G251" t="s">
        <v>273</v>
      </c>
      <c r="H251" s="203">
        <f t="shared" si="212"/>
        <v>1607</v>
      </c>
      <c r="I251" s="6">
        <f t="shared" si="213"/>
        <v>0</v>
      </c>
      <c r="J251" s="200">
        <f>'Synthèse Horaires'!$C$5</f>
        <v>46023</v>
      </c>
      <c r="K251" s="6" t="str">
        <f t="shared" si="214"/>
        <v>oui</v>
      </c>
      <c r="L251" s="6" t="str">
        <f t="shared" si="215"/>
        <v>non</v>
      </c>
      <c r="M251" s="204">
        <f t="shared" si="216"/>
        <v>1607</v>
      </c>
      <c r="N251" s="204">
        <f t="shared" si="217"/>
        <v>0</v>
      </c>
      <c r="O251" s="204" t="str">
        <f t="shared" si="218"/>
        <v>non</v>
      </c>
      <c r="P251" s="6" t="b">
        <f t="shared" si="219"/>
        <v>0</v>
      </c>
      <c r="Q251" s="6">
        <f t="shared" si="220"/>
        <v>0</v>
      </c>
      <c r="R251" s="6">
        <f t="shared" si="221"/>
        <v>0</v>
      </c>
      <c r="T251" s="205" t="s">
        <v>195</v>
      </c>
      <c r="U251">
        <f t="shared" ca="1" si="222"/>
        <v>2275</v>
      </c>
      <c r="V251">
        <f t="shared" ca="1" si="223"/>
        <v>0</v>
      </c>
      <c r="W251" t="b">
        <f t="shared" si="224"/>
        <v>0</v>
      </c>
      <c r="X251" s="6" t="str">
        <f t="shared" si="225"/>
        <v>non</v>
      </c>
      <c r="Y251">
        <f t="shared" si="226"/>
        <v>1607</v>
      </c>
      <c r="Z251" t="b">
        <f t="shared" si="227"/>
        <v>0</v>
      </c>
      <c r="AA251" s="206">
        <f t="shared" si="228"/>
        <v>1817</v>
      </c>
      <c r="AB251">
        <f t="shared" si="229"/>
        <v>0</v>
      </c>
      <c r="AC251">
        <f t="shared" si="230"/>
        <v>0</v>
      </c>
      <c r="AD251">
        <f t="shared" si="231"/>
        <v>1607</v>
      </c>
      <c r="AE251">
        <f t="shared" si="131"/>
        <v>30</v>
      </c>
      <c r="AF251">
        <f t="shared" si="232"/>
        <v>210</v>
      </c>
      <c r="AG251">
        <f t="shared" si="132"/>
        <v>30</v>
      </c>
      <c r="AH251">
        <f t="shared" si="233"/>
        <v>0</v>
      </c>
      <c r="AK251" s="205">
        <v>29932</v>
      </c>
      <c r="AL251" t="s">
        <v>509</v>
      </c>
      <c r="AQ251">
        <v>0</v>
      </c>
      <c r="AR251">
        <v>0</v>
      </c>
      <c r="AS251">
        <v>0</v>
      </c>
    </row>
    <row r="252" spans="2:45" x14ac:dyDescent="0.25">
      <c r="B252" s="257" t="s">
        <v>666</v>
      </c>
      <c r="C252" s="5" t="s">
        <v>558</v>
      </c>
      <c r="D252" s="205">
        <v>44378</v>
      </c>
      <c r="E252">
        <v>35</v>
      </c>
      <c r="F252">
        <v>0</v>
      </c>
      <c r="G252" t="s">
        <v>273</v>
      </c>
      <c r="H252" s="203">
        <f t="shared" si="212"/>
        <v>1607</v>
      </c>
      <c r="I252" s="6">
        <f t="shared" si="213"/>
        <v>0</v>
      </c>
      <c r="J252" s="200">
        <f>'Synthèse Horaires'!$C$5</f>
        <v>46023</v>
      </c>
      <c r="K252" s="6" t="str">
        <f t="shared" si="214"/>
        <v>oui</v>
      </c>
      <c r="L252" s="6" t="str">
        <f t="shared" si="215"/>
        <v>non</v>
      </c>
      <c r="M252" s="204">
        <f t="shared" si="216"/>
        <v>1607</v>
      </c>
      <c r="N252" s="204">
        <f t="shared" si="217"/>
        <v>0</v>
      </c>
      <c r="O252" s="204" t="str">
        <f t="shared" si="218"/>
        <v>non</v>
      </c>
      <c r="P252" s="6" t="b">
        <f t="shared" si="219"/>
        <v>0</v>
      </c>
      <c r="Q252" s="6">
        <f t="shared" si="220"/>
        <v>0</v>
      </c>
      <c r="R252" s="6">
        <f t="shared" si="221"/>
        <v>0</v>
      </c>
      <c r="T252" s="205" t="s">
        <v>404</v>
      </c>
      <c r="U252">
        <f t="shared" ca="1" si="222"/>
        <v>1803</v>
      </c>
      <c r="V252">
        <f t="shared" ca="1" si="223"/>
        <v>0</v>
      </c>
      <c r="W252" t="b">
        <f t="shared" si="224"/>
        <v>0</v>
      </c>
      <c r="X252" s="6" t="str">
        <f t="shared" si="225"/>
        <v>non</v>
      </c>
      <c r="Y252">
        <f t="shared" si="226"/>
        <v>1607</v>
      </c>
      <c r="Z252" t="b">
        <f t="shared" si="227"/>
        <v>0</v>
      </c>
      <c r="AA252" s="206">
        <f t="shared" si="228"/>
        <v>1817</v>
      </c>
      <c r="AB252">
        <f t="shared" si="229"/>
        <v>0</v>
      </c>
      <c r="AC252">
        <f t="shared" si="230"/>
        <v>0</v>
      </c>
      <c r="AD252">
        <f t="shared" si="231"/>
        <v>1607</v>
      </c>
      <c r="AE252">
        <f t="shared" si="131"/>
        <v>30</v>
      </c>
      <c r="AF252">
        <f t="shared" si="232"/>
        <v>210</v>
      </c>
      <c r="AG252">
        <f t="shared" si="132"/>
        <v>30</v>
      </c>
      <c r="AH252">
        <f t="shared" si="233"/>
        <v>0</v>
      </c>
      <c r="AK252" s="205">
        <v>31449</v>
      </c>
      <c r="AL252" t="s">
        <v>582</v>
      </c>
      <c r="AQ252">
        <v>0</v>
      </c>
      <c r="AR252">
        <v>0</v>
      </c>
      <c r="AS252">
        <v>0</v>
      </c>
    </row>
    <row r="253" spans="2:45" x14ac:dyDescent="0.25">
      <c r="B253" s="17" t="s">
        <v>666</v>
      </c>
      <c r="C253" t="s">
        <v>488</v>
      </c>
      <c r="D253" s="205">
        <v>43908</v>
      </c>
      <c r="E253">
        <v>35</v>
      </c>
      <c r="G253" t="s">
        <v>273</v>
      </c>
      <c r="H253" s="203">
        <f t="shared" si="212"/>
        <v>1607</v>
      </c>
      <c r="I253" s="6">
        <f t="shared" si="213"/>
        <v>0</v>
      </c>
      <c r="J253" s="200">
        <f>'Synthèse Horaires'!$C$5</f>
        <v>46023</v>
      </c>
      <c r="K253" s="6" t="str">
        <f t="shared" si="214"/>
        <v>oui</v>
      </c>
      <c r="L253" s="6" t="str">
        <f t="shared" si="215"/>
        <v>non</v>
      </c>
      <c r="M253" s="204">
        <f t="shared" si="216"/>
        <v>1607</v>
      </c>
      <c r="N253" s="204">
        <f t="shared" si="217"/>
        <v>0</v>
      </c>
      <c r="O253" s="204" t="str">
        <f t="shared" si="218"/>
        <v>non</v>
      </c>
      <c r="P253" s="6" t="b">
        <f t="shared" si="219"/>
        <v>0</v>
      </c>
      <c r="Q253" s="6">
        <f t="shared" si="220"/>
        <v>0</v>
      </c>
      <c r="R253" s="6">
        <f t="shared" si="221"/>
        <v>0</v>
      </c>
      <c r="T253" s="205" t="s">
        <v>197</v>
      </c>
      <c r="U253">
        <f t="shared" ca="1" si="222"/>
        <v>2273</v>
      </c>
      <c r="V253">
        <f t="shared" ca="1" si="223"/>
        <v>0</v>
      </c>
      <c r="W253" t="b">
        <f t="shared" si="224"/>
        <v>0</v>
      </c>
      <c r="X253" s="6" t="str">
        <f t="shared" si="225"/>
        <v>non</v>
      </c>
      <c r="Y253">
        <f t="shared" si="226"/>
        <v>1607</v>
      </c>
      <c r="Z253" t="b">
        <f t="shared" si="227"/>
        <v>0</v>
      </c>
      <c r="AA253" s="206">
        <f t="shared" si="228"/>
        <v>1817</v>
      </c>
      <c r="AB253">
        <f t="shared" si="229"/>
        <v>0</v>
      </c>
      <c r="AC253">
        <f t="shared" si="230"/>
        <v>0</v>
      </c>
      <c r="AD253">
        <f t="shared" si="231"/>
        <v>1607</v>
      </c>
      <c r="AE253">
        <f t="shared" si="131"/>
        <v>30</v>
      </c>
      <c r="AF253">
        <f t="shared" si="232"/>
        <v>210</v>
      </c>
      <c r="AG253">
        <f t="shared" si="132"/>
        <v>30</v>
      </c>
      <c r="AH253">
        <f t="shared" si="233"/>
        <v>0</v>
      </c>
      <c r="AK253" s="205">
        <v>0</v>
      </c>
      <c r="AL253">
        <v>0</v>
      </c>
      <c r="AQ253">
        <v>0</v>
      </c>
      <c r="AR253">
        <v>0</v>
      </c>
      <c r="AS253">
        <v>0</v>
      </c>
    </row>
    <row r="254" spans="2:45" x14ac:dyDescent="0.25">
      <c r="B254" s="17" t="s">
        <v>666</v>
      </c>
      <c r="C254" t="s">
        <v>420</v>
      </c>
      <c r="D254" s="205">
        <v>42937</v>
      </c>
      <c r="E254">
        <v>35</v>
      </c>
      <c r="G254" t="s">
        <v>273</v>
      </c>
      <c r="H254" s="203">
        <f t="shared" si="212"/>
        <v>1607</v>
      </c>
      <c r="I254" s="6">
        <f t="shared" si="213"/>
        <v>0</v>
      </c>
      <c r="J254" s="200">
        <f>'Synthèse Horaires'!$C$5</f>
        <v>46023</v>
      </c>
      <c r="K254" s="6" t="str">
        <f t="shared" si="214"/>
        <v>oui</v>
      </c>
      <c r="L254" s="6" t="str">
        <f t="shared" si="215"/>
        <v>non</v>
      </c>
      <c r="M254" s="204">
        <f t="shared" si="216"/>
        <v>1607</v>
      </c>
      <c r="N254" s="204">
        <f t="shared" si="217"/>
        <v>0</v>
      </c>
      <c r="O254" s="204" t="str">
        <f t="shared" si="218"/>
        <v>non</v>
      </c>
      <c r="P254" s="6" t="b">
        <f t="shared" si="219"/>
        <v>0</v>
      </c>
      <c r="Q254" s="6">
        <f t="shared" si="220"/>
        <v>0</v>
      </c>
      <c r="R254" s="6">
        <f t="shared" si="221"/>
        <v>0</v>
      </c>
      <c r="T254" s="205" t="s">
        <v>197</v>
      </c>
      <c r="U254">
        <f t="shared" ca="1" si="222"/>
        <v>3244</v>
      </c>
      <c r="V254">
        <f t="shared" ca="1" si="223"/>
        <v>0</v>
      </c>
      <c r="W254" t="b">
        <f t="shared" si="224"/>
        <v>0</v>
      </c>
      <c r="X254" s="6" t="str">
        <f t="shared" si="225"/>
        <v>non</v>
      </c>
      <c r="Y254">
        <f t="shared" si="226"/>
        <v>1607</v>
      </c>
      <c r="Z254" t="b">
        <f t="shared" si="227"/>
        <v>0</v>
      </c>
      <c r="AA254" s="206">
        <f t="shared" si="228"/>
        <v>1817</v>
      </c>
      <c r="AB254">
        <f t="shared" si="229"/>
        <v>0</v>
      </c>
      <c r="AC254">
        <f t="shared" si="230"/>
        <v>0</v>
      </c>
      <c r="AD254">
        <f t="shared" si="231"/>
        <v>1607</v>
      </c>
      <c r="AE254">
        <f t="shared" si="131"/>
        <v>30</v>
      </c>
      <c r="AF254">
        <f t="shared" si="232"/>
        <v>210</v>
      </c>
      <c r="AG254">
        <f t="shared" si="132"/>
        <v>30</v>
      </c>
      <c r="AH254">
        <f t="shared" si="233"/>
        <v>0</v>
      </c>
      <c r="AK254" s="205">
        <v>33232</v>
      </c>
      <c r="AL254" t="s">
        <v>496</v>
      </c>
      <c r="AQ254">
        <v>0</v>
      </c>
      <c r="AR254">
        <v>0</v>
      </c>
      <c r="AS254">
        <v>0</v>
      </c>
    </row>
    <row r="255" spans="2:45" x14ac:dyDescent="0.25">
      <c r="B255" s="17" t="s">
        <v>666</v>
      </c>
      <c r="C255" t="s">
        <v>421</v>
      </c>
      <c r="D255" s="205">
        <v>42948</v>
      </c>
      <c r="E255">
        <v>35</v>
      </c>
      <c r="G255" t="s">
        <v>273</v>
      </c>
      <c r="H255" s="203">
        <f t="shared" si="212"/>
        <v>1607</v>
      </c>
      <c r="I255" s="6">
        <f t="shared" si="213"/>
        <v>0</v>
      </c>
      <c r="J255" s="200">
        <f>'Synthèse Horaires'!$C$5</f>
        <v>46023</v>
      </c>
      <c r="K255" s="6" t="str">
        <f t="shared" si="214"/>
        <v>oui</v>
      </c>
      <c r="L255" s="6" t="str">
        <f t="shared" si="215"/>
        <v>non</v>
      </c>
      <c r="M255" s="204">
        <f t="shared" si="216"/>
        <v>1607</v>
      </c>
      <c r="N255" s="204">
        <f t="shared" si="217"/>
        <v>0</v>
      </c>
      <c r="O255" s="204" t="str">
        <f t="shared" si="218"/>
        <v>non</v>
      </c>
      <c r="P255" s="6" t="b">
        <f t="shared" si="219"/>
        <v>0</v>
      </c>
      <c r="Q255" s="6">
        <f t="shared" si="220"/>
        <v>0</v>
      </c>
      <c r="R255" s="6">
        <f t="shared" si="221"/>
        <v>0</v>
      </c>
      <c r="T255" s="205" t="s">
        <v>185</v>
      </c>
      <c r="U255">
        <f t="shared" ca="1" si="222"/>
        <v>3233</v>
      </c>
      <c r="V255">
        <f t="shared" ca="1" si="223"/>
        <v>0</v>
      </c>
      <c r="W255" t="b">
        <f t="shared" si="224"/>
        <v>0</v>
      </c>
      <c r="X255" s="6" t="str">
        <f t="shared" si="225"/>
        <v>non</v>
      </c>
      <c r="Y255">
        <f t="shared" si="226"/>
        <v>1607</v>
      </c>
      <c r="Z255" t="b">
        <f t="shared" si="227"/>
        <v>0</v>
      </c>
      <c r="AA255" s="206">
        <f t="shared" si="228"/>
        <v>1817</v>
      </c>
      <c r="AB255">
        <f t="shared" si="229"/>
        <v>0</v>
      </c>
      <c r="AC255">
        <f t="shared" si="230"/>
        <v>0</v>
      </c>
      <c r="AD255">
        <f t="shared" si="231"/>
        <v>1607</v>
      </c>
      <c r="AE255">
        <f t="shared" si="131"/>
        <v>30</v>
      </c>
      <c r="AF255">
        <f t="shared" si="232"/>
        <v>210</v>
      </c>
      <c r="AG255">
        <f t="shared" si="132"/>
        <v>30</v>
      </c>
      <c r="AH255">
        <f t="shared" si="233"/>
        <v>0</v>
      </c>
      <c r="AK255" s="205">
        <v>31397</v>
      </c>
      <c r="AL255" t="s">
        <v>492</v>
      </c>
      <c r="AQ255">
        <v>0</v>
      </c>
      <c r="AR255">
        <v>0</v>
      </c>
      <c r="AS255">
        <v>0</v>
      </c>
    </row>
    <row r="256" spans="2:45" x14ac:dyDescent="0.25">
      <c r="B256" s="17">
        <v>3000000028</v>
      </c>
      <c r="C256" t="s">
        <v>489</v>
      </c>
      <c r="D256" s="205">
        <v>43913</v>
      </c>
      <c r="E256">
        <v>35</v>
      </c>
      <c r="G256" t="s">
        <v>273</v>
      </c>
      <c r="H256" s="203">
        <f t="shared" ref="H256:H259" si="234">ROUNDUP((($C$9/5)*E256)+($G$4*(E256/$G$5))+IF(E256=20,$G$10,(IF(E256=25,$G$9,(IF(E256=35,$G$6,IF(E256=39,$G$7,(IF(E256=41,$G$8,($G$6*(E256/$G$5)))))))))),0)</f>
        <v>1607</v>
      </c>
      <c r="I256" s="6">
        <f t="shared" ref="I256:I259" si="235">F256*2</f>
        <v>0</v>
      </c>
      <c r="J256" s="200">
        <f>'Synthèse Horaires'!$C$5</f>
        <v>46023</v>
      </c>
      <c r="K256" s="6" t="str">
        <f t="shared" ref="K256:K259" si="236">IF(N(D256)&lt;N($G$3),"oui","non")</f>
        <v>oui</v>
      </c>
      <c r="L256" s="6" t="str">
        <f t="shared" ref="L256:L259" si="237">IF(N(D256)&gt;N($G$3),"oui","non")</f>
        <v>non</v>
      </c>
      <c r="M256" s="204">
        <f t="shared" ref="M256:M259" si="238">IF(G256="Employé",(IF(K256="oui",H256,"non")),"non")</f>
        <v>1607</v>
      </c>
      <c r="N256" s="204">
        <f t="shared" ref="N256:N259" si="239">IF(G256="Employé",(IF(L256="oui",(H256*(($G$3+365)-D256+1)/365),0)))</f>
        <v>0</v>
      </c>
      <c r="O256" s="204" t="str">
        <f t="shared" ref="O256:O259" si="240">IF(G256="Cadre",(IF(K256="oui",F256,0)),"non")</f>
        <v>non</v>
      </c>
      <c r="P256" s="6" t="b">
        <f t="shared" ref="P256:P259" si="241">IF(G256="Cadre",(IF(L256="oui",((((($G$3+365)-D256+1)*F256)/365)),0)))</f>
        <v>0</v>
      </c>
      <c r="Q256" s="6">
        <f t="shared" ref="Q256:Q259" si="242">IF(O256="non",0,O256*2)</f>
        <v>0</v>
      </c>
      <c r="R256" s="6">
        <f t="shared" ref="R256:R259" si="243">IF(ISERROR(P256),0,P256*2)</f>
        <v>0</v>
      </c>
      <c r="T256" s="205" t="s">
        <v>465</v>
      </c>
      <c r="U256">
        <f t="shared" ref="U256:U259" ca="1" si="244">TODAY()-D256</f>
        <v>2268</v>
      </c>
      <c r="V256">
        <f t="shared" ref="V256:V259" ca="1" si="245">IF(G256="Employé",IF(U256&gt;9125,3,IF(U256&gt;7300,2,IF(U256&gt;5475,1,))))</f>
        <v>0</v>
      </c>
      <c r="W256" t="b">
        <f t="shared" ref="W256:W259" si="246">IF(G256="Cadre",IF(U256&gt;3650,2,IF(U256&gt;1825,1,)))</f>
        <v>0</v>
      </c>
      <c r="X256" s="6" t="str">
        <f t="shared" ref="X256:X259" si="247">IF(G256="Employé",IF(E256&lt;$G$5,E256,"non"),"non")</f>
        <v>non</v>
      </c>
      <c r="Y256">
        <f t="shared" ref="Y256:Y259" si="248">IF(AND(G256="Employé",N256=0),M256,N256)</f>
        <v>1607</v>
      </c>
      <c r="Z256" t="b">
        <f t="shared" ref="Z256:Z259" si="249">IF(AND(G256="Cadre",P256=0),O256,P256)</f>
        <v>0</v>
      </c>
      <c r="AA256" s="206">
        <f t="shared" ref="AA256:AA259" si="250">(IF(Y256=FALSE(),(Z256+AB256),(AD256)))+AF256+AH256+AI256</f>
        <v>1649</v>
      </c>
      <c r="AB256">
        <f t="shared" ref="AB256:AB259" si="251">IF(AND(L256="oui",G256="Cadre"),(30*(Z256/F256)),0)</f>
        <v>0</v>
      </c>
      <c r="AC256">
        <f t="shared" ref="AC256:AC259" si="252">IF(AND(G256="Employé",L256="oui"),(30*(Y256/H256)),0)</f>
        <v>0</v>
      </c>
      <c r="AD256">
        <f t="shared" ref="AD256:AD259" si="253">Y256+(AC256*(E256/6))</f>
        <v>1607</v>
      </c>
      <c r="AE256">
        <f t="shared" si="131"/>
        <v>6</v>
      </c>
      <c r="AF256">
        <f t="shared" ref="AF256:AF259" si="254">IF(AND(G256="Employé",L256="oui"),0,(AE256*(E256/5)))</f>
        <v>42</v>
      </c>
      <c r="AG256">
        <f t="shared" si="132"/>
        <v>6</v>
      </c>
      <c r="AH256">
        <f t="shared" ref="AH256:AH259" si="255">IF(G256="Cadre",AG256,0)</f>
        <v>0</v>
      </c>
      <c r="AK256" s="205">
        <v>32302</v>
      </c>
      <c r="AL256" t="s">
        <v>587</v>
      </c>
      <c r="AQ256">
        <v>0</v>
      </c>
      <c r="AR256">
        <v>0</v>
      </c>
      <c r="AS256">
        <v>0</v>
      </c>
    </row>
    <row r="257" spans="2:45" x14ac:dyDescent="0.25">
      <c r="B257" s="17" t="s">
        <v>666</v>
      </c>
      <c r="C257" t="s">
        <v>422</v>
      </c>
      <c r="D257" s="205">
        <v>42955</v>
      </c>
      <c r="E257">
        <v>35</v>
      </c>
      <c r="F257">
        <v>0</v>
      </c>
      <c r="G257" t="s">
        <v>273</v>
      </c>
      <c r="H257" s="203">
        <f t="shared" si="234"/>
        <v>1607</v>
      </c>
      <c r="I257" s="6">
        <f t="shared" si="235"/>
        <v>0</v>
      </c>
      <c r="J257" s="200">
        <f>'Synthèse Horaires'!$C$5</f>
        <v>46023</v>
      </c>
      <c r="K257" s="6" t="str">
        <f t="shared" si="236"/>
        <v>oui</v>
      </c>
      <c r="L257" s="6" t="str">
        <f t="shared" si="237"/>
        <v>non</v>
      </c>
      <c r="M257" s="204">
        <f t="shared" si="238"/>
        <v>1607</v>
      </c>
      <c r="N257" s="204">
        <f t="shared" si="239"/>
        <v>0</v>
      </c>
      <c r="O257" s="204" t="str">
        <f t="shared" si="240"/>
        <v>non</v>
      </c>
      <c r="P257" s="6" t="b">
        <f t="shared" si="241"/>
        <v>0</v>
      </c>
      <c r="Q257" s="6">
        <f t="shared" si="242"/>
        <v>0</v>
      </c>
      <c r="R257" s="6">
        <f t="shared" si="243"/>
        <v>0</v>
      </c>
      <c r="T257" s="205" t="s">
        <v>187</v>
      </c>
      <c r="U257">
        <f t="shared" ca="1" si="244"/>
        <v>3226</v>
      </c>
      <c r="V257">
        <f t="shared" ca="1" si="245"/>
        <v>0</v>
      </c>
      <c r="W257" t="b">
        <f t="shared" si="246"/>
        <v>0</v>
      </c>
      <c r="X257" s="6" t="str">
        <f t="shared" si="247"/>
        <v>non</v>
      </c>
      <c r="Y257">
        <f t="shared" si="248"/>
        <v>1607</v>
      </c>
      <c r="Z257" t="b">
        <f t="shared" si="249"/>
        <v>0</v>
      </c>
      <c r="AA257" s="206">
        <f t="shared" si="250"/>
        <v>1817</v>
      </c>
      <c r="AB257">
        <f t="shared" si="251"/>
        <v>0</v>
      </c>
      <c r="AC257">
        <f t="shared" si="252"/>
        <v>0</v>
      </c>
      <c r="AD257">
        <f t="shared" si="253"/>
        <v>1607</v>
      </c>
      <c r="AE257">
        <f t="shared" si="131"/>
        <v>30</v>
      </c>
      <c r="AF257">
        <f t="shared" si="254"/>
        <v>210</v>
      </c>
      <c r="AG257">
        <f t="shared" si="132"/>
        <v>30</v>
      </c>
      <c r="AH257">
        <f t="shared" si="255"/>
        <v>0</v>
      </c>
      <c r="AK257" s="205">
        <v>0</v>
      </c>
      <c r="AL257">
        <v>0</v>
      </c>
      <c r="AQ257">
        <v>0</v>
      </c>
      <c r="AR257">
        <v>0</v>
      </c>
      <c r="AS257">
        <v>0</v>
      </c>
    </row>
    <row r="258" spans="2:45" x14ac:dyDescent="0.25">
      <c r="B258" s="182" t="s">
        <v>666</v>
      </c>
      <c r="C258" t="s">
        <v>630</v>
      </c>
      <c r="D258" s="205">
        <v>44789</v>
      </c>
      <c r="E258">
        <v>35</v>
      </c>
      <c r="F258">
        <v>0</v>
      </c>
      <c r="G258" t="s">
        <v>273</v>
      </c>
      <c r="H258" s="203">
        <f t="shared" si="234"/>
        <v>1607</v>
      </c>
      <c r="I258" s="6">
        <f t="shared" si="235"/>
        <v>0</v>
      </c>
      <c r="J258" s="200">
        <f>'Synthèse Horaires'!$C$5</f>
        <v>46023</v>
      </c>
      <c r="K258" s="6" t="str">
        <f t="shared" si="236"/>
        <v>oui</v>
      </c>
      <c r="L258" s="6" t="str">
        <f t="shared" si="237"/>
        <v>non</v>
      </c>
      <c r="M258" s="204">
        <f t="shared" si="238"/>
        <v>1607</v>
      </c>
      <c r="N258" s="204">
        <f t="shared" si="239"/>
        <v>0</v>
      </c>
      <c r="O258" s="204" t="str">
        <f t="shared" si="240"/>
        <v>non</v>
      </c>
      <c r="P258" s="6" t="b">
        <f t="shared" si="241"/>
        <v>0</v>
      </c>
      <c r="Q258" s="6">
        <f t="shared" si="242"/>
        <v>0</v>
      </c>
      <c r="R258" s="6">
        <f t="shared" si="243"/>
        <v>0</v>
      </c>
      <c r="T258" s="205" t="s">
        <v>193</v>
      </c>
      <c r="U258">
        <f t="shared" ca="1" si="244"/>
        <v>1392</v>
      </c>
      <c r="V258">
        <f t="shared" ca="1" si="245"/>
        <v>0</v>
      </c>
      <c r="W258" t="b">
        <f t="shared" si="246"/>
        <v>0</v>
      </c>
      <c r="X258" s="6" t="str">
        <f t="shared" si="247"/>
        <v>non</v>
      </c>
      <c r="Y258">
        <f t="shared" si="248"/>
        <v>1607</v>
      </c>
      <c r="Z258" t="b">
        <f t="shared" si="249"/>
        <v>0</v>
      </c>
      <c r="AA258" s="206">
        <f t="shared" si="250"/>
        <v>1817</v>
      </c>
      <c r="AB258">
        <f t="shared" si="251"/>
        <v>0</v>
      </c>
      <c r="AC258">
        <f t="shared" si="252"/>
        <v>0</v>
      </c>
      <c r="AD258">
        <f t="shared" si="253"/>
        <v>1607</v>
      </c>
      <c r="AE258">
        <f t="shared" si="131"/>
        <v>30</v>
      </c>
      <c r="AF258">
        <f t="shared" si="254"/>
        <v>210</v>
      </c>
      <c r="AG258">
        <f t="shared" si="132"/>
        <v>30</v>
      </c>
      <c r="AH258">
        <f t="shared" si="255"/>
        <v>0</v>
      </c>
      <c r="AK258" s="205">
        <v>37477</v>
      </c>
      <c r="AL258" t="s">
        <v>539</v>
      </c>
      <c r="AQ258">
        <v>0</v>
      </c>
      <c r="AR258">
        <v>0</v>
      </c>
      <c r="AS258">
        <v>0</v>
      </c>
    </row>
    <row r="259" spans="2:45" x14ac:dyDescent="0.25">
      <c r="B259" s="182" t="s">
        <v>666</v>
      </c>
      <c r="C259" t="s">
        <v>424</v>
      </c>
      <c r="D259" s="205">
        <v>42979</v>
      </c>
      <c r="E259">
        <v>30</v>
      </c>
      <c r="F259">
        <v>0</v>
      </c>
      <c r="G259" t="s">
        <v>273</v>
      </c>
      <c r="H259" s="203">
        <f t="shared" si="234"/>
        <v>1378</v>
      </c>
      <c r="I259" s="6">
        <f t="shared" si="235"/>
        <v>0</v>
      </c>
      <c r="J259" s="200">
        <f>'Synthèse Horaires'!$C$5</f>
        <v>46023</v>
      </c>
      <c r="K259" s="6" t="str">
        <f t="shared" si="236"/>
        <v>oui</v>
      </c>
      <c r="L259" s="6" t="str">
        <f t="shared" si="237"/>
        <v>non</v>
      </c>
      <c r="M259" s="204">
        <f t="shared" si="238"/>
        <v>1378</v>
      </c>
      <c r="N259" s="204">
        <f t="shared" si="239"/>
        <v>0</v>
      </c>
      <c r="O259" s="204" t="str">
        <f t="shared" si="240"/>
        <v>non</v>
      </c>
      <c r="P259" s="6" t="b">
        <f t="shared" si="241"/>
        <v>0</v>
      </c>
      <c r="Q259" s="6">
        <f t="shared" si="242"/>
        <v>0</v>
      </c>
      <c r="R259" s="6">
        <f t="shared" si="243"/>
        <v>0</v>
      </c>
      <c r="T259" s="205" t="s">
        <v>182</v>
      </c>
      <c r="U259">
        <f t="shared" ca="1" si="244"/>
        <v>3202</v>
      </c>
      <c r="V259">
        <f t="shared" ca="1" si="245"/>
        <v>0</v>
      </c>
      <c r="W259" t="b">
        <f t="shared" si="246"/>
        <v>0</v>
      </c>
      <c r="X259" s="6">
        <f t="shared" si="247"/>
        <v>30</v>
      </c>
      <c r="Y259">
        <f t="shared" si="248"/>
        <v>1378</v>
      </c>
      <c r="Z259" t="b">
        <f t="shared" si="249"/>
        <v>0</v>
      </c>
      <c r="AA259" s="206">
        <f t="shared" si="250"/>
        <v>1558</v>
      </c>
      <c r="AB259">
        <f t="shared" si="251"/>
        <v>0</v>
      </c>
      <c r="AC259">
        <f t="shared" si="252"/>
        <v>0</v>
      </c>
      <c r="AD259">
        <f t="shared" si="253"/>
        <v>1378</v>
      </c>
      <c r="AE259">
        <f t="shared" si="131"/>
        <v>30</v>
      </c>
      <c r="AF259">
        <f t="shared" si="254"/>
        <v>180</v>
      </c>
      <c r="AG259">
        <f t="shared" si="132"/>
        <v>30</v>
      </c>
      <c r="AH259">
        <f t="shared" si="255"/>
        <v>0</v>
      </c>
      <c r="AK259" s="205">
        <v>0</v>
      </c>
      <c r="AL259">
        <v>0</v>
      </c>
      <c r="AQ259">
        <v>0</v>
      </c>
      <c r="AR259">
        <v>0</v>
      </c>
      <c r="AS259">
        <v>0</v>
      </c>
    </row>
    <row r="260" spans="2:45" x14ac:dyDescent="0.25">
      <c r="B260" s="182">
        <v>1900000012</v>
      </c>
      <c r="C260" t="s">
        <v>425</v>
      </c>
      <c r="D260" s="205">
        <v>42991</v>
      </c>
      <c r="E260">
        <v>0</v>
      </c>
      <c r="F260">
        <v>218</v>
      </c>
      <c r="G260" t="s">
        <v>102</v>
      </c>
      <c r="H260" s="203">
        <f t="shared" ref="H260:H261" si="256">ROUNDUP((($C$9/5)*E260)+($G$4*(E260/$G$5))+IF(E260=20,$G$10,(IF(E260=25,$G$9,(IF(E260=35,$G$6,IF(E260=39,$G$7,(IF(E260=41,$G$8,($G$6*(E260/$G$5)))))))))),0)</f>
        <v>0</v>
      </c>
      <c r="I260" s="6">
        <f t="shared" ref="I260:I261" si="257">F260*2</f>
        <v>436</v>
      </c>
      <c r="J260" s="200">
        <f>'Synthèse Horaires'!$C$5</f>
        <v>46023</v>
      </c>
      <c r="K260" s="6" t="str">
        <f t="shared" ref="K260:K261" si="258">IF(N(D260)&lt;N($G$3),"oui","non")</f>
        <v>oui</v>
      </c>
      <c r="L260" s="6" t="str">
        <f t="shared" ref="L260:L261" si="259">IF(N(D260)&gt;N($G$3),"oui","non")</f>
        <v>non</v>
      </c>
      <c r="M260" s="204" t="str">
        <f t="shared" ref="M260:M261" si="260">IF(G260="Employé",(IF(K260="oui",H260,"non")),"non")</f>
        <v>non</v>
      </c>
      <c r="N260" s="204" t="b">
        <f t="shared" ref="N260:N261" si="261">IF(G260="Employé",(IF(L260="oui",(H260*(($G$3+365)-D260+1)/365),0)))</f>
        <v>0</v>
      </c>
      <c r="O260" s="204">
        <f t="shared" ref="O260:O261" si="262">IF(G260="Cadre",(IF(K260="oui",F260,0)),"non")</f>
        <v>218</v>
      </c>
      <c r="P260" s="6">
        <f t="shared" ref="P260:P261" si="263">IF(G260="Cadre",(IF(L260="oui",((((($G$3+365)-D260+1)*F260)/365)),0)))</f>
        <v>0</v>
      </c>
      <c r="Q260" s="6">
        <f t="shared" ref="Q260:Q261" si="264">IF(O260="non",0,O260*2)</f>
        <v>436</v>
      </c>
      <c r="R260" s="6">
        <f t="shared" ref="R260:R261" si="265">IF(ISERROR(P260),0,P260*2)</f>
        <v>0</v>
      </c>
      <c r="T260" s="205" t="s">
        <v>195</v>
      </c>
      <c r="U260">
        <f t="shared" ref="U260:U261" ca="1" si="266">TODAY()-D260</f>
        <v>3190</v>
      </c>
      <c r="V260" t="b">
        <f t="shared" ref="V260:V261" si="267">IF(G260="Employé",IF(U260&gt;9125,3,IF(U260&gt;7300,2,IF(U260&gt;5475,1,))))</f>
        <v>0</v>
      </c>
      <c r="W260">
        <f t="shared" ref="W260:W261" ca="1" si="268">IF(G260="Cadre",IF(U260&gt;3650,2,IF(U260&gt;1825,1,)))</f>
        <v>1</v>
      </c>
      <c r="X260" s="6" t="str">
        <f t="shared" ref="X260:X261" si="269">IF(G260="Employé",IF(E260&lt;$G$5,E260,"non"),"non")</f>
        <v>non</v>
      </c>
      <c r="Y260" t="b">
        <f t="shared" ref="Y260:Y261" si="270">IF(AND(G260="Employé",N260=0),M260,N260)</f>
        <v>0</v>
      </c>
      <c r="Z260">
        <f t="shared" ref="Z260:Z261" si="271">IF(AND(G260="Cadre",P260=0),O260,P260)</f>
        <v>218</v>
      </c>
      <c r="AA260" s="206">
        <f t="shared" ref="AA260:AA261" si="272">(IF(Y260=FALSE(),(Z260+AB260),(AD260)))+AF260+AH260+AI260</f>
        <v>218</v>
      </c>
      <c r="AB260">
        <f t="shared" ref="AB260:AB261" si="273">IF(AND(L260="oui",G260="Cadre"),(30*(Z260/F260)),0)</f>
        <v>0</v>
      </c>
      <c r="AC260">
        <f t="shared" ref="AC260:AC261" si="274">IF(AND(G260="Employé",L260="oui"),(30*(Y260/H260)),0)</f>
        <v>0</v>
      </c>
      <c r="AD260">
        <f t="shared" ref="AD260:AD261" si="275">Y260+(AC260*(E260/6))</f>
        <v>0</v>
      </c>
      <c r="AE260">
        <f t="shared" si="131"/>
        <v>0</v>
      </c>
      <c r="AF260">
        <f t="shared" ref="AF260:AF261" si="276">IF(AND(G260="Employé",L260="oui"),0,(AE260*(E260/5)))</f>
        <v>0</v>
      </c>
      <c r="AG260">
        <f t="shared" si="132"/>
        <v>0</v>
      </c>
      <c r="AH260">
        <f t="shared" ref="AH260:AH261" si="277">IF(G260="Cadre",AG260,0)</f>
        <v>0</v>
      </c>
      <c r="AK260" s="205">
        <v>32836</v>
      </c>
      <c r="AL260" t="s">
        <v>591</v>
      </c>
      <c r="AQ260">
        <v>0</v>
      </c>
      <c r="AR260">
        <v>0</v>
      </c>
      <c r="AS260">
        <v>0</v>
      </c>
    </row>
    <row r="261" spans="2:45" x14ac:dyDescent="0.25">
      <c r="B261" s="182" t="s">
        <v>666</v>
      </c>
      <c r="C261" t="s">
        <v>426</v>
      </c>
      <c r="D261" s="205">
        <v>42990</v>
      </c>
      <c r="E261">
        <v>35</v>
      </c>
      <c r="F261">
        <v>0</v>
      </c>
      <c r="G261" t="s">
        <v>273</v>
      </c>
      <c r="H261" s="203">
        <f t="shared" si="256"/>
        <v>1607</v>
      </c>
      <c r="I261" s="6">
        <f t="shared" si="257"/>
        <v>0</v>
      </c>
      <c r="J261" s="200">
        <f>'Synthèse Horaires'!$C$5</f>
        <v>46023</v>
      </c>
      <c r="K261" s="6" t="str">
        <f t="shared" si="258"/>
        <v>oui</v>
      </c>
      <c r="L261" s="6" t="str">
        <f t="shared" si="259"/>
        <v>non</v>
      </c>
      <c r="M261" s="204">
        <f t="shared" si="260"/>
        <v>1607</v>
      </c>
      <c r="N261" s="204">
        <f t="shared" si="261"/>
        <v>0</v>
      </c>
      <c r="O261" s="204" t="str">
        <f t="shared" si="262"/>
        <v>non</v>
      </c>
      <c r="P261" s="6" t="b">
        <f t="shared" si="263"/>
        <v>0</v>
      </c>
      <c r="Q261" s="6">
        <f t="shared" si="264"/>
        <v>0</v>
      </c>
      <c r="R261" s="6">
        <f t="shared" si="265"/>
        <v>0</v>
      </c>
      <c r="T261" s="205" t="s">
        <v>187</v>
      </c>
      <c r="U261">
        <f t="shared" ca="1" si="266"/>
        <v>3191</v>
      </c>
      <c r="V261">
        <f t="shared" ca="1" si="267"/>
        <v>0</v>
      </c>
      <c r="W261" t="b">
        <f t="shared" si="268"/>
        <v>0</v>
      </c>
      <c r="X261" s="6" t="str">
        <f t="shared" si="269"/>
        <v>non</v>
      </c>
      <c r="Y261">
        <f t="shared" si="270"/>
        <v>1607</v>
      </c>
      <c r="Z261" t="b">
        <f t="shared" si="271"/>
        <v>0</v>
      </c>
      <c r="AA261" s="206">
        <f t="shared" si="272"/>
        <v>1817</v>
      </c>
      <c r="AB261">
        <f t="shared" si="273"/>
        <v>0</v>
      </c>
      <c r="AC261">
        <f t="shared" si="274"/>
        <v>0</v>
      </c>
      <c r="AD261">
        <f t="shared" si="275"/>
        <v>1607</v>
      </c>
      <c r="AE261">
        <f t="shared" si="131"/>
        <v>30</v>
      </c>
      <c r="AF261">
        <f t="shared" si="276"/>
        <v>210</v>
      </c>
      <c r="AG261">
        <f t="shared" si="132"/>
        <v>30</v>
      </c>
      <c r="AH261">
        <f t="shared" si="277"/>
        <v>0</v>
      </c>
      <c r="AK261" s="205">
        <v>0</v>
      </c>
      <c r="AL261">
        <v>0</v>
      </c>
      <c r="AQ261">
        <v>0</v>
      </c>
      <c r="AR261">
        <v>0</v>
      </c>
      <c r="AS261">
        <v>0</v>
      </c>
    </row>
    <row r="262" spans="2:45" x14ac:dyDescent="0.25">
      <c r="B262" s="182">
        <v>800000026</v>
      </c>
      <c r="C262" t="s">
        <v>550</v>
      </c>
      <c r="D262" s="205">
        <v>44348</v>
      </c>
      <c r="E262">
        <v>38</v>
      </c>
      <c r="F262">
        <v>0</v>
      </c>
      <c r="G262" t="s">
        <v>273</v>
      </c>
      <c r="H262" s="203">
        <f t="shared" ref="H262" si="278">ROUNDUP((($C$9/5)*E262)+($G$4*(E262/$G$5))+IF(E262=20,$G$10,(IF(E262=25,$G$9,(IF(E262=35,$G$6,IF(E262=39,$G$7,(IF(E262=41,$G$8,($G$6*(E262/$G$5)))))))))),0)</f>
        <v>1745</v>
      </c>
      <c r="I262" s="6">
        <f t="shared" ref="I262" si="279">F262*2</f>
        <v>0</v>
      </c>
      <c r="J262" s="200">
        <f>'Synthèse Horaires'!$C$5</f>
        <v>46023</v>
      </c>
      <c r="K262" s="6" t="str">
        <f t="shared" ref="K262" si="280">IF(N(D262)&lt;N($G$3),"oui","non")</f>
        <v>oui</v>
      </c>
      <c r="L262" s="6" t="str">
        <f t="shared" ref="L262" si="281">IF(N(D262)&gt;N($G$3),"oui","non")</f>
        <v>non</v>
      </c>
      <c r="M262" s="204">
        <f t="shared" ref="M262" si="282">IF(G262="Employé",(IF(K262="oui",H262,"non")),"non")</f>
        <v>1745</v>
      </c>
      <c r="N262" s="204">
        <f t="shared" ref="N262" si="283">IF(G262="Employé",(IF(L262="oui",(H262*(($G$3+365)-D262+1)/365),0)))</f>
        <v>0</v>
      </c>
      <c r="O262" s="204" t="str">
        <f t="shared" ref="O262" si="284">IF(G262="Cadre",(IF(K262="oui",F262,0)),"non")</f>
        <v>non</v>
      </c>
      <c r="P262" s="6" t="b">
        <f t="shared" ref="P262" si="285">IF(G262="Cadre",(IF(L262="oui",((((($G$3+365)-D262+1)*F262)/365)),0)))</f>
        <v>0</v>
      </c>
      <c r="Q262" s="6">
        <f t="shared" ref="Q262" si="286">IF(O262="non",0,O262*2)</f>
        <v>0</v>
      </c>
      <c r="R262" s="6">
        <f t="shared" ref="R262" si="287">IF(ISERROR(P262),0,P262*2)</f>
        <v>0</v>
      </c>
      <c r="T262" s="205" t="s">
        <v>192</v>
      </c>
      <c r="U262">
        <f t="shared" ref="U262" ca="1" si="288">TODAY()-D262</f>
        <v>1833</v>
      </c>
      <c r="V262">
        <f t="shared" ref="V262" ca="1" si="289">IF(G262="Employé",IF(U262&gt;9125,3,IF(U262&gt;7300,2,IF(U262&gt;5475,1,))))</f>
        <v>0</v>
      </c>
      <c r="W262" t="b">
        <f t="shared" ref="W262" si="290">IF(G262="Cadre",IF(U262&gt;3650,2,IF(U262&gt;1825,1,)))</f>
        <v>0</v>
      </c>
      <c r="X262" s="6" t="str">
        <f t="shared" ref="X262" si="291">IF(G262="Employé",IF(E262&lt;$G$5,E262,"non"),"non")</f>
        <v>non</v>
      </c>
      <c r="Y262">
        <f t="shared" ref="Y262" si="292">IF(AND(G262="Employé",N262=0),M262,N262)</f>
        <v>1745</v>
      </c>
      <c r="Z262" t="b">
        <f t="shared" ref="Z262" si="293">IF(AND(G262="Cadre",P262=0),O262,P262)</f>
        <v>0</v>
      </c>
      <c r="AA262" s="206">
        <f t="shared" ref="AA262" si="294">(IF(Y262=FALSE(),(Z262+AB262),(AD262)))+AF262+AH262+AI262</f>
        <v>1745</v>
      </c>
      <c r="AB262">
        <f t="shared" ref="AB262" si="295">IF(AND(L262="oui",G262="Cadre"),(30*(Z262/F262)),0)</f>
        <v>0</v>
      </c>
      <c r="AC262">
        <f t="shared" ref="AC262" si="296">IF(AND(G262="Employé",L262="oui"),(30*(Y262/H262)),0)</f>
        <v>0</v>
      </c>
      <c r="AD262">
        <f t="shared" ref="AD262" si="297">Y262+(AC262*(E262/6))</f>
        <v>1745</v>
      </c>
      <c r="AE262">
        <f t="shared" si="131"/>
        <v>0</v>
      </c>
      <c r="AF262">
        <f t="shared" ref="AF262" si="298">IF(AND(G262="Employé",L262="oui"),0,(AE262*(E262/5)))</f>
        <v>0</v>
      </c>
      <c r="AG262">
        <f t="shared" si="132"/>
        <v>0</v>
      </c>
      <c r="AH262">
        <f t="shared" ref="AH262" si="299">IF(G262="Cadre",AG262,0)</f>
        <v>0</v>
      </c>
      <c r="AK262" s="205">
        <v>29951</v>
      </c>
      <c r="AL262" t="s">
        <v>506</v>
      </c>
      <c r="AQ262">
        <v>0</v>
      </c>
      <c r="AR262">
        <v>0</v>
      </c>
      <c r="AS262">
        <v>0</v>
      </c>
    </row>
    <row r="263" spans="2:45" x14ac:dyDescent="0.25">
      <c r="B263" s="182" t="s">
        <v>666</v>
      </c>
      <c r="C263" t="s">
        <v>427</v>
      </c>
      <c r="D263" s="205">
        <v>43014</v>
      </c>
      <c r="E263">
        <v>35</v>
      </c>
      <c r="F263">
        <v>0</v>
      </c>
      <c r="G263" t="s">
        <v>273</v>
      </c>
      <c r="H263" s="203">
        <f t="shared" ref="H263:H267" si="300">ROUNDUP((($C$9/5)*E263)+($G$4*(E263/$G$5))+IF(E263=20,$G$10,(IF(E263=25,$G$9,(IF(E263=35,$G$6,IF(E263=39,$G$7,(IF(E263=41,$G$8,($G$6*(E263/$G$5)))))))))),0)</f>
        <v>1607</v>
      </c>
      <c r="I263" s="6">
        <f t="shared" ref="I263:I267" si="301">F263*2</f>
        <v>0</v>
      </c>
      <c r="J263" s="200">
        <f>'Synthèse Horaires'!$C$5</f>
        <v>46023</v>
      </c>
      <c r="K263" s="6" t="str">
        <f t="shared" ref="K263:K267" si="302">IF(N(D263)&lt;N($G$3),"oui","non")</f>
        <v>oui</v>
      </c>
      <c r="L263" s="6" t="str">
        <f t="shared" ref="L263:L267" si="303">IF(N(D263)&gt;N($G$3),"oui","non")</f>
        <v>non</v>
      </c>
      <c r="M263" s="204">
        <f t="shared" ref="M263:M267" si="304">IF(G263="Employé",(IF(K263="oui",H263,"non")),"non")</f>
        <v>1607</v>
      </c>
      <c r="N263" s="204">
        <f t="shared" ref="N263:N267" si="305">IF(G263="Employé",(IF(L263="oui",(H263*(($G$3+365)-D263+1)/365),0)))</f>
        <v>0</v>
      </c>
      <c r="O263" s="204" t="str">
        <f t="shared" ref="O263:O267" si="306">IF(G263="Cadre",(IF(K263="oui",F263,0)),"non")</f>
        <v>non</v>
      </c>
      <c r="P263" s="6" t="b">
        <f t="shared" ref="P263:P267" si="307">IF(G263="Cadre",(IF(L263="oui",((((($G$3+365)-D263+1)*F263)/365)),0)))</f>
        <v>0</v>
      </c>
      <c r="Q263" s="6">
        <f t="shared" ref="Q263:Q267" si="308">IF(O263="non",0,O263*2)</f>
        <v>0</v>
      </c>
      <c r="R263" s="6">
        <f t="shared" ref="R263:R267" si="309">IF(ISERROR(P263),0,P263*2)</f>
        <v>0</v>
      </c>
      <c r="T263" s="205" t="s">
        <v>182</v>
      </c>
      <c r="U263">
        <f t="shared" ref="U263:U267" ca="1" si="310">TODAY()-D263</f>
        <v>3167</v>
      </c>
      <c r="V263">
        <f t="shared" ref="V263:V267" ca="1" si="311">IF(G263="Employé",IF(U263&gt;9125,3,IF(U263&gt;7300,2,IF(U263&gt;5475,1,))))</f>
        <v>0</v>
      </c>
      <c r="W263" t="b">
        <f t="shared" ref="W263:W267" si="312">IF(G263="Cadre",IF(U263&gt;3650,2,IF(U263&gt;1825,1,)))</f>
        <v>0</v>
      </c>
      <c r="X263" s="6" t="str">
        <f t="shared" ref="X263:X267" si="313">IF(G263="Employé",IF(E263&lt;$G$5,E263,"non"),"non")</f>
        <v>non</v>
      </c>
      <c r="Y263">
        <f t="shared" ref="Y263:Y267" si="314">IF(AND(G263="Employé",N263=0),M263,N263)</f>
        <v>1607</v>
      </c>
      <c r="Z263" t="b">
        <f t="shared" ref="Z263:Z267" si="315">IF(AND(G263="Cadre",P263=0),O263,P263)</f>
        <v>0</v>
      </c>
      <c r="AA263" s="206">
        <f t="shared" ref="AA263:AA267" si="316">(IF(Y263=FALSE(),(Z263+AB263),(AD263)))+AF263+AH263+AI263</f>
        <v>1817</v>
      </c>
      <c r="AB263">
        <f t="shared" ref="AB263:AB267" si="317">IF(AND(L263="oui",G263="Cadre"),(30*(Z263/F263)),0)</f>
        <v>0</v>
      </c>
      <c r="AC263">
        <f t="shared" ref="AC263:AC267" si="318">IF(AND(G263="Employé",L263="oui"),(30*(Y263/H263)),0)</f>
        <v>0</v>
      </c>
      <c r="AD263">
        <f t="shared" ref="AD263:AD267" si="319">Y263+(AC263*(E263/6))</f>
        <v>1607</v>
      </c>
      <c r="AE263">
        <f t="shared" si="131"/>
        <v>30</v>
      </c>
      <c r="AF263">
        <f t="shared" ref="AF263:AF267" si="320">IF(AND(G263="Employé",L263="oui"),0,(AE263*(E263/5)))</f>
        <v>210</v>
      </c>
      <c r="AG263">
        <f t="shared" si="132"/>
        <v>30</v>
      </c>
      <c r="AH263">
        <f t="shared" ref="AH263:AH267" si="321">IF(G263="Cadre",AG263,0)</f>
        <v>0</v>
      </c>
      <c r="AK263" s="205">
        <v>31309</v>
      </c>
      <c r="AL263" t="s">
        <v>493</v>
      </c>
      <c r="AQ263">
        <v>0</v>
      </c>
      <c r="AR263">
        <v>0</v>
      </c>
      <c r="AS263">
        <v>0</v>
      </c>
    </row>
    <row r="264" spans="2:45" x14ac:dyDescent="0.25">
      <c r="B264" s="182" t="s">
        <v>666</v>
      </c>
      <c r="C264" t="s">
        <v>428</v>
      </c>
      <c r="D264" s="205">
        <v>43017</v>
      </c>
      <c r="E264">
        <v>35</v>
      </c>
      <c r="F264">
        <v>0</v>
      </c>
      <c r="G264" t="s">
        <v>273</v>
      </c>
      <c r="H264" s="203">
        <f t="shared" si="300"/>
        <v>1607</v>
      </c>
      <c r="I264" s="6">
        <f t="shared" si="301"/>
        <v>0</v>
      </c>
      <c r="J264" s="200">
        <f>'Synthèse Horaires'!$C$5</f>
        <v>46023</v>
      </c>
      <c r="K264" s="6" t="str">
        <f t="shared" si="302"/>
        <v>oui</v>
      </c>
      <c r="L264" s="6" t="str">
        <f t="shared" si="303"/>
        <v>non</v>
      </c>
      <c r="M264" s="204">
        <f t="shared" si="304"/>
        <v>1607</v>
      </c>
      <c r="N264" s="204">
        <f t="shared" si="305"/>
        <v>0</v>
      </c>
      <c r="O264" s="204" t="str">
        <f t="shared" si="306"/>
        <v>non</v>
      </c>
      <c r="P264" s="6" t="b">
        <f t="shared" si="307"/>
        <v>0</v>
      </c>
      <c r="Q264" s="6">
        <f t="shared" si="308"/>
        <v>0</v>
      </c>
      <c r="R264" s="6">
        <f t="shared" si="309"/>
        <v>0</v>
      </c>
      <c r="T264" s="205" t="s">
        <v>196</v>
      </c>
      <c r="U264">
        <f t="shared" ca="1" si="310"/>
        <v>3164</v>
      </c>
      <c r="V264">
        <f t="shared" ca="1" si="311"/>
        <v>0</v>
      </c>
      <c r="W264" t="b">
        <f t="shared" si="312"/>
        <v>0</v>
      </c>
      <c r="X264" s="6" t="str">
        <f t="shared" si="313"/>
        <v>non</v>
      </c>
      <c r="Y264">
        <f t="shared" si="314"/>
        <v>1607</v>
      </c>
      <c r="Z264" t="b">
        <f t="shared" si="315"/>
        <v>0</v>
      </c>
      <c r="AA264" s="206">
        <f t="shared" si="316"/>
        <v>1817</v>
      </c>
      <c r="AB264">
        <f t="shared" si="317"/>
        <v>0</v>
      </c>
      <c r="AC264">
        <f t="shared" si="318"/>
        <v>0</v>
      </c>
      <c r="AD264">
        <f t="shared" si="319"/>
        <v>1607</v>
      </c>
      <c r="AE264">
        <f t="shared" si="131"/>
        <v>30</v>
      </c>
      <c r="AF264">
        <f t="shared" si="320"/>
        <v>210</v>
      </c>
      <c r="AG264">
        <f t="shared" si="132"/>
        <v>30</v>
      </c>
      <c r="AH264">
        <f t="shared" si="321"/>
        <v>0</v>
      </c>
      <c r="AK264" s="205">
        <v>25252</v>
      </c>
      <c r="AL264" t="s">
        <v>592</v>
      </c>
      <c r="AQ264">
        <v>0</v>
      </c>
      <c r="AR264">
        <v>0</v>
      </c>
      <c r="AS264">
        <v>0</v>
      </c>
    </row>
    <row r="265" spans="2:45" x14ac:dyDescent="0.25">
      <c r="B265" s="182">
        <v>2100000003</v>
      </c>
      <c r="C265" t="s">
        <v>570</v>
      </c>
      <c r="D265" s="205">
        <v>44473</v>
      </c>
      <c r="E265">
        <v>0</v>
      </c>
      <c r="F265">
        <v>218</v>
      </c>
      <c r="G265" t="s">
        <v>102</v>
      </c>
      <c r="H265" s="203">
        <f t="shared" si="300"/>
        <v>0</v>
      </c>
      <c r="I265" s="6">
        <f t="shared" si="301"/>
        <v>436</v>
      </c>
      <c r="J265" s="200">
        <f>'Synthèse Horaires'!$C$5</f>
        <v>46023</v>
      </c>
      <c r="K265" s="6" t="str">
        <f t="shared" si="302"/>
        <v>oui</v>
      </c>
      <c r="L265" s="6" t="str">
        <f t="shared" si="303"/>
        <v>non</v>
      </c>
      <c r="M265" s="204" t="str">
        <f t="shared" si="304"/>
        <v>non</v>
      </c>
      <c r="N265" s="204" t="b">
        <f t="shared" si="305"/>
        <v>0</v>
      </c>
      <c r="O265" s="204">
        <f t="shared" si="306"/>
        <v>218</v>
      </c>
      <c r="P265" s="6">
        <f t="shared" si="307"/>
        <v>0</v>
      </c>
      <c r="Q265" s="6">
        <f t="shared" si="308"/>
        <v>436</v>
      </c>
      <c r="R265" s="6">
        <f t="shared" si="309"/>
        <v>0</v>
      </c>
      <c r="T265" s="205" t="s">
        <v>607</v>
      </c>
      <c r="U265">
        <f t="shared" ca="1" si="310"/>
        <v>1708</v>
      </c>
      <c r="V265" t="b">
        <f t="shared" si="311"/>
        <v>0</v>
      </c>
      <c r="W265">
        <f t="shared" ca="1" si="312"/>
        <v>0</v>
      </c>
      <c r="X265" s="6" t="str">
        <f t="shared" si="313"/>
        <v>non</v>
      </c>
      <c r="Y265" t="b">
        <f t="shared" si="314"/>
        <v>0</v>
      </c>
      <c r="Z265">
        <f t="shared" si="315"/>
        <v>218</v>
      </c>
      <c r="AA265" s="206">
        <f t="shared" si="316"/>
        <v>218</v>
      </c>
      <c r="AB265">
        <f t="shared" si="317"/>
        <v>0</v>
      </c>
      <c r="AC265">
        <f t="shared" si="318"/>
        <v>0</v>
      </c>
      <c r="AD265">
        <f t="shared" si="319"/>
        <v>0</v>
      </c>
      <c r="AE265">
        <f t="shared" si="131"/>
        <v>0</v>
      </c>
      <c r="AF265">
        <f t="shared" si="320"/>
        <v>0</v>
      </c>
      <c r="AG265">
        <f t="shared" si="132"/>
        <v>0</v>
      </c>
      <c r="AH265">
        <f t="shared" si="321"/>
        <v>0</v>
      </c>
      <c r="AK265" s="205">
        <v>29862</v>
      </c>
      <c r="AL265" t="s">
        <v>588</v>
      </c>
      <c r="AQ265">
        <v>0</v>
      </c>
      <c r="AR265">
        <v>0</v>
      </c>
      <c r="AS265">
        <v>0</v>
      </c>
    </row>
    <row r="266" spans="2:45" x14ac:dyDescent="0.25">
      <c r="B266" s="182" t="s">
        <v>666</v>
      </c>
      <c r="C266" t="s">
        <v>515</v>
      </c>
      <c r="D266" s="205">
        <v>44011</v>
      </c>
      <c r="E266">
        <v>35</v>
      </c>
      <c r="F266">
        <v>0</v>
      </c>
      <c r="G266" t="s">
        <v>273</v>
      </c>
      <c r="H266" s="203">
        <f t="shared" si="300"/>
        <v>1607</v>
      </c>
      <c r="I266" s="6">
        <f t="shared" si="301"/>
        <v>0</v>
      </c>
      <c r="J266" s="200">
        <f>'Synthèse Horaires'!$C$5</f>
        <v>46023</v>
      </c>
      <c r="K266" s="6" t="str">
        <f t="shared" si="302"/>
        <v>oui</v>
      </c>
      <c r="L266" s="6" t="str">
        <f t="shared" si="303"/>
        <v>non</v>
      </c>
      <c r="M266" s="204">
        <f t="shared" si="304"/>
        <v>1607</v>
      </c>
      <c r="N266" s="204">
        <f t="shared" si="305"/>
        <v>0</v>
      </c>
      <c r="O266" s="204" t="str">
        <f t="shared" si="306"/>
        <v>non</v>
      </c>
      <c r="P266" s="6" t="b">
        <f t="shared" si="307"/>
        <v>0</v>
      </c>
      <c r="Q266" s="6">
        <f t="shared" si="308"/>
        <v>0</v>
      </c>
      <c r="R266" s="6">
        <f t="shared" si="309"/>
        <v>0</v>
      </c>
      <c r="T266" s="205" t="s">
        <v>188</v>
      </c>
      <c r="U266">
        <f t="shared" ca="1" si="310"/>
        <v>2170</v>
      </c>
      <c r="V266">
        <f t="shared" ca="1" si="311"/>
        <v>0</v>
      </c>
      <c r="W266" t="b">
        <f t="shared" si="312"/>
        <v>0</v>
      </c>
      <c r="X266" s="6" t="str">
        <f t="shared" si="313"/>
        <v>non</v>
      </c>
      <c r="Y266">
        <f t="shared" si="314"/>
        <v>1607</v>
      </c>
      <c r="Z266" t="b">
        <f t="shared" si="315"/>
        <v>0</v>
      </c>
      <c r="AA266" s="206">
        <f t="shared" si="316"/>
        <v>1817</v>
      </c>
      <c r="AB266">
        <f t="shared" si="317"/>
        <v>0</v>
      </c>
      <c r="AC266">
        <f t="shared" si="318"/>
        <v>0</v>
      </c>
      <c r="AD266">
        <f t="shared" si="319"/>
        <v>1607</v>
      </c>
      <c r="AE266">
        <f t="shared" si="131"/>
        <v>30</v>
      </c>
      <c r="AF266">
        <f t="shared" si="320"/>
        <v>210</v>
      </c>
      <c r="AG266">
        <f t="shared" si="132"/>
        <v>30</v>
      </c>
      <c r="AH266">
        <f t="shared" si="321"/>
        <v>0</v>
      </c>
      <c r="AK266" s="205">
        <v>35198</v>
      </c>
      <c r="AL266" t="s">
        <v>514</v>
      </c>
      <c r="AQ266">
        <v>0</v>
      </c>
      <c r="AR266">
        <v>0</v>
      </c>
      <c r="AS266">
        <v>0</v>
      </c>
    </row>
    <row r="267" spans="2:45" x14ac:dyDescent="0.25">
      <c r="B267" s="182" t="s">
        <v>666</v>
      </c>
      <c r="C267" t="s">
        <v>516</v>
      </c>
      <c r="D267" s="205">
        <v>44025</v>
      </c>
      <c r="E267">
        <v>35</v>
      </c>
      <c r="F267">
        <v>0</v>
      </c>
      <c r="G267" t="s">
        <v>273</v>
      </c>
      <c r="H267" s="203">
        <f t="shared" si="300"/>
        <v>1607</v>
      </c>
      <c r="I267" s="6">
        <f t="shared" si="301"/>
        <v>0</v>
      </c>
      <c r="J267" s="200">
        <f>'Synthèse Horaires'!$C$5</f>
        <v>46023</v>
      </c>
      <c r="K267" s="6" t="str">
        <f t="shared" si="302"/>
        <v>oui</v>
      </c>
      <c r="L267" s="6" t="str">
        <f t="shared" si="303"/>
        <v>non</v>
      </c>
      <c r="M267" s="204">
        <f t="shared" si="304"/>
        <v>1607</v>
      </c>
      <c r="N267" s="204">
        <f t="shared" si="305"/>
        <v>0</v>
      </c>
      <c r="O267" s="204" t="str">
        <f t="shared" si="306"/>
        <v>non</v>
      </c>
      <c r="P267" s="6" t="b">
        <f t="shared" si="307"/>
        <v>0</v>
      </c>
      <c r="Q267" s="6">
        <f t="shared" si="308"/>
        <v>0</v>
      </c>
      <c r="R267" s="6">
        <f t="shared" si="309"/>
        <v>0</v>
      </c>
      <c r="T267" s="205" t="s">
        <v>404</v>
      </c>
      <c r="U267">
        <f t="shared" ca="1" si="310"/>
        <v>2156</v>
      </c>
      <c r="V267">
        <f t="shared" ca="1" si="311"/>
        <v>0</v>
      </c>
      <c r="W267" t="b">
        <f t="shared" si="312"/>
        <v>0</v>
      </c>
      <c r="X267" s="6" t="str">
        <f t="shared" si="313"/>
        <v>non</v>
      </c>
      <c r="Y267">
        <f t="shared" si="314"/>
        <v>1607</v>
      </c>
      <c r="Z267" t="b">
        <f t="shared" si="315"/>
        <v>0</v>
      </c>
      <c r="AA267" s="206">
        <f t="shared" si="316"/>
        <v>1817</v>
      </c>
      <c r="AB267">
        <f t="shared" si="317"/>
        <v>0</v>
      </c>
      <c r="AC267">
        <f t="shared" si="318"/>
        <v>0</v>
      </c>
      <c r="AD267">
        <f t="shared" si="319"/>
        <v>1607</v>
      </c>
      <c r="AE267">
        <f t="shared" si="131"/>
        <v>30</v>
      </c>
      <c r="AF267">
        <f t="shared" si="320"/>
        <v>210</v>
      </c>
      <c r="AG267">
        <f t="shared" si="132"/>
        <v>30</v>
      </c>
      <c r="AH267">
        <f t="shared" si="321"/>
        <v>0</v>
      </c>
      <c r="AK267" s="205">
        <v>37333</v>
      </c>
      <c r="AL267" t="s">
        <v>509</v>
      </c>
      <c r="AQ267">
        <v>0</v>
      </c>
      <c r="AR267">
        <v>0</v>
      </c>
      <c r="AS267">
        <v>0</v>
      </c>
    </row>
    <row r="268" spans="2:45" x14ac:dyDescent="0.25">
      <c r="B268" s="272" t="s">
        <v>666</v>
      </c>
      <c r="C268" s="273" t="s">
        <v>517</v>
      </c>
      <c r="D268" s="205">
        <v>44018</v>
      </c>
      <c r="E268">
        <v>30</v>
      </c>
      <c r="F268">
        <v>0</v>
      </c>
      <c r="G268" t="s">
        <v>273</v>
      </c>
      <c r="H268" s="203">
        <f t="shared" ref="H268:H269" si="322">ROUNDUP((($C$9/5)*E268)+($G$4*(E268/$G$5))+IF(E268=20,$G$10,(IF(E268=25,$G$9,(IF(E268=35,$G$6,IF(E268=39,$G$7,(IF(E268=41,$G$8,($G$6*(E268/$G$5)))))))))),0)</f>
        <v>1378</v>
      </c>
      <c r="I268" s="6">
        <f t="shared" ref="I268:I269" si="323">F268*2</f>
        <v>0</v>
      </c>
      <c r="J268" s="200">
        <f>'Synthèse Horaires'!$C$5</f>
        <v>46023</v>
      </c>
      <c r="K268" s="6" t="str">
        <f t="shared" ref="K268:K269" si="324">IF(N(D268)&lt;N($G$3),"oui","non")</f>
        <v>oui</v>
      </c>
      <c r="L268" s="6" t="str">
        <f t="shared" ref="L268:L269" si="325">IF(N(D268)&gt;N($G$3),"oui","non")</f>
        <v>non</v>
      </c>
      <c r="M268" s="204">
        <f t="shared" ref="M268:M269" si="326">IF(G268="Employé",(IF(K268="oui",H268,"non")),"non")</f>
        <v>1378</v>
      </c>
      <c r="N268" s="204">
        <f t="shared" ref="N268:N269" si="327">IF(G268="Employé",(IF(L268="oui",(H268*(($G$3+365)-D268+1)/365),0)))</f>
        <v>0</v>
      </c>
      <c r="O268" s="204" t="str">
        <f t="shared" ref="O268:O269" si="328">IF(G268="Cadre",(IF(K268="oui",F268,0)),"non")</f>
        <v>non</v>
      </c>
      <c r="P268" s="6" t="b">
        <f t="shared" ref="P268:P269" si="329">IF(G268="Cadre",(IF(L268="oui",((((($G$3+365)-D268+1)*F268)/365)),0)))</f>
        <v>0</v>
      </c>
      <c r="Q268" s="6">
        <f t="shared" ref="Q268:Q269" si="330">IF(O268="non",0,O268*2)</f>
        <v>0</v>
      </c>
      <c r="R268" s="6">
        <f t="shared" ref="R268:R269" si="331">IF(ISERROR(P268),0,P268*2)</f>
        <v>0</v>
      </c>
      <c r="S268" t="s">
        <v>342</v>
      </c>
      <c r="T268" s="205" t="s">
        <v>199</v>
      </c>
      <c r="U268">
        <f t="shared" ref="U268:U269" ca="1" si="332">TODAY()-D268</f>
        <v>2163</v>
      </c>
      <c r="V268">
        <f t="shared" ref="V268:V269" ca="1" si="333">IF(G268="Employé",IF(U268&gt;9125,3,IF(U268&gt;7300,2,IF(U268&gt;5475,1,))))</f>
        <v>0</v>
      </c>
      <c r="W268" t="b">
        <f t="shared" ref="W268:W269" si="334">IF(G268="Cadre",IF(U268&gt;3650,2,IF(U268&gt;1825,1,)))</f>
        <v>0</v>
      </c>
      <c r="X268" s="6">
        <f t="shared" ref="X268:X269" si="335">IF(G268="Employé",IF(E268&lt;$G$5,E268,"non"),"non")</f>
        <v>30</v>
      </c>
      <c r="Y268">
        <f t="shared" ref="Y268:Y269" si="336">IF(AND(G268="Employé",N268=0),M268,N268)</f>
        <v>1378</v>
      </c>
      <c r="Z268" t="b">
        <f t="shared" ref="Z268:Z269" si="337">IF(AND(G268="Cadre",P268=0),O268,P268)</f>
        <v>0</v>
      </c>
      <c r="AA268" s="206">
        <f t="shared" ref="AA268:AA269" si="338">(IF(Y268=FALSE(),(Z268+AB268),(AD268)))+AF268+AH268+AI268</f>
        <v>1558</v>
      </c>
      <c r="AB268">
        <f t="shared" ref="AB268:AB269" si="339">IF(AND(L268="oui",G268="Cadre"),(30*(Z268/F268)),0)</f>
        <v>0</v>
      </c>
      <c r="AC268">
        <f t="shared" ref="AC268:AC269" si="340">IF(AND(G268="Employé",L268="oui"),(30*(Y268/H268)),0)</f>
        <v>0</v>
      </c>
      <c r="AD268">
        <f t="shared" ref="AD268:AD269" si="341">Y268+(AC268*(E268/6))</f>
        <v>1378</v>
      </c>
      <c r="AE268">
        <f t="shared" si="131"/>
        <v>30</v>
      </c>
      <c r="AF268">
        <f t="shared" ref="AF268:AF269" si="342">IF(AND(G268="Employé",L268="oui"),0,(AE268*(E268/5)))</f>
        <v>180</v>
      </c>
      <c r="AG268">
        <f t="shared" si="132"/>
        <v>30</v>
      </c>
      <c r="AH268">
        <f t="shared" ref="AH268:AH269" si="343">IF(G268="Cadre",AG268,0)</f>
        <v>0</v>
      </c>
      <c r="AK268" s="205">
        <v>30232</v>
      </c>
      <c r="AL268" t="s">
        <v>492</v>
      </c>
      <c r="AQ268">
        <v>0</v>
      </c>
      <c r="AR268">
        <v>0</v>
      </c>
      <c r="AS268">
        <v>0</v>
      </c>
    </row>
    <row r="269" spans="2:45" x14ac:dyDescent="0.25">
      <c r="B269" s="182">
        <v>1200000015</v>
      </c>
      <c r="C269" t="s">
        <v>435</v>
      </c>
      <c r="D269" s="205">
        <v>43032</v>
      </c>
      <c r="E269">
        <v>35</v>
      </c>
      <c r="F269">
        <v>0</v>
      </c>
      <c r="G269" t="s">
        <v>273</v>
      </c>
      <c r="H269" s="203">
        <f t="shared" si="322"/>
        <v>1607</v>
      </c>
      <c r="I269" s="6">
        <f t="shared" si="323"/>
        <v>0</v>
      </c>
      <c r="J269" s="200">
        <f>'Synthèse Horaires'!$C$5</f>
        <v>46023</v>
      </c>
      <c r="K269" s="6" t="str">
        <f t="shared" si="324"/>
        <v>oui</v>
      </c>
      <c r="L269" s="6" t="str">
        <f t="shared" si="325"/>
        <v>non</v>
      </c>
      <c r="M269" s="204">
        <f t="shared" si="326"/>
        <v>1607</v>
      </c>
      <c r="N269" s="204">
        <f t="shared" si="327"/>
        <v>0</v>
      </c>
      <c r="O269" s="204" t="str">
        <f t="shared" si="328"/>
        <v>non</v>
      </c>
      <c r="P269" s="6" t="b">
        <f t="shared" si="329"/>
        <v>0</v>
      </c>
      <c r="Q269" s="6">
        <f t="shared" si="330"/>
        <v>0</v>
      </c>
      <c r="R269" s="6">
        <f t="shared" si="331"/>
        <v>0</v>
      </c>
      <c r="T269" s="205" t="s">
        <v>195</v>
      </c>
      <c r="U269">
        <f t="shared" ca="1" si="332"/>
        <v>3149</v>
      </c>
      <c r="V269">
        <f t="shared" ca="1" si="333"/>
        <v>0</v>
      </c>
      <c r="W269" t="b">
        <f t="shared" si="334"/>
        <v>0</v>
      </c>
      <c r="X269" s="6" t="str">
        <f t="shared" si="335"/>
        <v>non</v>
      </c>
      <c r="Y269">
        <f t="shared" si="336"/>
        <v>1607</v>
      </c>
      <c r="Z269" t="b">
        <f t="shared" si="337"/>
        <v>0</v>
      </c>
      <c r="AA269" s="206">
        <f t="shared" si="338"/>
        <v>1607</v>
      </c>
      <c r="AB269">
        <f t="shared" si="339"/>
        <v>0</v>
      </c>
      <c r="AC269">
        <f t="shared" si="340"/>
        <v>0</v>
      </c>
      <c r="AD269">
        <f t="shared" si="341"/>
        <v>1607</v>
      </c>
      <c r="AE269">
        <f t="shared" si="131"/>
        <v>0</v>
      </c>
      <c r="AF269">
        <f t="shared" si="342"/>
        <v>0</v>
      </c>
      <c r="AG269">
        <f t="shared" si="132"/>
        <v>0</v>
      </c>
      <c r="AH269">
        <f t="shared" si="343"/>
        <v>0</v>
      </c>
      <c r="AK269" s="205">
        <v>31754</v>
      </c>
      <c r="AL269" t="s">
        <v>593</v>
      </c>
      <c r="AQ269">
        <v>0</v>
      </c>
      <c r="AR269">
        <v>0</v>
      </c>
      <c r="AS269">
        <v>0</v>
      </c>
    </row>
    <row r="270" spans="2:45" x14ac:dyDescent="0.25">
      <c r="B270" s="182" t="s">
        <v>666</v>
      </c>
      <c r="C270" t="s">
        <v>551</v>
      </c>
      <c r="D270" s="205">
        <v>44334</v>
      </c>
      <c r="E270">
        <v>35</v>
      </c>
      <c r="F270">
        <v>0</v>
      </c>
      <c r="G270" t="s">
        <v>273</v>
      </c>
      <c r="H270" s="203">
        <f t="shared" ref="H270" si="344">ROUNDUP((($C$9/5)*E270)+($G$4*(E270/$G$5))+IF(E270=20,$G$10,(IF(E270=25,$G$9,(IF(E270=35,$G$6,IF(E270=39,$G$7,(IF(E270=41,$G$8,($G$6*(E270/$G$5)))))))))),0)</f>
        <v>1607</v>
      </c>
      <c r="I270" s="6">
        <f t="shared" ref="I270" si="345">F270*2</f>
        <v>0</v>
      </c>
      <c r="J270" s="200">
        <f>'Synthèse Horaires'!$C$5</f>
        <v>46023</v>
      </c>
      <c r="K270" s="6" t="str">
        <f t="shared" ref="K270" si="346">IF(N(D270)&lt;N($G$3),"oui","non")</f>
        <v>oui</v>
      </c>
      <c r="L270" s="6" t="str">
        <f t="shared" ref="L270" si="347">IF(N(D270)&gt;N($G$3),"oui","non")</f>
        <v>non</v>
      </c>
      <c r="M270" s="204">
        <f t="shared" ref="M270" si="348">IF(G270="Employé",(IF(K270="oui",H270,"non")),"non")</f>
        <v>1607</v>
      </c>
      <c r="N270" s="204">
        <f t="shared" ref="N270" si="349">IF(G270="Employé",(IF(L270="oui",(H270*(($G$3+365)-D270+1)/365),0)))</f>
        <v>0</v>
      </c>
      <c r="O270" s="204" t="str">
        <f t="shared" ref="O270" si="350">IF(G270="Cadre",(IF(K270="oui",F270,0)),"non")</f>
        <v>non</v>
      </c>
      <c r="P270" s="6" t="b">
        <f t="shared" ref="P270" si="351">IF(G270="Cadre",(IF(L270="oui",((((($G$3+365)-D270+1)*F270)/365)),0)))</f>
        <v>0</v>
      </c>
      <c r="Q270" s="6">
        <f t="shared" ref="Q270" si="352">IF(O270="non",0,O270*2)</f>
        <v>0</v>
      </c>
      <c r="R270" s="6">
        <f t="shared" ref="R270" si="353">IF(ISERROR(P270),0,P270*2)</f>
        <v>0</v>
      </c>
      <c r="T270" s="205" t="s">
        <v>465</v>
      </c>
      <c r="U270">
        <f t="shared" ref="U270" ca="1" si="354">TODAY()-D270</f>
        <v>1847</v>
      </c>
      <c r="V270">
        <f t="shared" ref="V270" ca="1" si="355">IF(G270="Employé",IF(U270&gt;9125,3,IF(U270&gt;7300,2,IF(U270&gt;5475,1,))))</f>
        <v>0</v>
      </c>
      <c r="W270" t="b">
        <f t="shared" ref="W270" si="356">IF(G270="Cadre",IF(U270&gt;3650,2,IF(U270&gt;1825,1,)))</f>
        <v>0</v>
      </c>
      <c r="X270" s="6" t="str">
        <f t="shared" ref="X270" si="357">IF(G270="Employé",IF(E270&lt;$G$5,E270,"non"),"non")</f>
        <v>non</v>
      </c>
      <c r="Y270">
        <f t="shared" ref="Y270" si="358">IF(AND(G270="Employé",N270=0),M270,N270)</f>
        <v>1607</v>
      </c>
      <c r="Z270" t="b">
        <f t="shared" ref="Z270" si="359">IF(AND(G270="Cadre",P270=0),O270,P270)</f>
        <v>0</v>
      </c>
      <c r="AA270" s="206">
        <f t="shared" ref="AA270" si="360">(IF(Y270=FALSE(),(Z270+AB270),(AD270)))+AF270+AH270+AI270</f>
        <v>1817</v>
      </c>
      <c r="AB270">
        <f t="shared" ref="AB270" si="361">IF(AND(L270="oui",G270="Cadre"),(30*(Z270/F270)),0)</f>
        <v>0</v>
      </c>
      <c r="AC270">
        <f t="shared" ref="AC270" si="362">IF(AND(G270="Employé",L270="oui"),(30*(Y270/H270)),0)</f>
        <v>0</v>
      </c>
      <c r="AD270">
        <f t="shared" ref="AD270" si="363">Y270+(AC270*(E270/6))</f>
        <v>1607</v>
      </c>
      <c r="AE270">
        <f t="shared" ref="AE270:AE333" si="364">IFERROR(((VLOOKUP(B270,AQ:AS,2,0)-30)*-1),0)</f>
        <v>30</v>
      </c>
      <c r="AF270">
        <f t="shared" ref="AF270" si="365">IF(AND(G270="Employé",L270="oui"),0,(AE270*(E270/5)))</f>
        <v>210</v>
      </c>
      <c r="AG270">
        <f t="shared" ref="AG270:AG333" si="366">IFERROR(((VLOOKUP(B270,AQ:AS,2,0)-30)*-1),0)</f>
        <v>30</v>
      </c>
      <c r="AH270">
        <f t="shared" ref="AH270" si="367">IF(G270="Cadre",AG270,0)</f>
        <v>0</v>
      </c>
      <c r="AK270" s="205">
        <v>37712</v>
      </c>
      <c r="AL270" t="s">
        <v>509</v>
      </c>
      <c r="AQ270">
        <v>0</v>
      </c>
      <c r="AR270">
        <v>0</v>
      </c>
      <c r="AS270">
        <v>0</v>
      </c>
    </row>
    <row r="271" spans="2:45" x14ac:dyDescent="0.25">
      <c r="B271" s="182" t="s">
        <v>666</v>
      </c>
      <c r="C271" t="s">
        <v>631</v>
      </c>
      <c r="D271" s="205">
        <v>44774</v>
      </c>
      <c r="E271">
        <v>39</v>
      </c>
      <c r="F271">
        <v>0</v>
      </c>
      <c r="G271" t="s">
        <v>273</v>
      </c>
      <c r="H271" s="203">
        <f t="shared" ref="H271" si="368">ROUNDUP((($C$9/5)*E271)+($G$4*(E271/$G$5))+IF(E271=20,$G$10,(IF(E271=25,$G$9,(IF(E271=35,$G$6,IF(E271=39,$G$7,(IF(E271=41,$G$8,($G$6*(E271/$G$5)))))))))),0)</f>
        <v>1787</v>
      </c>
      <c r="I271" s="6">
        <f t="shared" ref="I271" si="369">F271*2</f>
        <v>0</v>
      </c>
      <c r="J271" s="200">
        <f>'Synthèse Horaires'!$C$5</f>
        <v>46023</v>
      </c>
      <c r="K271" s="6" t="str">
        <f t="shared" ref="K271" si="370">IF(N(D271)&lt;N($G$3),"oui","non")</f>
        <v>oui</v>
      </c>
      <c r="L271" s="6" t="str">
        <f t="shared" ref="L271" si="371">IF(N(D271)&gt;N($G$3),"oui","non")</f>
        <v>non</v>
      </c>
      <c r="M271" s="204">
        <f t="shared" ref="M271" si="372">IF(G271="Employé",(IF(K271="oui",H271,"non")),"non")</f>
        <v>1787</v>
      </c>
      <c r="N271" s="204">
        <f t="shared" ref="N271" si="373">IF(G271="Employé",(IF(L271="oui",(H271*(($G$3+365)-D271+1)/365),0)))</f>
        <v>0</v>
      </c>
      <c r="O271" s="204" t="str">
        <f t="shared" ref="O271" si="374">IF(G271="Cadre",(IF(K271="oui",F271,0)),"non")</f>
        <v>non</v>
      </c>
      <c r="P271" s="6" t="b">
        <f t="shared" ref="P271" si="375">IF(G271="Cadre",(IF(L271="oui",((((($G$3+365)-D271+1)*F271)/365)),0)))</f>
        <v>0</v>
      </c>
      <c r="Q271" s="6">
        <f t="shared" ref="Q271" si="376">IF(O271="non",0,O271*2)</f>
        <v>0</v>
      </c>
      <c r="R271" s="6">
        <f t="shared" ref="R271" si="377">IF(ISERROR(P271),0,P271*2)</f>
        <v>0</v>
      </c>
      <c r="T271" s="205" t="s">
        <v>606</v>
      </c>
      <c r="U271">
        <f t="shared" ref="U271" ca="1" si="378">TODAY()-D271</f>
        <v>1407</v>
      </c>
      <c r="V271">
        <f t="shared" ref="V271" ca="1" si="379">IF(G271="Employé",IF(U271&gt;9125,3,IF(U271&gt;7300,2,IF(U271&gt;5475,1,))))</f>
        <v>0</v>
      </c>
      <c r="W271" t="b">
        <f t="shared" ref="W271" si="380">IF(G271="Cadre",IF(U271&gt;3650,2,IF(U271&gt;1825,1,)))</f>
        <v>0</v>
      </c>
      <c r="X271" s="6" t="str">
        <f t="shared" ref="X271" si="381">IF(G271="Employé",IF(E271&lt;$G$5,E271,"non"),"non")</f>
        <v>non</v>
      </c>
      <c r="Y271">
        <f t="shared" ref="Y271" si="382">IF(AND(G271="Employé",N271=0),M271,N271)</f>
        <v>1787</v>
      </c>
      <c r="Z271" t="b">
        <f t="shared" ref="Z271" si="383">IF(AND(G271="Cadre",P271=0),O271,P271)</f>
        <v>0</v>
      </c>
      <c r="AA271" s="206">
        <f t="shared" ref="AA271" si="384">(IF(Y271=FALSE(),(Z271+AB271),(AD271)))+AF271+AH271+AI271</f>
        <v>2021</v>
      </c>
      <c r="AB271">
        <f t="shared" ref="AB271" si="385">IF(AND(L271="oui",G271="Cadre"),(30*(Z271/F271)),0)</f>
        <v>0</v>
      </c>
      <c r="AC271">
        <f t="shared" ref="AC271" si="386">IF(AND(G271="Employé",L271="oui"),(30*(Y271/H271)),0)</f>
        <v>0</v>
      </c>
      <c r="AD271">
        <f t="shared" ref="AD271" si="387">Y271+(AC271*(E271/6))</f>
        <v>1787</v>
      </c>
      <c r="AE271">
        <f t="shared" si="364"/>
        <v>30</v>
      </c>
      <c r="AF271">
        <f t="shared" ref="AF271" si="388">IF(AND(G271="Employé",L271="oui"),0,(AE271*(E271/5)))</f>
        <v>234</v>
      </c>
      <c r="AG271">
        <f t="shared" si="366"/>
        <v>30</v>
      </c>
      <c r="AH271">
        <f t="shared" ref="AH271" si="389">IF(G271="Cadre",AG271,0)</f>
        <v>0</v>
      </c>
      <c r="AK271" s="205">
        <v>23906</v>
      </c>
      <c r="AL271" t="s">
        <v>506</v>
      </c>
      <c r="AQ271">
        <v>0</v>
      </c>
      <c r="AR271">
        <v>0</v>
      </c>
      <c r="AS271">
        <v>0</v>
      </c>
    </row>
    <row r="272" spans="2:45" x14ac:dyDescent="0.25">
      <c r="B272" s="182" t="s">
        <v>666</v>
      </c>
      <c r="C272" t="s">
        <v>552</v>
      </c>
      <c r="D272" s="205">
        <v>44348</v>
      </c>
      <c r="E272">
        <v>35</v>
      </c>
      <c r="F272">
        <v>0</v>
      </c>
      <c r="G272" t="s">
        <v>273</v>
      </c>
      <c r="H272" s="203">
        <f t="shared" ref="H272:H274" si="390">ROUNDUP((($C$9/5)*E272)+($G$4*(E272/$G$5))+IF(E272=20,$G$10,(IF(E272=25,$G$9,(IF(E272=35,$G$6,IF(E272=39,$G$7,(IF(E272=41,$G$8,($G$6*(E272/$G$5)))))))))),0)</f>
        <v>1607</v>
      </c>
      <c r="I272" s="6">
        <f t="shared" ref="I272:I274" si="391">F272*2</f>
        <v>0</v>
      </c>
      <c r="J272" s="200">
        <f>'Synthèse Horaires'!$C$5</f>
        <v>46023</v>
      </c>
      <c r="K272" s="6" t="str">
        <f t="shared" ref="K272:K274" si="392">IF(N(D272)&lt;N($G$3),"oui","non")</f>
        <v>oui</v>
      </c>
      <c r="L272" s="6" t="str">
        <f t="shared" ref="L272:L274" si="393">IF(N(D272)&gt;N($G$3),"oui","non")</f>
        <v>non</v>
      </c>
      <c r="M272" s="204">
        <f t="shared" ref="M272:M274" si="394">IF(G272="Employé",(IF(K272="oui",H272,"non")),"non")</f>
        <v>1607</v>
      </c>
      <c r="N272" s="204">
        <f t="shared" ref="N272:N274" si="395">IF(G272="Employé",(IF(L272="oui",(H272*(($G$3+365)-D272+1)/365),0)))</f>
        <v>0</v>
      </c>
      <c r="O272" s="204" t="str">
        <f t="shared" ref="O272:O274" si="396">IF(G272="Cadre",(IF(K272="oui",F272,0)),"non")</f>
        <v>non</v>
      </c>
      <c r="P272" s="6" t="b">
        <f t="shared" ref="P272:P274" si="397">IF(G272="Cadre",(IF(L272="oui",((((($G$3+365)-D272+1)*F272)/365)),0)))</f>
        <v>0</v>
      </c>
      <c r="Q272" s="6">
        <f t="shared" ref="Q272:Q274" si="398">IF(O272="non",0,O272*2)</f>
        <v>0</v>
      </c>
      <c r="R272" s="6">
        <f t="shared" ref="R272:R274" si="399">IF(ISERROR(P272),0,P272*2)</f>
        <v>0</v>
      </c>
      <c r="T272" s="205" t="s">
        <v>458</v>
      </c>
      <c r="U272">
        <f t="shared" ref="U272:U274" ca="1" si="400">TODAY()-D272</f>
        <v>1833</v>
      </c>
      <c r="V272">
        <f t="shared" ref="V272:V274" ca="1" si="401">IF(G272="Employé",IF(U272&gt;9125,3,IF(U272&gt;7300,2,IF(U272&gt;5475,1,))))</f>
        <v>0</v>
      </c>
      <c r="W272" t="b">
        <f t="shared" ref="W272:W274" si="402">IF(G272="Cadre",IF(U272&gt;3650,2,IF(U272&gt;1825,1,)))</f>
        <v>0</v>
      </c>
      <c r="X272" s="6" t="str">
        <f t="shared" ref="X272:X274" si="403">IF(G272="Employé",IF(E272&lt;$G$5,E272,"non"),"non")</f>
        <v>non</v>
      </c>
      <c r="Y272">
        <f t="shared" ref="Y272:Y274" si="404">IF(AND(G272="Employé",N272=0),M272,N272)</f>
        <v>1607</v>
      </c>
      <c r="Z272" t="b">
        <f t="shared" ref="Z272:Z274" si="405">IF(AND(G272="Cadre",P272=0),O272,P272)</f>
        <v>0</v>
      </c>
      <c r="AA272" s="206">
        <f t="shared" ref="AA272:AA274" si="406">(IF(Y272=FALSE(),(Z272+AB272),(AD272)))+AF272+AH272+AI272</f>
        <v>1817</v>
      </c>
      <c r="AB272">
        <f t="shared" ref="AB272:AB274" si="407">IF(AND(L272="oui",G272="Cadre"),(30*(Z272/F272)),0)</f>
        <v>0</v>
      </c>
      <c r="AC272">
        <f t="shared" ref="AC272:AC274" si="408">IF(AND(G272="Employé",L272="oui"),(30*(Y272/H272)),0)</f>
        <v>0</v>
      </c>
      <c r="AD272">
        <f t="shared" ref="AD272:AD274" si="409">Y272+(AC272*(E272/6))</f>
        <v>1607</v>
      </c>
      <c r="AE272">
        <f t="shared" si="364"/>
        <v>30</v>
      </c>
      <c r="AF272">
        <f t="shared" ref="AF272:AF274" si="410">IF(AND(G272="Employé",L272="oui"),0,(AE272*(E272/5)))</f>
        <v>210</v>
      </c>
      <c r="AG272">
        <f t="shared" si="366"/>
        <v>30</v>
      </c>
      <c r="AH272">
        <f t="shared" ref="AH272:AH274" si="411">IF(G272="Cadre",AG272,0)</f>
        <v>0</v>
      </c>
      <c r="AK272" s="205">
        <v>35599</v>
      </c>
      <c r="AL272" t="s">
        <v>509</v>
      </c>
      <c r="AQ272">
        <v>0</v>
      </c>
      <c r="AR272">
        <v>0</v>
      </c>
      <c r="AS272">
        <v>0</v>
      </c>
    </row>
    <row r="273" spans="2:45" x14ac:dyDescent="0.25">
      <c r="B273" s="274" t="s">
        <v>666</v>
      </c>
      <c r="C273" s="275" t="s">
        <v>436</v>
      </c>
      <c r="D273" s="205">
        <v>43075</v>
      </c>
      <c r="E273">
        <v>35</v>
      </c>
      <c r="F273">
        <v>0</v>
      </c>
      <c r="G273" t="s">
        <v>273</v>
      </c>
      <c r="H273" s="203">
        <f t="shared" si="390"/>
        <v>1607</v>
      </c>
      <c r="I273" s="6">
        <f t="shared" si="391"/>
        <v>0</v>
      </c>
      <c r="J273" s="200">
        <f>'Synthèse Horaires'!$C$5</f>
        <v>46023</v>
      </c>
      <c r="K273" s="6" t="str">
        <f t="shared" si="392"/>
        <v>oui</v>
      </c>
      <c r="L273" s="6" t="str">
        <f t="shared" si="393"/>
        <v>non</v>
      </c>
      <c r="M273" s="204">
        <f t="shared" si="394"/>
        <v>1607</v>
      </c>
      <c r="N273" s="204">
        <f t="shared" si="395"/>
        <v>0</v>
      </c>
      <c r="O273" s="204" t="str">
        <f t="shared" si="396"/>
        <v>non</v>
      </c>
      <c r="P273" s="6" t="b">
        <f t="shared" si="397"/>
        <v>0</v>
      </c>
      <c r="Q273" s="6">
        <f t="shared" si="398"/>
        <v>0</v>
      </c>
      <c r="R273" s="6">
        <f t="shared" si="399"/>
        <v>0</v>
      </c>
      <c r="T273" s="205" t="s">
        <v>198</v>
      </c>
      <c r="U273">
        <f t="shared" ca="1" si="400"/>
        <v>3106</v>
      </c>
      <c r="V273">
        <f t="shared" ca="1" si="401"/>
        <v>0</v>
      </c>
      <c r="W273" t="b">
        <f t="shared" si="402"/>
        <v>0</v>
      </c>
      <c r="X273" s="6" t="str">
        <f t="shared" si="403"/>
        <v>non</v>
      </c>
      <c r="Y273">
        <f t="shared" si="404"/>
        <v>1607</v>
      </c>
      <c r="Z273" t="b">
        <f t="shared" si="405"/>
        <v>0</v>
      </c>
      <c r="AA273" s="206">
        <f t="shared" si="406"/>
        <v>1817</v>
      </c>
      <c r="AB273">
        <f t="shared" si="407"/>
        <v>0</v>
      </c>
      <c r="AC273">
        <f t="shared" si="408"/>
        <v>0</v>
      </c>
      <c r="AD273">
        <f t="shared" si="409"/>
        <v>1607</v>
      </c>
      <c r="AE273">
        <f t="shared" si="364"/>
        <v>30</v>
      </c>
      <c r="AF273">
        <f t="shared" si="410"/>
        <v>210</v>
      </c>
      <c r="AG273">
        <f t="shared" si="366"/>
        <v>30</v>
      </c>
      <c r="AH273">
        <f t="shared" si="411"/>
        <v>0</v>
      </c>
      <c r="AK273" s="205">
        <v>34457</v>
      </c>
      <c r="AL273" t="s">
        <v>580</v>
      </c>
      <c r="AQ273">
        <v>0</v>
      </c>
      <c r="AR273">
        <v>0</v>
      </c>
      <c r="AS273">
        <v>0</v>
      </c>
    </row>
    <row r="274" spans="2:45" x14ac:dyDescent="0.25">
      <c r="B274" s="182" t="s">
        <v>666</v>
      </c>
      <c r="C274" t="s">
        <v>437</v>
      </c>
      <c r="D274" s="205">
        <v>43096</v>
      </c>
      <c r="E274">
        <v>35</v>
      </c>
      <c r="F274">
        <v>0</v>
      </c>
      <c r="G274" t="s">
        <v>273</v>
      </c>
      <c r="H274" s="203">
        <f t="shared" si="390"/>
        <v>1607</v>
      </c>
      <c r="I274" s="6">
        <f t="shared" si="391"/>
        <v>0</v>
      </c>
      <c r="J274" s="200">
        <f>'Synthèse Horaires'!$C$5</f>
        <v>46023</v>
      </c>
      <c r="K274" s="6" t="str">
        <f t="shared" si="392"/>
        <v>oui</v>
      </c>
      <c r="L274" s="6" t="str">
        <f t="shared" si="393"/>
        <v>non</v>
      </c>
      <c r="M274" s="204">
        <f t="shared" si="394"/>
        <v>1607</v>
      </c>
      <c r="N274" s="204">
        <f t="shared" si="395"/>
        <v>0</v>
      </c>
      <c r="O274" s="204" t="str">
        <f t="shared" si="396"/>
        <v>non</v>
      </c>
      <c r="P274" s="6" t="b">
        <f t="shared" si="397"/>
        <v>0</v>
      </c>
      <c r="Q274" s="6">
        <f t="shared" si="398"/>
        <v>0</v>
      </c>
      <c r="R274" s="6">
        <f t="shared" si="399"/>
        <v>0</v>
      </c>
      <c r="T274" s="205" t="s">
        <v>192</v>
      </c>
      <c r="U274">
        <f t="shared" ca="1" si="400"/>
        <v>3085</v>
      </c>
      <c r="V274">
        <f t="shared" ca="1" si="401"/>
        <v>0</v>
      </c>
      <c r="W274" t="b">
        <f t="shared" si="402"/>
        <v>0</v>
      </c>
      <c r="X274" s="6" t="str">
        <f t="shared" si="403"/>
        <v>non</v>
      </c>
      <c r="Y274">
        <f t="shared" si="404"/>
        <v>1607</v>
      </c>
      <c r="Z274" t="b">
        <f t="shared" si="405"/>
        <v>0</v>
      </c>
      <c r="AA274" s="206">
        <f t="shared" si="406"/>
        <v>1817</v>
      </c>
      <c r="AB274">
        <f t="shared" si="407"/>
        <v>0</v>
      </c>
      <c r="AC274">
        <f t="shared" si="408"/>
        <v>0</v>
      </c>
      <c r="AD274">
        <f t="shared" si="409"/>
        <v>1607</v>
      </c>
      <c r="AE274">
        <f t="shared" si="364"/>
        <v>30</v>
      </c>
      <c r="AF274">
        <f t="shared" si="410"/>
        <v>210</v>
      </c>
      <c r="AG274">
        <f t="shared" si="366"/>
        <v>30</v>
      </c>
      <c r="AH274">
        <f t="shared" si="411"/>
        <v>0</v>
      </c>
      <c r="AK274" s="205">
        <v>30482</v>
      </c>
      <c r="AL274" t="s">
        <v>496</v>
      </c>
      <c r="AQ274">
        <v>0</v>
      </c>
      <c r="AR274">
        <v>0</v>
      </c>
      <c r="AS274">
        <v>0</v>
      </c>
    </row>
    <row r="275" spans="2:45" x14ac:dyDescent="0.25">
      <c r="B275" s="182" t="s">
        <v>666</v>
      </c>
      <c r="C275" t="s">
        <v>553</v>
      </c>
      <c r="D275" s="205">
        <v>44348</v>
      </c>
      <c r="E275">
        <v>35</v>
      </c>
      <c r="F275">
        <v>0</v>
      </c>
      <c r="G275" t="s">
        <v>273</v>
      </c>
      <c r="H275" s="203">
        <f t="shared" ref="H275" si="412">ROUNDUP((($C$9/5)*E275)+($G$4*(E275/$G$5))+IF(E275=20,$G$10,(IF(E275=25,$G$9,(IF(E275=35,$G$6,IF(E275=39,$G$7,(IF(E275=41,$G$8,($G$6*(E275/$G$5)))))))))),0)</f>
        <v>1607</v>
      </c>
      <c r="I275" s="6">
        <f t="shared" ref="I275" si="413">F275*2</f>
        <v>0</v>
      </c>
      <c r="J275" s="200">
        <f>'Synthèse Horaires'!$C$5</f>
        <v>46023</v>
      </c>
      <c r="K275" s="6" t="str">
        <f t="shared" ref="K275" si="414">IF(N(D275)&lt;N($G$3),"oui","non")</f>
        <v>oui</v>
      </c>
      <c r="L275" s="6" t="str">
        <f t="shared" ref="L275" si="415">IF(N(D275)&gt;N($G$3),"oui","non")</f>
        <v>non</v>
      </c>
      <c r="M275" s="204">
        <f t="shared" ref="M275" si="416">IF(G275="Employé",(IF(K275="oui",H275,"non")),"non")</f>
        <v>1607</v>
      </c>
      <c r="N275" s="204">
        <f t="shared" ref="N275" si="417">IF(G275="Employé",(IF(L275="oui",(H275*(($G$3+365)-D275+1)/365),0)))</f>
        <v>0</v>
      </c>
      <c r="O275" s="204" t="str">
        <f t="shared" ref="O275" si="418">IF(G275="Cadre",(IF(K275="oui",F275,0)),"non")</f>
        <v>non</v>
      </c>
      <c r="P275" s="6" t="b">
        <f t="shared" ref="P275" si="419">IF(G275="Cadre",(IF(L275="oui",((((($G$3+365)-D275+1)*F275)/365)),0)))</f>
        <v>0</v>
      </c>
      <c r="Q275" s="6">
        <f t="shared" ref="Q275" si="420">IF(O275="non",0,O275*2)</f>
        <v>0</v>
      </c>
      <c r="R275" s="6">
        <f t="shared" ref="R275" si="421">IF(ISERROR(P275),0,P275*2)</f>
        <v>0</v>
      </c>
      <c r="T275" s="205" t="s">
        <v>473</v>
      </c>
      <c r="U275">
        <f t="shared" ref="U275" ca="1" si="422">TODAY()-D275</f>
        <v>1833</v>
      </c>
      <c r="V275">
        <f t="shared" ref="V275" ca="1" si="423">IF(G275="Employé",IF(U275&gt;9125,3,IF(U275&gt;7300,2,IF(U275&gt;5475,1,))))</f>
        <v>0</v>
      </c>
      <c r="W275" t="b">
        <f t="shared" ref="W275" si="424">IF(G275="Cadre",IF(U275&gt;3650,2,IF(U275&gt;1825,1,)))</f>
        <v>0</v>
      </c>
      <c r="X275" s="6" t="str">
        <f t="shared" ref="X275" si="425">IF(G275="Employé",IF(E275&lt;$G$5,E275,"non"),"non")</f>
        <v>non</v>
      </c>
      <c r="Y275">
        <f t="shared" ref="Y275" si="426">IF(AND(G275="Employé",N275=0),M275,N275)</f>
        <v>1607</v>
      </c>
      <c r="Z275" t="b">
        <f t="shared" ref="Z275" si="427">IF(AND(G275="Cadre",P275=0),O275,P275)</f>
        <v>0</v>
      </c>
      <c r="AA275" s="206">
        <f t="shared" ref="AA275" si="428">(IF(Y275=FALSE(),(Z275+AB275),(AD275)))+AF275+AH275+AI275</f>
        <v>1817</v>
      </c>
      <c r="AB275">
        <f t="shared" ref="AB275" si="429">IF(AND(L275="oui",G275="Cadre"),(30*(Z275/F275)),0)</f>
        <v>0</v>
      </c>
      <c r="AC275">
        <f t="shared" ref="AC275" si="430">IF(AND(G275="Employé",L275="oui"),(30*(Y275/H275)),0)</f>
        <v>0</v>
      </c>
      <c r="AD275">
        <f t="shared" ref="AD275" si="431">Y275+(AC275*(E275/6))</f>
        <v>1607</v>
      </c>
      <c r="AE275">
        <f t="shared" si="364"/>
        <v>30</v>
      </c>
      <c r="AF275">
        <f t="shared" ref="AF275" si="432">IF(AND(G275="Employé",L275="oui"),0,(AE275*(E275/5)))</f>
        <v>210</v>
      </c>
      <c r="AG275">
        <f t="shared" si="366"/>
        <v>30</v>
      </c>
      <c r="AH275">
        <f t="shared" ref="AH275" si="433">IF(G275="Cadre",AG275,0)</f>
        <v>0</v>
      </c>
      <c r="AK275" s="205">
        <v>32895</v>
      </c>
      <c r="AL275" t="s">
        <v>509</v>
      </c>
      <c r="AQ275">
        <v>0</v>
      </c>
      <c r="AR275">
        <v>0</v>
      </c>
      <c r="AS275">
        <v>0</v>
      </c>
    </row>
    <row r="276" spans="2:45" x14ac:dyDescent="0.25">
      <c r="B276" s="182" t="s">
        <v>666</v>
      </c>
      <c r="C276" t="s">
        <v>601</v>
      </c>
      <c r="D276" s="205">
        <v>44543</v>
      </c>
      <c r="E276">
        <v>35</v>
      </c>
      <c r="F276">
        <v>0</v>
      </c>
      <c r="G276" t="s">
        <v>273</v>
      </c>
      <c r="H276" s="203">
        <f t="shared" ref="H276:H278" si="434">ROUNDUP((($C$9/5)*E276)+($G$4*(E276/$G$5))+IF(E276=20,$G$10,(IF(E276=25,$G$9,(IF(E276=35,$G$6,IF(E276=39,$G$7,(IF(E276=41,$G$8,($G$6*(E276/$G$5)))))))))),0)</f>
        <v>1607</v>
      </c>
      <c r="I276" s="6">
        <f t="shared" ref="I276:I278" si="435">F276*2</f>
        <v>0</v>
      </c>
      <c r="J276" s="200">
        <f>'Synthèse Horaires'!$C$5</f>
        <v>46023</v>
      </c>
      <c r="K276" s="6" t="str">
        <f t="shared" ref="K276:K278" si="436">IF(N(D276)&lt;N($G$3),"oui","non")</f>
        <v>oui</v>
      </c>
      <c r="L276" s="6" t="str">
        <f t="shared" ref="L276:L278" si="437">IF(N(D276)&gt;N($G$3),"oui","non")</f>
        <v>non</v>
      </c>
      <c r="M276" s="204">
        <f t="shared" ref="M276:M278" si="438">IF(G276="Employé",(IF(K276="oui",H276,"non")),"non")</f>
        <v>1607</v>
      </c>
      <c r="N276" s="204">
        <f t="shared" ref="N276:N278" si="439">IF(G276="Employé",(IF(L276="oui",(H276*(($G$3+365)-D276+1)/365),0)))</f>
        <v>0</v>
      </c>
      <c r="O276" s="204" t="str">
        <f t="shared" ref="O276:O278" si="440">IF(G276="Cadre",(IF(K276="oui",F276,0)),"non")</f>
        <v>non</v>
      </c>
      <c r="P276" s="6" t="b">
        <f t="shared" ref="P276:P278" si="441">IF(G276="Cadre",(IF(L276="oui",((((($G$3+365)-D276+1)*F276)/365)),0)))</f>
        <v>0</v>
      </c>
      <c r="Q276" s="6">
        <f t="shared" ref="Q276:Q278" si="442">IF(O276="non",0,O276*2)</f>
        <v>0</v>
      </c>
      <c r="R276" s="6">
        <f t="shared" ref="R276:R278" si="443">IF(ISERROR(P276),0,P276*2)</f>
        <v>0</v>
      </c>
      <c r="T276" s="205" t="s">
        <v>458</v>
      </c>
      <c r="U276">
        <f t="shared" ref="U276:U278" ca="1" si="444">TODAY()-D276</f>
        <v>1638</v>
      </c>
      <c r="V276">
        <f t="shared" ref="V276:V278" ca="1" si="445">IF(G276="Employé",IF(U276&gt;9125,3,IF(U276&gt;7300,2,IF(U276&gt;5475,1,))))</f>
        <v>0</v>
      </c>
      <c r="W276" t="b">
        <f t="shared" ref="W276:W278" si="446">IF(G276="Cadre",IF(U276&gt;3650,2,IF(U276&gt;1825,1,)))</f>
        <v>0</v>
      </c>
      <c r="X276" s="6" t="str">
        <f t="shared" ref="X276:X278" si="447">IF(G276="Employé",IF(E276&lt;$G$5,E276,"non"),"non")</f>
        <v>non</v>
      </c>
      <c r="Y276">
        <f t="shared" ref="Y276:Y278" si="448">IF(AND(G276="Employé",N276=0),M276,N276)</f>
        <v>1607</v>
      </c>
      <c r="Z276" t="b">
        <f t="shared" ref="Z276:Z278" si="449">IF(AND(G276="Cadre",P276=0),O276,P276)</f>
        <v>0</v>
      </c>
      <c r="AA276" s="206">
        <f t="shared" ref="AA276:AA278" si="450">(IF(Y276=FALSE(),(Z276+AB276),(AD276)))+AF276+AH276+AI276</f>
        <v>1817</v>
      </c>
      <c r="AB276">
        <f t="shared" ref="AB276:AB278" si="451">IF(AND(L276="oui",G276="Cadre"),(30*(Z276/F276)),0)</f>
        <v>0</v>
      </c>
      <c r="AC276">
        <f t="shared" ref="AC276:AC278" si="452">IF(AND(G276="Employé",L276="oui"),(30*(Y276/H276)),0)</f>
        <v>0</v>
      </c>
      <c r="AD276">
        <f t="shared" ref="AD276:AD278" si="453">Y276+(AC276*(E276/6))</f>
        <v>1607</v>
      </c>
      <c r="AE276">
        <f t="shared" si="364"/>
        <v>30</v>
      </c>
      <c r="AF276">
        <f t="shared" ref="AF276:AF278" si="454">IF(AND(G276="Employé",L276="oui"),0,(AE276*(E276/5)))</f>
        <v>210</v>
      </c>
      <c r="AG276">
        <f t="shared" si="366"/>
        <v>30</v>
      </c>
      <c r="AH276">
        <f t="shared" ref="AH276:AH278" si="455">IF(G276="Cadre",AG276,0)</f>
        <v>0</v>
      </c>
      <c r="AK276" s="205">
        <v>37690</v>
      </c>
      <c r="AL276" t="s">
        <v>532</v>
      </c>
      <c r="AQ276">
        <v>0</v>
      </c>
      <c r="AR276">
        <v>0</v>
      </c>
      <c r="AS276">
        <v>0</v>
      </c>
    </row>
    <row r="277" spans="2:45" x14ac:dyDescent="0.25">
      <c r="B277" s="258" t="s">
        <v>666</v>
      </c>
      <c r="C277" s="5" t="s">
        <v>599</v>
      </c>
      <c r="D277" s="205">
        <v>44502</v>
      </c>
      <c r="E277">
        <v>35</v>
      </c>
      <c r="G277" t="s">
        <v>273</v>
      </c>
      <c r="H277" s="203">
        <f t="shared" si="434"/>
        <v>1607</v>
      </c>
      <c r="I277" s="6">
        <f t="shared" si="435"/>
        <v>0</v>
      </c>
      <c r="J277" s="200">
        <f>'Synthèse Horaires'!$C$5</f>
        <v>46023</v>
      </c>
      <c r="K277" s="6" t="str">
        <f t="shared" si="436"/>
        <v>oui</v>
      </c>
      <c r="L277" s="6" t="str">
        <f t="shared" si="437"/>
        <v>non</v>
      </c>
      <c r="M277" s="204">
        <f t="shared" si="438"/>
        <v>1607</v>
      </c>
      <c r="N277" s="204">
        <f t="shared" si="439"/>
        <v>0</v>
      </c>
      <c r="O277" s="204" t="str">
        <f t="shared" si="440"/>
        <v>non</v>
      </c>
      <c r="P277" s="6" t="b">
        <f t="shared" si="441"/>
        <v>0</v>
      </c>
      <c r="Q277" s="6">
        <f t="shared" si="442"/>
        <v>0</v>
      </c>
      <c r="R277" s="6">
        <f t="shared" si="443"/>
        <v>0</v>
      </c>
      <c r="T277" s="205" t="s">
        <v>194</v>
      </c>
      <c r="U277">
        <f t="shared" ca="1" si="444"/>
        <v>1679</v>
      </c>
      <c r="V277">
        <f t="shared" ca="1" si="445"/>
        <v>0</v>
      </c>
      <c r="W277" t="b">
        <f t="shared" si="446"/>
        <v>0</v>
      </c>
      <c r="X277" s="6" t="str">
        <f t="shared" si="447"/>
        <v>non</v>
      </c>
      <c r="Y277">
        <f t="shared" si="448"/>
        <v>1607</v>
      </c>
      <c r="Z277" t="b">
        <f t="shared" si="449"/>
        <v>0</v>
      </c>
      <c r="AA277" s="206">
        <f t="shared" si="450"/>
        <v>1817</v>
      </c>
      <c r="AB277">
        <f t="shared" si="451"/>
        <v>0</v>
      </c>
      <c r="AC277">
        <f t="shared" si="452"/>
        <v>0</v>
      </c>
      <c r="AD277">
        <f t="shared" si="453"/>
        <v>1607</v>
      </c>
      <c r="AE277">
        <f t="shared" si="364"/>
        <v>30</v>
      </c>
      <c r="AF277">
        <f t="shared" si="454"/>
        <v>210</v>
      </c>
      <c r="AG277">
        <f t="shared" si="366"/>
        <v>30</v>
      </c>
      <c r="AH277">
        <f t="shared" si="455"/>
        <v>0</v>
      </c>
      <c r="AK277" s="205">
        <v>34344</v>
      </c>
      <c r="AL277" t="s">
        <v>508</v>
      </c>
      <c r="AQ277">
        <v>0</v>
      </c>
      <c r="AR277">
        <v>0</v>
      </c>
      <c r="AS277">
        <v>0</v>
      </c>
    </row>
    <row r="278" spans="2:45" x14ac:dyDescent="0.25">
      <c r="B278" s="182" t="s">
        <v>666</v>
      </c>
      <c r="C278" t="s">
        <v>559</v>
      </c>
      <c r="D278" s="205">
        <v>44378</v>
      </c>
      <c r="E278">
        <v>35</v>
      </c>
      <c r="F278">
        <v>0</v>
      </c>
      <c r="G278" t="s">
        <v>273</v>
      </c>
      <c r="H278" s="203">
        <f t="shared" si="434"/>
        <v>1607</v>
      </c>
      <c r="I278" s="6">
        <f t="shared" si="435"/>
        <v>0</v>
      </c>
      <c r="J278" s="200">
        <f>'Synthèse Horaires'!$C$5</f>
        <v>46023</v>
      </c>
      <c r="K278" s="6" t="str">
        <f t="shared" si="436"/>
        <v>oui</v>
      </c>
      <c r="L278" s="6" t="str">
        <f t="shared" si="437"/>
        <v>non</v>
      </c>
      <c r="M278" s="204">
        <f t="shared" si="438"/>
        <v>1607</v>
      </c>
      <c r="N278" s="204">
        <f t="shared" si="439"/>
        <v>0</v>
      </c>
      <c r="O278" s="204" t="str">
        <f t="shared" si="440"/>
        <v>non</v>
      </c>
      <c r="P278" s="6" t="b">
        <f t="shared" si="441"/>
        <v>0</v>
      </c>
      <c r="Q278" s="6">
        <f t="shared" si="442"/>
        <v>0</v>
      </c>
      <c r="R278" s="6">
        <f t="shared" si="443"/>
        <v>0</v>
      </c>
      <c r="T278" s="205" t="s">
        <v>198</v>
      </c>
      <c r="U278">
        <f t="shared" ca="1" si="444"/>
        <v>1803</v>
      </c>
      <c r="V278">
        <f t="shared" ca="1" si="445"/>
        <v>0</v>
      </c>
      <c r="W278" t="b">
        <f t="shared" si="446"/>
        <v>0</v>
      </c>
      <c r="X278" s="6" t="str">
        <f t="shared" si="447"/>
        <v>non</v>
      </c>
      <c r="Y278">
        <f t="shared" si="448"/>
        <v>1607</v>
      </c>
      <c r="Z278" t="b">
        <f t="shared" si="449"/>
        <v>0</v>
      </c>
      <c r="AA278" s="206">
        <f t="shared" si="450"/>
        <v>1817</v>
      </c>
      <c r="AB278">
        <f t="shared" si="451"/>
        <v>0</v>
      </c>
      <c r="AC278">
        <f t="shared" si="452"/>
        <v>0</v>
      </c>
      <c r="AD278">
        <f t="shared" si="453"/>
        <v>1607</v>
      </c>
      <c r="AE278">
        <f t="shared" si="364"/>
        <v>30</v>
      </c>
      <c r="AF278">
        <f t="shared" si="454"/>
        <v>210</v>
      </c>
      <c r="AG278">
        <f t="shared" si="366"/>
        <v>30</v>
      </c>
      <c r="AH278">
        <f t="shared" si="455"/>
        <v>0</v>
      </c>
      <c r="AK278" s="205">
        <v>37678</v>
      </c>
      <c r="AL278" t="s">
        <v>508</v>
      </c>
      <c r="AQ278">
        <v>0</v>
      </c>
      <c r="AR278">
        <v>0</v>
      </c>
      <c r="AS278">
        <v>0</v>
      </c>
    </row>
    <row r="279" spans="2:45" x14ac:dyDescent="0.25">
      <c r="B279" s="258" t="s">
        <v>666</v>
      </c>
      <c r="C279" s="5" t="s">
        <v>54</v>
      </c>
      <c r="D279" s="205">
        <v>42262</v>
      </c>
      <c r="E279">
        <v>35</v>
      </c>
      <c r="F279">
        <v>0</v>
      </c>
      <c r="G279" t="s">
        <v>273</v>
      </c>
      <c r="H279" s="203">
        <f t="shared" ref="H279" si="456">ROUNDUP((($C$9/5)*E279)+($G$4*(E279/$G$5))+IF(E279=20,$G$10,(IF(E279=25,$G$9,(IF(E279=35,$G$6,IF(E279=39,$G$7,(IF(E279=41,$G$8,($G$6*(E279/$G$5)))))))))),0)</f>
        <v>1607</v>
      </c>
      <c r="I279" s="6">
        <f t="shared" ref="I279" si="457">F279*2</f>
        <v>0</v>
      </c>
      <c r="J279" s="200">
        <f>'Synthèse Horaires'!$C$5</f>
        <v>46023</v>
      </c>
      <c r="K279" s="6" t="str">
        <f t="shared" ref="K279" si="458">IF(N(D279)&lt;N($G$3),"oui","non")</f>
        <v>oui</v>
      </c>
      <c r="L279" s="6" t="str">
        <f t="shared" ref="L279" si="459">IF(N(D279)&gt;N($G$3),"oui","non")</f>
        <v>non</v>
      </c>
      <c r="M279" s="204">
        <f t="shared" ref="M279" si="460">IF(G279="Employé",(IF(K279="oui",H279,"non")),"non")</f>
        <v>1607</v>
      </c>
      <c r="N279" s="204">
        <f t="shared" ref="N279" si="461">IF(G279="Employé",(IF(L279="oui",(H279*(($G$3+365)-D279+1)/365),0)))</f>
        <v>0</v>
      </c>
      <c r="O279" s="204" t="str">
        <f t="shared" ref="O279" si="462">IF(G279="Cadre",(IF(K279="oui",F279,0)),"non")</f>
        <v>non</v>
      </c>
      <c r="P279" s="6" t="b">
        <f t="shared" ref="P279" si="463">IF(G279="Cadre",(IF(L279="oui",((((($G$3+365)-D279+1)*F279)/365)),0)))</f>
        <v>0</v>
      </c>
      <c r="Q279" s="6">
        <f t="shared" ref="Q279" si="464">IF(O279="non",0,O279*2)</f>
        <v>0</v>
      </c>
      <c r="R279" s="6">
        <f t="shared" ref="R279" si="465">IF(ISERROR(P279),0,P279*2)</f>
        <v>0</v>
      </c>
      <c r="T279" s="205" t="s">
        <v>196</v>
      </c>
      <c r="U279">
        <f t="shared" ref="U279" ca="1" si="466">TODAY()-D279</f>
        <v>3919</v>
      </c>
      <c r="V279">
        <f t="shared" ref="V279" ca="1" si="467">IF(G279="Employé",IF(U279&gt;9125,3,IF(U279&gt;7300,2,IF(U279&gt;5475,1,))))</f>
        <v>0</v>
      </c>
      <c r="W279" t="b">
        <f t="shared" ref="W279" si="468">IF(G279="Cadre",IF(U279&gt;3650,2,IF(U279&gt;1825,1,)))</f>
        <v>0</v>
      </c>
      <c r="X279" s="6" t="str">
        <f t="shared" ref="X279" si="469">IF(G279="Employé",IF(E279&lt;$G$5,E279,"non"),"non")</f>
        <v>non</v>
      </c>
      <c r="Y279">
        <f t="shared" ref="Y279" si="470">IF(AND(G279="Employé",N279=0),M279,N279)</f>
        <v>1607</v>
      </c>
      <c r="Z279" t="b">
        <f t="shared" ref="Z279" si="471">IF(AND(G279="Cadre",P279=0),O279,P279)</f>
        <v>0</v>
      </c>
      <c r="AA279" s="206">
        <f t="shared" ref="AA279" si="472">(IF(Y279=FALSE(),(Z279+AB279),(AD279)))+AF279+AH279+AI279</f>
        <v>1817</v>
      </c>
      <c r="AB279">
        <f t="shared" ref="AB279" si="473">IF(AND(L279="oui",G279="Cadre"),(30*(Z279/F279)),0)</f>
        <v>0</v>
      </c>
      <c r="AC279">
        <f t="shared" ref="AC279" si="474">IF(AND(G279="Employé",L279="oui"),(30*(Y279/H279)),0)</f>
        <v>0</v>
      </c>
      <c r="AD279">
        <f t="shared" ref="AD279" si="475">Y279+(AC279*(E279/6))</f>
        <v>1607</v>
      </c>
      <c r="AE279">
        <f t="shared" si="364"/>
        <v>30</v>
      </c>
      <c r="AF279">
        <f t="shared" ref="AF279" si="476">IF(AND(G279="Employé",L279="oui"),0,(AE279*(E279/5)))</f>
        <v>210</v>
      </c>
      <c r="AG279">
        <f t="shared" si="366"/>
        <v>30</v>
      </c>
      <c r="AH279">
        <f t="shared" ref="AH279" si="477">IF(G279="Cadre",AG279,0)</f>
        <v>0</v>
      </c>
      <c r="AK279" s="205">
        <v>28858</v>
      </c>
      <c r="AL279" t="s">
        <v>581</v>
      </c>
      <c r="AQ279">
        <v>0</v>
      </c>
      <c r="AR279">
        <v>0</v>
      </c>
      <c r="AS279">
        <v>0</v>
      </c>
    </row>
    <row r="280" spans="2:45" x14ac:dyDescent="0.25">
      <c r="B280" s="272" t="s">
        <v>666</v>
      </c>
      <c r="C280" s="273" t="s">
        <v>632</v>
      </c>
      <c r="D280" s="205">
        <v>44795</v>
      </c>
      <c r="E280">
        <v>35</v>
      </c>
      <c r="F280">
        <v>0</v>
      </c>
      <c r="G280" t="s">
        <v>273</v>
      </c>
      <c r="H280" s="203">
        <f t="shared" ref="H280:H283" si="478">ROUNDUP((($C$9/5)*E280)+($G$4*(E280/$G$5))+IF(E280=20,$G$10,(IF(E280=25,$G$9,(IF(E280=35,$G$6,IF(E280=39,$G$7,(IF(E280=41,$G$8,($G$6*(E280/$G$5)))))))))),0)</f>
        <v>1607</v>
      </c>
      <c r="I280" s="6">
        <f t="shared" ref="I280:I283" si="479">F280*2</f>
        <v>0</v>
      </c>
      <c r="J280" s="200">
        <f>'Synthèse Horaires'!$C$5</f>
        <v>46023</v>
      </c>
      <c r="K280" s="6" t="str">
        <f t="shared" ref="K280:K283" si="480">IF(N(D280)&lt;N($G$3),"oui","non")</f>
        <v>oui</v>
      </c>
      <c r="L280" s="6" t="str">
        <f t="shared" ref="L280:L283" si="481">IF(N(D280)&gt;N($G$3),"oui","non")</f>
        <v>non</v>
      </c>
      <c r="M280" s="204">
        <f t="shared" ref="M280:M283" si="482">IF(G280="Employé",(IF(K280="oui",H280,"non")),"non")</f>
        <v>1607</v>
      </c>
      <c r="N280" s="204">
        <f t="shared" ref="N280:N283" si="483">IF(G280="Employé",(IF(L280="oui",(H280*(($G$3+365)-D280+1)/365),0)))</f>
        <v>0</v>
      </c>
      <c r="O280" s="204" t="str">
        <f t="shared" ref="O280:O283" si="484">IF(G280="Cadre",(IF(K280="oui",F280,0)),"non")</f>
        <v>non</v>
      </c>
      <c r="P280" s="6" t="b">
        <f t="shared" ref="P280:P283" si="485">IF(G280="Cadre",(IF(L280="oui",((((($G$3+365)-D280+1)*F280)/365)),0)))</f>
        <v>0</v>
      </c>
      <c r="Q280" s="6">
        <f t="shared" ref="Q280:Q283" si="486">IF(O280="non",0,O280*2)</f>
        <v>0</v>
      </c>
      <c r="R280" s="6">
        <f t="shared" ref="R280:R283" si="487">IF(ISERROR(P280),0,P280*2)</f>
        <v>0</v>
      </c>
      <c r="T280" s="205" t="s">
        <v>606</v>
      </c>
      <c r="U280">
        <f t="shared" ref="U280:U283" ca="1" si="488">TODAY()-D280</f>
        <v>1386</v>
      </c>
      <c r="V280">
        <f t="shared" ref="V280:V283" ca="1" si="489">IF(G280="Employé",IF(U280&gt;9125,3,IF(U280&gt;7300,2,IF(U280&gt;5475,1,))))</f>
        <v>0</v>
      </c>
      <c r="W280" t="b">
        <f t="shared" ref="W280:W283" si="490">IF(G280="Cadre",IF(U280&gt;3650,2,IF(U280&gt;1825,1,)))</f>
        <v>0</v>
      </c>
      <c r="X280" s="6" t="str">
        <f t="shared" ref="X280:X283" si="491">IF(G280="Employé",IF(E280&lt;$G$5,E280,"non"),"non")</f>
        <v>non</v>
      </c>
      <c r="Y280">
        <f t="shared" ref="Y280:Y283" si="492">IF(AND(G280="Employé",N280=0),M280,N280)</f>
        <v>1607</v>
      </c>
      <c r="Z280" t="b">
        <f t="shared" ref="Z280:Z283" si="493">IF(AND(G280="Cadre",P280=0),O280,P280)</f>
        <v>0</v>
      </c>
      <c r="AA280" s="206">
        <f t="shared" ref="AA280:AA283" si="494">(IF(Y280=FALSE(),(Z280+AB280),(AD280)))+AF280+AH280+AI280</f>
        <v>1817</v>
      </c>
      <c r="AB280">
        <f t="shared" ref="AB280:AB283" si="495">IF(AND(L280="oui",G280="Cadre"),(30*(Z280/F280)),0)</f>
        <v>0</v>
      </c>
      <c r="AC280">
        <f t="shared" ref="AC280:AC283" si="496">IF(AND(G280="Employé",L280="oui"),(30*(Y280/H280)),0)</f>
        <v>0</v>
      </c>
      <c r="AD280">
        <f t="shared" ref="AD280:AD283" si="497">Y280+(AC280*(E280/6))</f>
        <v>1607</v>
      </c>
      <c r="AE280">
        <f t="shared" si="364"/>
        <v>30</v>
      </c>
      <c r="AF280">
        <f t="shared" ref="AF280:AF283" si="498">IF(AND(G280="Employé",L280="oui"),0,(AE280*(E280/5)))</f>
        <v>210</v>
      </c>
      <c r="AG280">
        <f t="shared" si="366"/>
        <v>30</v>
      </c>
      <c r="AH280">
        <f t="shared" ref="AH280:AH283" si="499">IF(G280="Cadre",AG280,0)</f>
        <v>0</v>
      </c>
      <c r="AK280" s="205">
        <v>34357</v>
      </c>
      <c r="AL280" t="s">
        <v>633</v>
      </c>
      <c r="AQ280">
        <v>0</v>
      </c>
      <c r="AR280">
        <v>0</v>
      </c>
      <c r="AS280">
        <v>0</v>
      </c>
    </row>
    <row r="281" spans="2:45" x14ac:dyDescent="0.25">
      <c r="B281" s="182" t="s">
        <v>666</v>
      </c>
      <c r="C281" t="s">
        <v>571</v>
      </c>
      <c r="D281" s="205">
        <v>44476</v>
      </c>
      <c r="E281">
        <v>35</v>
      </c>
      <c r="F281">
        <v>0</v>
      </c>
      <c r="G281" t="s">
        <v>273</v>
      </c>
      <c r="H281" s="203">
        <f t="shared" si="478"/>
        <v>1607</v>
      </c>
      <c r="I281" s="6">
        <f t="shared" si="479"/>
        <v>0</v>
      </c>
      <c r="J281" s="200">
        <f>'Synthèse Horaires'!$C$5</f>
        <v>46023</v>
      </c>
      <c r="K281" s="6" t="str">
        <f t="shared" si="480"/>
        <v>oui</v>
      </c>
      <c r="L281" s="6" t="str">
        <f t="shared" si="481"/>
        <v>non</v>
      </c>
      <c r="M281" s="204">
        <f t="shared" si="482"/>
        <v>1607</v>
      </c>
      <c r="N281" s="204">
        <f t="shared" si="483"/>
        <v>0</v>
      </c>
      <c r="O281" s="204" t="str">
        <f t="shared" si="484"/>
        <v>non</v>
      </c>
      <c r="P281" s="6" t="b">
        <f t="shared" si="485"/>
        <v>0</v>
      </c>
      <c r="Q281" s="6">
        <f t="shared" si="486"/>
        <v>0</v>
      </c>
      <c r="R281" s="6">
        <f t="shared" si="487"/>
        <v>0</v>
      </c>
      <c r="T281" s="205" t="s">
        <v>191</v>
      </c>
      <c r="U281">
        <f t="shared" ca="1" si="488"/>
        <v>1705</v>
      </c>
      <c r="V281">
        <f t="shared" ca="1" si="489"/>
        <v>0</v>
      </c>
      <c r="W281" t="b">
        <f t="shared" si="490"/>
        <v>0</v>
      </c>
      <c r="X281" s="6" t="str">
        <f t="shared" si="491"/>
        <v>non</v>
      </c>
      <c r="Y281">
        <f t="shared" si="492"/>
        <v>1607</v>
      </c>
      <c r="Z281" t="b">
        <f t="shared" si="493"/>
        <v>0</v>
      </c>
      <c r="AA281" s="206">
        <f t="shared" si="494"/>
        <v>1817</v>
      </c>
      <c r="AB281">
        <f t="shared" si="495"/>
        <v>0</v>
      </c>
      <c r="AC281">
        <f t="shared" si="496"/>
        <v>0</v>
      </c>
      <c r="AD281">
        <f t="shared" si="497"/>
        <v>1607</v>
      </c>
      <c r="AE281">
        <f t="shared" si="364"/>
        <v>30</v>
      </c>
      <c r="AF281">
        <f t="shared" si="498"/>
        <v>210</v>
      </c>
      <c r="AG281">
        <f t="shared" si="366"/>
        <v>30</v>
      </c>
      <c r="AH281">
        <f t="shared" si="499"/>
        <v>0</v>
      </c>
      <c r="AK281" s="205">
        <v>37651</v>
      </c>
      <c r="AL281" t="s">
        <v>532</v>
      </c>
      <c r="AQ281">
        <v>0</v>
      </c>
      <c r="AR281">
        <v>0</v>
      </c>
      <c r="AS281">
        <v>0</v>
      </c>
    </row>
    <row r="282" spans="2:45" x14ac:dyDescent="0.25">
      <c r="B282" s="182" t="s">
        <v>666</v>
      </c>
      <c r="C282" t="s">
        <v>563</v>
      </c>
      <c r="D282" s="205">
        <v>44431</v>
      </c>
      <c r="E282">
        <v>35</v>
      </c>
      <c r="F282">
        <v>0</v>
      </c>
      <c r="G282" t="s">
        <v>273</v>
      </c>
      <c r="H282" s="203">
        <f t="shared" si="478"/>
        <v>1607</v>
      </c>
      <c r="I282" s="6">
        <f t="shared" si="479"/>
        <v>0</v>
      </c>
      <c r="J282" s="200">
        <f>'Synthèse Horaires'!$C$5</f>
        <v>46023</v>
      </c>
      <c r="K282" s="6" t="str">
        <f t="shared" si="480"/>
        <v>oui</v>
      </c>
      <c r="L282" s="6" t="str">
        <f t="shared" si="481"/>
        <v>non</v>
      </c>
      <c r="M282" s="204">
        <f t="shared" si="482"/>
        <v>1607</v>
      </c>
      <c r="N282" s="204">
        <f t="shared" si="483"/>
        <v>0</v>
      </c>
      <c r="O282" s="204" t="str">
        <f t="shared" si="484"/>
        <v>non</v>
      </c>
      <c r="P282" s="6" t="b">
        <f t="shared" si="485"/>
        <v>0</v>
      </c>
      <c r="Q282" s="6">
        <f t="shared" si="486"/>
        <v>0</v>
      </c>
      <c r="R282" s="6">
        <f t="shared" si="487"/>
        <v>0</v>
      </c>
      <c r="T282" s="205" t="s">
        <v>458</v>
      </c>
      <c r="U282">
        <f t="shared" ca="1" si="488"/>
        <v>1750</v>
      </c>
      <c r="V282">
        <f t="shared" ca="1" si="489"/>
        <v>0</v>
      </c>
      <c r="W282" t="b">
        <f t="shared" si="490"/>
        <v>0</v>
      </c>
      <c r="X282" s="6" t="str">
        <f t="shared" si="491"/>
        <v>non</v>
      </c>
      <c r="Y282">
        <f t="shared" si="492"/>
        <v>1607</v>
      </c>
      <c r="Z282" t="b">
        <f t="shared" si="493"/>
        <v>0</v>
      </c>
      <c r="AA282" s="206">
        <f t="shared" si="494"/>
        <v>1817</v>
      </c>
      <c r="AB282">
        <f t="shared" si="495"/>
        <v>0</v>
      </c>
      <c r="AC282">
        <f t="shared" si="496"/>
        <v>0</v>
      </c>
      <c r="AD282">
        <f t="shared" si="497"/>
        <v>1607</v>
      </c>
      <c r="AE282">
        <f t="shared" si="364"/>
        <v>30</v>
      </c>
      <c r="AF282">
        <f t="shared" si="498"/>
        <v>210</v>
      </c>
      <c r="AG282">
        <f t="shared" si="366"/>
        <v>30</v>
      </c>
      <c r="AH282">
        <f t="shared" si="499"/>
        <v>0</v>
      </c>
      <c r="AK282" s="205">
        <v>36270</v>
      </c>
      <c r="AL282" t="s">
        <v>508</v>
      </c>
      <c r="AQ282">
        <v>0</v>
      </c>
      <c r="AR282">
        <v>0</v>
      </c>
      <c r="AS282">
        <v>0</v>
      </c>
    </row>
    <row r="283" spans="2:45" x14ac:dyDescent="0.25">
      <c r="B283" s="182">
        <v>1200000016</v>
      </c>
      <c r="C283" t="s">
        <v>438</v>
      </c>
      <c r="D283" s="205">
        <v>43199</v>
      </c>
      <c r="E283">
        <v>35</v>
      </c>
      <c r="F283">
        <v>0</v>
      </c>
      <c r="G283" t="s">
        <v>273</v>
      </c>
      <c r="H283" s="203">
        <f t="shared" si="478"/>
        <v>1607</v>
      </c>
      <c r="I283" s="6">
        <f t="shared" si="479"/>
        <v>0</v>
      </c>
      <c r="J283" s="200">
        <f>'Synthèse Horaires'!$C$5</f>
        <v>46023</v>
      </c>
      <c r="K283" s="6" t="str">
        <f t="shared" si="480"/>
        <v>oui</v>
      </c>
      <c r="L283" s="6" t="str">
        <f t="shared" si="481"/>
        <v>non</v>
      </c>
      <c r="M283" s="204">
        <f t="shared" si="482"/>
        <v>1607</v>
      </c>
      <c r="N283" s="204">
        <f t="shared" si="483"/>
        <v>0</v>
      </c>
      <c r="O283" s="204" t="str">
        <f t="shared" si="484"/>
        <v>non</v>
      </c>
      <c r="P283" s="6" t="b">
        <f t="shared" si="485"/>
        <v>0</v>
      </c>
      <c r="Q283" s="6">
        <f t="shared" si="486"/>
        <v>0</v>
      </c>
      <c r="R283" s="6">
        <f t="shared" si="487"/>
        <v>0</v>
      </c>
      <c r="T283" s="205" t="s">
        <v>195</v>
      </c>
      <c r="U283">
        <f t="shared" ca="1" si="488"/>
        <v>2982</v>
      </c>
      <c r="V283">
        <f t="shared" ca="1" si="489"/>
        <v>0</v>
      </c>
      <c r="W283" t="b">
        <f t="shared" si="490"/>
        <v>0</v>
      </c>
      <c r="X283" s="6" t="str">
        <f t="shared" si="491"/>
        <v>non</v>
      </c>
      <c r="Y283">
        <f t="shared" si="492"/>
        <v>1607</v>
      </c>
      <c r="Z283" t="b">
        <f t="shared" si="493"/>
        <v>0</v>
      </c>
      <c r="AA283" s="206">
        <f t="shared" si="494"/>
        <v>1607</v>
      </c>
      <c r="AB283">
        <f t="shared" si="495"/>
        <v>0</v>
      </c>
      <c r="AC283">
        <f t="shared" si="496"/>
        <v>0</v>
      </c>
      <c r="AD283">
        <f t="shared" si="497"/>
        <v>1607</v>
      </c>
      <c r="AE283">
        <f t="shared" si="364"/>
        <v>0</v>
      </c>
      <c r="AF283">
        <f t="shared" si="498"/>
        <v>0</v>
      </c>
      <c r="AG283">
        <f t="shared" si="366"/>
        <v>0</v>
      </c>
      <c r="AH283">
        <f t="shared" si="499"/>
        <v>0</v>
      </c>
      <c r="AK283" s="205">
        <v>31053</v>
      </c>
      <c r="AL283" t="s">
        <v>586</v>
      </c>
      <c r="AQ283">
        <v>0</v>
      </c>
      <c r="AR283">
        <v>0</v>
      </c>
      <c r="AS283">
        <v>0</v>
      </c>
    </row>
    <row r="284" spans="2:45" x14ac:dyDescent="0.25">
      <c r="B284" s="182" t="s">
        <v>666</v>
      </c>
      <c r="C284" t="s">
        <v>564</v>
      </c>
      <c r="D284" s="205">
        <v>44440</v>
      </c>
      <c r="E284">
        <v>24</v>
      </c>
      <c r="F284">
        <v>0</v>
      </c>
      <c r="G284" t="s">
        <v>273</v>
      </c>
      <c r="H284" s="203">
        <f t="shared" ref="H284" si="500">ROUNDUP((($C$9/5)*E284)+($G$4*(E284/$G$5))+IF(E284=20,$G$10,(IF(E284=25,$G$9,(IF(E284=35,$G$6,IF(E284=39,$G$7,(IF(E284=41,$G$8,($G$6*(E284/$G$5)))))))))),0)</f>
        <v>1102</v>
      </c>
      <c r="I284" s="6">
        <f t="shared" ref="I284" si="501">F284*2</f>
        <v>0</v>
      </c>
      <c r="J284" s="200">
        <f>'Synthèse Horaires'!$C$5</f>
        <v>46023</v>
      </c>
      <c r="K284" s="6" t="str">
        <f t="shared" ref="K284" si="502">IF(N(D284)&lt;N($G$3),"oui","non")</f>
        <v>oui</v>
      </c>
      <c r="L284" s="6" t="str">
        <f t="shared" ref="L284" si="503">IF(N(D284)&gt;N($G$3),"oui","non")</f>
        <v>non</v>
      </c>
      <c r="M284" s="204">
        <f t="shared" ref="M284" si="504">IF(G284="Employé",(IF(K284="oui",H284,"non")),"non")</f>
        <v>1102</v>
      </c>
      <c r="N284" s="204">
        <f t="shared" ref="N284" si="505">IF(G284="Employé",(IF(L284="oui",(H284*(($G$3+365)-D284+1)/365),0)))</f>
        <v>0</v>
      </c>
      <c r="O284" s="204" t="str">
        <f t="shared" ref="O284" si="506">IF(G284="Cadre",(IF(K284="oui",F284,0)),"non")</f>
        <v>non</v>
      </c>
      <c r="P284" s="6" t="b">
        <f t="shared" ref="P284" si="507">IF(G284="Cadre",(IF(L284="oui",((((($G$3+365)-D284+1)*F284)/365)),0)))</f>
        <v>0</v>
      </c>
      <c r="Q284" s="6">
        <f t="shared" ref="Q284" si="508">IF(O284="non",0,O284*2)</f>
        <v>0</v>
      </c>
      <c r="R284" s="6">
        <f t="shared" ref="R284" si="509">IF(ISERROR(P284),0,P284*2)</f>
        <v>0</v>
      </c>
      <c r="S284" t="s">
        <v>341</v>
      </c>
      <c r="T284" s="205" t="s">
        <v>194</v>
      </c>
      <c r="U284">
        <f t="shared" ref="U284" ca="1" si="510">TODAY()-D284</f>
        <v>1741</v>
      </c>
      <c r="V284">
        <f t="shared" ref="V284" ca="1" si="511">IF(G284="Employé",IF(U284&gt;9125,3,IF(U284&gt;7300,2,IF(U284&gt;5475,1,))))</f>
        <v>0</v>
      </c>
      <c r="W284" t="b">
        <f t="shared" ref="W284" si="512">IF(G284="Cadre",IF(U284&gt;3650,2,IF(U284&gt;1825,1,)))</f>
        <v>0</v>
      </c>
      <c r="X284" s="6">
        <f t="shared" ref="X284" si="513">IF(G284="Employé",IF(E284&lt;$G$5,E284,"non"),"non")</f>
        <v>24</v>
      </c>
      <c r="Y284">
        <f t="shared" ref="Y284" si="514">IF(AND(G284="Employé",N284=0),M284,N284)</f>
        <v>1102</v>
      </c>
      <c r="Z284" t="b">
        <f t="shared" ref="Z284" si="515">IF(AND(G284="Cadre",P284=0),O284,P284)</f>
        <v>0</v>
      </c>
      <c r="AA284" s="206">
        <f t="shared" ref="AA284" si="516">(IF(Y284=FALSE(),(Z284+AB284),(AD284)))+AF284+AH284+AI284</f>
        <v>1246</v>
      </c>
      <c r="AB284">
        <f t="shared" ref="AB284" si="517">IF(AND(L284="oui",G284="Cadre"),(30*(Z284/F284)),0)</f>
        <v>0</v>
      </c>
      <c r="AC284">
        <f t="shared" ref="AC284" si="518">IF(AND(G284="Employé",L284="oui"),(30*(Y284/H284)),0)</f>
        <v>0</v>
      </c>
      <c r="AD284">
        <f t="shared" ref="AD284" si="519">Y284+(AC284*(E284/6))</f>
        <v>1102</v>
      </c>
      <c r="AE284">
        <f t="shared" si="364"/>
        <v>30</v>
      </c>
      <c r="AF284">
        <f t="shared" ref="AF284" si="520">IF(AND(G284="Employé",L284="oui"),0,(AE284*(E284/5)))</f>
        <v>144</v>
      </c>
      <c r="AG284">
        <f t="shared" si="366"/>
        <v>30</v>
      </c>
      <c r="AH284">
        <f t="shared" ref="AH284" si="521">IF(G284="Cadre",AG284,0)</f>
        <v>0</v>
      </c>
      <c r="AK284" s="205">
        <v>37302</v>
      </c>
      <c r="AL284" t="s">
        <v>514</v>
      </c>
      <c r="AQ284">
        <v>0</v>
      </c>
      <c r="AR284">
        <v>0</v>
      </c>
      <c r="AS284">
        <v>0</v>
      </c>
    </row>
    <row r="285" spans="2:45" x14ac:dyDescent="0.25">
      <c r="B285" s="292">
        <v>1100000018</v>
      </c>
      <c r="C285" s="293" t="s">
        <v>439</v>
      </c>
      <c r="D285" s="205">
        <v>43255</v>
      </c>
      <c r="E285">
        <v>35</v>
      </c>
      <c r="F285">
        <v>0</v>
      </c>
      <c r="G285" t="s">
        <v>273</v>
      </c>
      <c r="H285" s="203">
        <f t="shared" ref="H285" si="522">ROUNDUP((($C$9/5)*E285)+($G$4*(E285/$G$5))+IF(E285=20,$G$10,(IF(E285=25,$G$9,(IF(E285=35,$G$6,IF(E285=39,$G$7,(IF(E285=41,$G$8,($G$6*(E285/$G$5)))))))))),0)</f>
        <v>1607</v>
      </c>
      <c r="I285" s="6">
        <f t="shared" ref="I285" si="523">F285*2</f>
        <v>0</v>
      </c>
      <c r="J285" s="200">
        <f>'Synthèse Horaires'!$C$5</f>
        <v>46023</v>
      </c>
      <c r="K285" s="6" t="str">
        <f t="shared" ref="K285" si="524">IF(N(D285)&lt;N($G$3),"oui","non")</f>
        <v>oui</v>
      </c>
      <c r="L285" s="6" t="str">
        <f t="shared" ref="L285" si="525">IF(N(D285)&gt;N($G$3),"oui","non")</f>
        <v>non</v>
      </c>
      <c r="M285" s="204">
        <f t="shared" ref="M285" si="526">IF(G285="Employé",(IF(K285="oui",H285,"non")),"non")</f>
        <v>1607</v>
      </c>
      <c r="N285" s="204">
        <f t="shared" ref="N285" si="527">IF(G285="Employé",(IF(L285="oui",(H285*(($G$3+365)-D285+1)/365),0)))</f>
        <v>0</v>
      </c>
      <c r="O285" s="204" t="str">
        <f t="shared" ref="O285" si="528">IF(G285="Cadre",(IF(K285="oui",F285,0)),"non")</f>
        <v>non</v>
      </c>
      <c r="P285" s="6" t="b">
        <f t="shared" ref="P285" si="529">IF(G285="Cadre",(IF(L285="oui",((((($G$3+365)-D285+1)*F285)/365)),0)))</f>
        <v>0</v>
      </c>
      <c r="Q285" s="6">
        <f t="shared" ref="Q285" si="530">IF(O285="non",0,O285*2)</f>
        <v>0</v>
      </c>
      <c r="R285" s="6">
        <f t="shared" ref="R285" si="531">IF(ISERROR(P285),0,P285*2)</f>
        <v>0</v>
      </c>
      <c r="T285" s="205" t="s">
        <v>190</v>
      </c>
      <c r="U285">
        <f t="shared" ref="U285" ca="1" si="532">TODAY()-D285</f>
        <v>2926</v>
      </c>
      <c r="V285">
        <f t="shared" ref="V285" ca="1" si="533">IF(G285="Employé",IF(U285&gt;9125,3,IF(U285&gt;7300,2,IF(U285&gt;5475,1,))))</f>
        <v>0</v>
      </c>
      <c r="W285" t="b">
        <f t="shared" ref="W285" si="534">IF(G285="Cadre",IF(U285&gt;3650,2,IF(U285&gt;1825,1,)))</f>
        <v>0</v>
      </c>
      <c r="X285" s="6" t="str">
        <f t="shared" ref="X285" si="535">IF(G285="Employé",IF(E285&lt;$G$5,E285,"non"),"non")</f>
        <v>non</v>
      </c>
      <c r="Y285">
        <f t="shared" ref="Y285" si="536">IF(AND(G285="Employé",N285=0),M285,N285)</f>
        <v>1607</v>
      </c>
      <c r="Z285" t="b">
        <f t="shared" ref="Z285" si="537">IF(AND(G285="Cadre",P285=0),O285,P285)</f>
        <v>0</v>
      </c>
      <c r="AA285" s="206">
        <f t="shared" ref="AA285" si="538">(IF(Y285=FALSE(),(Z285+AB285),(AD285)))+AF285+AH285+AI285</f>
        <v>1817</v>
      </c>
      <c r="AB285">
        <f t="shared" ref="AB285" si="539">IF(AND(L285="oui",G285="Cadre"),(30*(Z285/F285)),0)</f>
        <v>0</v>
      </c>
      <c r="AC285">
        <f t="shared" ref="AC285" si="540">IF(AND(G285="Employé",L285="oui"),(30*(Y285/H285)),0)</f>
        <v>0</v>
      </c>
      <c r="AD285">
        <f t="shared" ref="AD285" si="541">Y285+(AC285*(E285/6))</f>
        <v>1607</v>
      </c>
      <c r="AE285">
        <f t="shared" si="364"/>
        <v>30</v>
      </c>
      <c r="AF285">
        <f t="shared" ref="AF285" si="542">IF(AND(G285="Employé",L285="oui"),0,(AE285*(E285/5)))</f>
        <v>210</v>
      </c>
      <c r="AG285">
        <f t="shared" si="366"/>
        <v>30</v>
      </c>
      <c r="AH285">
        <f t="shared" ref="AH285" si="543">IF(G285="Cadre",AG285,0)</f>
        <v>0</v>
      </c>
      <c r="AK285" s="205">
        <v>23957</v>
      </c>
      <c r="AL285" t="s">
        <v>573</v>
      </c>
      <c r="AQ285">
        <v>0</v>
      </c>
      <c r="AR285">
        <v>0</v>
      </c>
      <c r="AS285">
        <v>0</v>
      </c>
    </row>
    <row r="286" spans="2:45" x14ac:dyDescent="0.25">
      <c r="B286" s="182">
        <v>800000027</v>
      </c>
      <c r="C286" t="s">
        <v>565</v>
      </c>
      <c r="D286" s="205">
        <v>44440</v>
      </c>
      <c r="E286">
        <v>35</v>
      </c>
      <c r="F286">
        <v>0</v>
      </c>
      <c r="G286" t="s">
        <v>273</v>
      </c>
      <c r="H286" s="203">
        <f t="shared" ref="H286" si="544">ROUNDUP((($C$9/5)*E286)+($G$4*(E286/$G$5))+IF(E286=20,$G$10,(IF(E286=25,$G$9,(IF(E286=35,$G$6,IF(E286=39,$G$7,(IF(E286=41,$G$8,($G$6*(E286/$G$5)))))))))),0)</f>
        <v>1607</v>
      </c>
      <c r="I286" s="6">
        <f t="shared" ref="I286" si="545">F286*2</f>
        <v>0</v>
      </c>
      <c r="J286" s="200">
        <f>'Synthèse Horaires'!$C$5</f>
        <v>46023</v>
      </c>
      <c r="K286" s="6" t="str">
        <f t="shared" ref="K286" si="546">IF(N(D286)&lt;N($G$3),"oui","non")</f>
        <v>oui</v>
      </c>
      <c r="L286" s="6" t="str">
        <f t="shared" ref="L286" si="547">IF(N(D286)&gt;N($G$3),"oui","non")</f>
        <v>non</v>
      </c>
      <c r="M286" s="204">
        <f t="shared" ref="M286" si="548">IF(G286="Employé",(IF(K286="oui",H286,"non")),"non")</f>
        <v>1607</v>
      </c>
      <c r="N286" s="204">
        <f t="shared" ref="N286" si="549">IF(G286="Employé",(IF(L286="oui",(H286*(($G$3+365)-D286+1)/365),0)))</f>
        <v>0</v>
      </c>
      <c r="O286" s="204" t="str">
        <f t="shared" ref="O286" si="550">IF(G286="Cadre",(IF(K286="oui",F286,0)),"non")</f>
        <v>non</v>
      </c>
      <c r="P286" s="6" t="b">
        <f t="shared" ref="P286" si="551">IF(G286="Cadre",(IF(L286="oui",((((($G$3+365)-D286+1)*F286)/365)),0)))</f>
        <v>0</v>
      </c>
      <c r="Q286" s="6">
        <f t="shared" ref="Q286" si="552">IF(O286="non",0,O286*2)</f>
        <v>0</v>
      </c>
      <c r="R286" s="6">
        <f t="shared" ref="R286" si="553">IF(ISERROR(P286),0,P286*2)</f>
        <v>0</v>
      </c>
      <c r="T286" s="205" t="s">
        <v>192</v>
      </c>
      <c r="U286">
        <f t="shared" ref="U286" ca="1" si="554">TODAY()-D286</f>
        <v>1741</v>
      </c>
      <c r="V286">
        <f t="shared" ref="V286" ca="1" si="555">IF(G286="Employé",IF(U286&gt;9125,3,IF(U286&gt;7300,2,IF(U286&gt;5475,1,))))</f>
        <v>0</v>
      </c>
      <c r="W286" t="b">
        <f t="shared" ref="W286" si="556">IF(G286="Cadre",IF(U286&gt;3650,2,IF(U286&gt;1825,1,)))</f>
        <v>0</v>
      </c>
      <c r="X286" s="6" t="str">
        <f t="shared" ref="X286" si="557">IF(G286="Employé",IF(E286&lt;$G$5,E286,"non"),"non")</f>
        <v>non</v>
      </c>
      <c r="Y286">
        <f t="shared" ref="Y286" si="558">IF(AND(G286="Employé",N286=0),M286,N286)</f>
        <v>1607</v>
      </c>
      <c r="Z286" t="b">
        <f t="shared" ref="Z286" si="559">IF(AND(G286="Cadre",P286=0),O286,P286)</f>
        <v>0</v>
      </c>
      <c r="AA286" s="206">
        <f t="shared" ref="AA286" si="560">(IF(Y286=FALSE(),(Z286+AB286),(AD286)))+AF286+AH286+AI286</f>
        <v>1607</v>
      </c>
      <c r="AB286">
        <f t="shared" ref="AB286" si="561">IF(AND(L286="oui",G286="Cadre"),(30*(Z286/F286)),0)</f>
        <v>0</v>
      </c>
      <c r="AC286">
        <f t="shared" ref="AC286" si="562">IF(AND(G286="Employé",L286="oui"),(30*(Y286/H286)),0)</f>
        <v>0</v>
      </c>
      <c r="AD286">
        <f t="shared" ref="AD286" si="563">Y286+(AC286*(E286/6))</f>
        <v>1607</v>
      </c>
      <c r="AE286">
        <f t="shared" si="364"/>
        <v>0</v>
      </c>
      <c r="AF286">
        <f t="shared" ref="AF286" si="564">IF(AND(G286="Employé",L286="oui"),0,(AE286*(E286/5)))</f>
        <v>0</v>
      </c>
      <c r="AG286">
        <f t="shared" si="366"/>
        <v>0</v>
      </c>
      <c r="AH286">
        <f t="shared" ref="AH286" si="565">IF(G286="Cadre",AG286,0)</f>
        <v>0</v>
      </c>
      <c r="AK286" s="205">
        <v>30669</v>
      </c>
      <c r="AL286" t="s">
        <v>573</v>
      </c>
      <c r="AQ286">
        <v>0</v>
      </c>
      <c r="AR286">
        <v>0</v>
      </c>
      <c r="AS286">
        <v>0</v>
      </c>
    </row>
    <row r="287" spans="2:45" x14ac:dyDescent="0.25">
      <c r="B287" s="276" t="s">
        <v>666</v>
      </c>
      <c r="C287" s="277" t="s">
        <v>566</v>
      </c>
      <c r="D287" s="205">
        <v>44460</v>
      </c>
      <c r="E287">
        <v>35</v>
      </c>
      <c r="F287">
        <v>0</v>
      </c>
      <c r="G287" t="s">
        <v>273</v>
      </c>
      <c r="H287" s="203">
        <f t="shared" ref="H287" si="566">ROUNDUP((($C$9/5)*E287)+($G$4*(E287/$G$5))+IF(E287=20,$G$10,(IF(E287=25,$G$9,(IF(E287=35,$G$6,IF(E287=39,$G$7,(IF(E287=41,$G$8,($G$6*(E287/$G$5)))))))))),0)</f>
        <v>1607</v>
      </c>
      <c r="I287" s="6">
        <f t="shared" ref="I287" si="567">F287*2</f>
        <v>0</v>
      </c>
      <c r="J287" s="200">
        <f>'Synthèse Horaires'!$C$5</f>
        <v>46023</v>
      </c>
      <c r="K287" s="6" t="str">
        <f t="shared" ref="K287" si="568">IF(N(D287)&lt;N($G$3),"oui","non")</f>
        <v>oui</v>
      </c>
      <c r="L287" s="6" t="str">
        <f t="shared" ref="L287" si="569">IF(N(D287)&gt;N($G$3),"oui","non")</f>
        <v>non</v>
      </c>
      <c r="M287" s="204">
        <f t="shared" ref="M287" si="570">IF(G287="Employé",(IF(K287="oui",H287,"non")),"non")</f>
        <v>1607</v>
      </c>
      <c r="N287" s="204">
        <f t="shared" ref="N287" si="571">IF(G287="Employé",(IF(L287="oui",(H287*(($G$3+365)-D287+1)/365),0)))</f>
        <v>0</v>
      </c>
      <c r="O287" s="204" t="str">
        <f t="shared" ref="O287" si="572">IF(G287="Cadre",(IF(K287="oui",F287,0)),"non")</f>
        <v>non</v>
      </c>
      <c r="P287" s="6" t="b">
        <f t="shared" ref="P287" si="573">IF(G287="Cadre",(IF(L287="oui",((((($G$3+365)-D287+1)*F287)/365)),0)))</f>
        <v>0</v>
      </c>
      <c r="Q287" s="6">
        <f t="shared" ref="Q287" si="574">IF(O287="non",0,O287*2)</f>
        <v>0</v>
      </c>
      <c r="R287" s="6">
        <f t="shared" ref="R287" si="575">IF(ISERROR(P287),0,P287*2)</f>
        <v>0</v>
      </c>
      <c r="T287" s="205" t="s">
        <v>197</v>
      </c>
      <c r="U287">
        <f t="shared" ref="U287" ca="1" si="576">TODAY()-D287</f>
        <v>1721</v>
      </c>
      <c r="V287">
        <f t="shared" ref="V287" ca="1" si="577">IF(G287="Employé",IF(U287&gt;9125,3,IF(U287&gt;7300,2,IF(U287&gt;5475,1,))))</f>
        <v>0</v>
      </c>
      <c r="W287" t="b">
        <f t="shared" ref="W287" si="578">IF(G287="Cadre",IF(U287&gt;3650,2,IF(U287&gt;1825,1,)))</f>
        <v>0</v>
      </c>
      <c r="X287" s="6" t="str">
        <f t="shared" ref="X287" si="579">IF(G287="Employé",IF(E287&lt;$G$5,E287,"non"),"non")</f>
        <v>non</v>
      </c>
      <c r="Y287">
        <f t="shared" ref="Y287" si="580">IF(AND(G287="Employé",N287=0),M287,N287)</f>
        <v>1607</v>
      </c>
      <c r="Z287" t="b">
        <f t="shared" ref="Z287" si="581">IF(AND(G287="Cadre",P287=0),O287,P287)</f>
        <v>0</v>
      </c>
      <c r="AA287" s="206">
        <f t="shared" ref="AA287" si="582">(IF(Y287=FALSE(),(Z287+AB287),(AD287)))+AF287+AH287+AI287</f>
        <v>1817</v>
      </c>
      <c r="AB287">
        <f t="shared" ref="AB287" si="583">IF(AND(L287="oui",G287="Cadre"),(30*(Z287/F287)),0)</f>
        <v>0</v>
      </c>
      <c r="AC287">
        <f t="shared" ref="AC287" si="584">IF(AND(G287="Employé",L287="oui"),(30*(Y287/H287)),0)</f>
        <v>0</v>
      </c>
      <c r="AD287">
        <f t="shared" ref="AD287" si="585">Y287+(AC287*(E287/6))</f>
        <v>1607</v>
      </c>
      <c r="AE287">
        <f t="shared" si="364"/>
        <v>30</v>
      </c>
      <c r="AF287">
        <f t="shared" ref="AF287" si="586">IF(AND(G287="Employé",L287="oui"),0,(AE287*(E287/5)))</f>
        <v>210</v>
      </c>
      <c r="AG287">
        <f t="shared" si="366"/>
        <v>30</v>
      </c>
      <c r="AH287">
        <f t="shared" ref="AH287" si="587">IF(G287="Cadre",AG287,0)</f>
        <v>0</v>
      </c>
      <c r="AK287" s="205">
        <v>30050</v>
      </c>
      <c r="AL287" t="s">
        <v>506</v>
      </c>
      <c r="AQ287">
        <v>0</v>
      </c>
      <c r="AR287">
        <v>0</v>
      </c>
      <c r="AS287">
        <v>0</v>
      </c>
    </row>
    <row r="288" spans="2:45" x14ac:dyDescent="0.25">
      <c r="B288" s="182" t="s">
        <v>666</v>
      </c>
      <c r="C288" t="s">
        <v>567</v>
      </c>
      <c r="D288" s="205">
        <v>44470</v>
      </c>
      <c r="E288">
        <v>35</v>
      </c>
      <c r="F288">
        <v>0</v>
      </c>
      <c r="G288" t="s">
        <v>273</v>
      </c>
      <c r="H288" s="203">
        <f t="shared" ref="H288:H291" si="588">ROUNDUP((($C$9/5)*E288)+($G$4*(E288/$G$5))+IF(E288=20,$G$10,(IF(E288=25,$G$9,(IF(E288=35,$G$6,IF(E288=39,$G$7,(IF(E288=41,$G$8,($G$6*(E288/$G$5)))))))))),0)</f>
        <v>1607</v>
      </c>
      <c r="I288" s="6">
        <f t="shared" ref="I288:I291" si="589">F288*2</f>
        <v>0</v>
      </c>
      <c r="J288" s="200">
        <f>'Synthèse Horaires'!$C$5</f>
        <v>46023</v>
      </c>
      <c r="K288" s="6" t="str">
        <f t="shared" ref="K288:K291" si="590">IF(N(D288)&lt;N($G$3),"oui","non")</f>
        <v>oui</v>
      </c>
      <c r="L288" s="6" t="str">
        <f t="shared" ref="L288:L291" si="591">IF(N(D288)&gt;N($G$3),"oui","non")</f>
        <v>non</v>
      </c>
      <c r="M288" s="204">
        <f t="shared" ref="M288:M291" si="592">IF(G288="Employé",(IF(K288="oui",H288,"non")),"non")</f>
        <v>1607</v>
      </c>
      <c r="N288" s="204">
        <f t="shared" ref="N288:N291" si="593">IF(G288="Employé",(IF(L288="oui",(H288*(($G$3+365)-D288+1)/365),0)))</f>
        <v>0</v>
      </c>
      <c r="O288" s="204" t="str">
        <f t="shared" ref="O288:O291" si="594">IF(G288="Cadre",(IF(K288="oui",F288,0)),"non")</f>
        <v>non</v>
      </c>
      <c r="P288" s="6" t="b">
        <f t="shared" ref="P288:P291" si="595">IF(G288="Cadre",(IF(L288="oui",((((($G$3+365)-D288+1)*F288)/365)),0)))</f>
        <v>0</v>
      </c>
      <c r="Q288" s="6">
        <f t="shared" ref="Q288:Q291" si="596">IF(O288="non",0,O288*2)</f>
        <v>0</v>
      </c>
      <c r="R288" s="6">
        <f t="shared" ref="R288:R291" si="597">IF(ISERROR(P288),0,P288*2)</f>
        <v>0</v>
      </c>
      <c r="T288" s="205" t="s">
        <v>458</v>
      </c>
      <c r="U288">
        <f t="shared" ref="U288:U291" ca="1" si="598">TODAY()-D288</f>
        <v>1711</v>
      </c>
      <c r="V288">
        <f t="shared" ref="V288:V291" ca="1" si="599">IF(G288="Employé",IF(U288&gt;9125,3,IF(U288&gt;7300,2,IF(U288&gt;5475,1,))))</f>
        <v>0</v>
      </c>
      <c r="W288" t="b">
        <f t="shared" ref="W288:W291" si="600">IF(G288="Cadre",IF(U288&gt;3650,2,IF(U288&gt;1825,1,)))</f>
        <v>0</v>
      </c>
      <c r="X288" s="6" t="str">
        <f t="shared" ref="X288:X291" si="601">IF(G288="Employé",IF(E288&lt;$G$5,E288,"non"),"non")</f>
        <v>non</v>
      </c>
      <c r="Y288">
        <f t="shared" ref="Y288:Y291" si="602">IF(AND(G288="Employé",N288=0),M288,N288)</f>
        <v>1607</v>
      </c>
      <c r="Z288" t="b">
        <f t="shared" ref="Z288:Z291" si="603">IF(AND(G288="Cadre",P288=0),O288,P288)</f>
        <v>0</v>
      </c>
      <c r="AA288" s="206">
        <f t="shared" ref="AA288:AA291" si="604">(IF(Y288=FALSE(),(Z288+AB288),(AD288)))+AF288+AH288+AI288</f>
        <v>1817</v>
      </c>
      <c r="AB288">
        <f t="shared" ref="AB288:AB291" si="605">IF(AND(L288="oui",G288="Cadre"),(30*(Z288/F288)),0)</f>
        <v>0</v>
      </c>
      <c r="AC288">
        <f t="shared" ref="AC288:AC291" si="606">IF(AND(G288="Employé",L288="oui"),(30*(Y288/H288)),0)</f>
        <v>0</v>
      </c>
      <c r="AD288">
        <f t="shared" ref="AD288:AD291" si="607">Y288+(AC288*(E288/6))</f>
        <v>1607</v>
      </c>
      <c r="AE288">
        <f t="shared" si="364"/>
        <v>30</v>
      </c>
      <c r="AF288">
        <f t="shared" ref="AF288:AF291" si="608">IF(AND(G288="Employé",L288="oui"),0,(AE288*(E288/5)))</f>
        <v>210</v>
      </c>
      <c r="AG288">
        <f t="shared" si="366"/>
        <v>30</v>
      </c>
      <c r="AH288">
        <f t="shared" ref="AH288:AH291" si="609">IF(G288="Cadre",AG288,0)</f>
        <v>0</v>
      </c>
      <c r="AK288" s="205">
        <v>33794</v>
      </c>
      <c r="AL288" t="s">
        <v>509</v>
      </c>
      <c r="AQ288">
        <v>0</v>
      </c>
      <c r="AR288">
        <v>0</v>
      </c>
      <c r="AS288">
        <v>0</v>
      </c>
    </row>
    <row r="289" spans="2:45" x14ac:dyDescent="0.25">
      <c r="B289" s="182">
        <v>800000029</v>
      </c>
      <c r="C289" t="s">
        <v>450</v>
      </c>
      <c r="D289" s="205">
        <v>44562</v>
      </c>
      <c r="E289">
        <v>35</v>
      </c>
      <c r="F289">
        <v>0</v>
      </c>
      <c r="G289" t="s">
        <v>273</v>
      </c>
      <c r="H289" s="203">
        <f t="shared" si="588"/>
        <v>1607</v>
      </c>
      <c r="I289" s="6">
        <f t="shared" si="589"/>
        <v>0</v>
      </c>
      <c r="J289" s="200">
        <f>'Synthèse Horaires'!$C$5</f>
        <v>46023</v>
      </c>
      <c r="K289" s="6" t="str">
        <f t="shared" si="590"/>
        <v>oui</v>
      </c>
      <c r="L289" s="6" t="str">
        <f t="shared" si="591"/>
        <v>non</v>
      </c>
      <c r="M289" s="204">
        <f t="shared" si="592"/>
        <v>1607</v>
      </c>
      <c r="N289" s="204">
        <f t="shared" si="593"/>
        <v>0</v>
      </c>
      <c r="O289" s="204" t="str">
        <f t="shared" si="594"/>
        <v>non</v>
      </c>
      <c r="P289" s="6" t="b">
        <f t="shared" si="595"/>
        <v>0</v>
      </c>
      <c r="Q289" s="6">
        <f t="shared" si="596"/>
        <v>0</v>
      </c>
      <c r="R289" s="6">
        <f t="shared" si="597"/>
        <v>0</v>
      </c>
      <c r="T289" s="205" t="s">
        <v>192</v>
      </c>
      <c r="U289">
        <f t="shared" ca="1" si="598"/>
        <v>1619</v>
      </c>
      <c r="V289">
        <f t="shared" ca="1" si="599"/>
        <v>0</v>
      </c>
      <c r="W289" t="b">
        <f t="shared" si="600"/>
        <v>0</v>
      </c>
      <c r="X289" s="6" t="str">
        <f t="shared" si="601"/>
        <v>non</v>
      </c>
      <c r="Y289">
        <f t="shared" si="602"/>
        <v>1607</v>
      </c>
      <c r="Z289" t="b">
        <f t="shared" si="603"/>
        <v>0</v>
      </c>
      <c r="AA289" s="206">
        <f t="shared" si="604"/>
        <v>1607</v>
      </c>
      <c r="AB289">
        <f t="shared" si="605"/>
        <v>0</v>
      </c>
      <c r="AC289">
        <f t="shared" si="606"/>
        <v>0</v>
      </c>
      <c r="AD289">
        <f t="shared" si="607"/>
        <v>1607</v>
      </c>
      <c r="AE289">
        <f t="shared" si="364"/>
        <v>0</v>
      </c>
      <c r="AF289">
        <f t="shared" si="608"/>
        <v>0</v>
      </c>
      <c r="AG289">
        <f t="shared" si="366"/>
        <v>0</v>
      </c>
      <c r="AH289">
        <f t="shared" si="609"/>
        <v>0</v>
      </c>
      <c r="AK289" s="205">
        <v>28630</v>
      </c>
      <c r="AL289" t="s">
        <v>509</v>
      </c>
      <c r="AQ289">
        <v>0</v>
      </c>
      <c r="AR289">
        <v>0</v>
      </c>
      <c r="AS289">
        <v>0</v>
      </c>
    </row>
    <row r="290" spans="2:45" x14ac:dyDescent="0.25">
      <c r="B290" s="182" t="s">
        <v>666</v>
      </c>
      <c r="C290" t="s">
        <v>567</v>
      </c>
      <c r="D290" s="205">
        <v>44470</v>
      </c>
      <c r="E290">
        <v>35</v>
      </c>
      <c r="F290">
        <v>0</v>
      </c>
      <c r="G290" t="s">
        <v>273</v>
      </c>
      <c r="H290" s="203">
        <f t="shared" si="588"/>
        <v>1607</v>
      </c>
      <c r="I290" s="6">
        <f t="shared" si="589"/>
        <v>0</v>
      </c>
      <c r="J290" s="200">
        <f>'Synthèse Horaires'!$C$5</f>
        <v>46023</v>
      </c>
      <c r="K290" s="6" t="str">
        <f t="shared" si="590"/>
        <v>oui</v>
      </c>
      <c r="L290" s="6" t="str">
        <f t="shared" si="591"/>
        <v>non</v>
      </c>
      <c r="M290" s="204">
        <f t="shared" si="592"/>
        <v>1607</v>
      </c>
      <c r="N290" s="204">
        <f t="shared" si="593"/>
        <v>0</v>
      </c>
      <c r="O290" s="204" t="str">
        <f t="shared" si="594"/>
        <v>non</v>
      </c>
      <c r="P290" s="6" t="b">
        <f t="shared" si="595"/>
        <v>0</v>
      </c>
      <c r="Q290" s="6">
        <f t="shared" si="596"/>
        <v>0</v>
      </c>
      <c r="R290" s="6">
        <f t="shared" si="597"/>
        <v>0</v>
      </c>
      <c r="T290" s="205" t="s">
        <v>458</v>
      </c>
      <c r="U290">
        <f t="shared" ca="1" si="598"/>
        <v>1711</v>
      </c>
      <c r="V290">
        <f t="shared" ca="1" si="599"/>
        <v>0</v>
      </c>
      <c r="W290" t="b">
        <f t="shared" si="600"/>
        <v>0</v>
      </c>
      <c r="X290" s="6" t="str">
        <f t="shared" si="601"/>
        <v>non</v>
      </c>
      <c r="Y290">
        <f t="shared" si="602"/>
        <v>1607</v>
      </c>
      <c r="Z290" t="b">
        <f t="shared" si="603"/>
        <v>0</v>
      </c>
      <c r="AA290" s="206">
        <f t="shared" si="604"/>
        <v>1817</v>
      </c>
      <c r="AB290">
        <f t="shared" si="605"/>
        <v>0</v>
      </c>
      <c r="AC290">
        <f t="shared" si="606"/>
        <v>0</v>
      </c>
      <c r="AD290">
        <f t="shared" si="607"/>
        <v>1607</v>
      </c>
      <c r="AE290">
        <f t="shared" si="364"/>
        <v>30</v>
      </c>
      <c r="AF290">
        <f t="shared" si="608"/>
        <v>210</v>
      </c>
      <c r="AG290">
        <f t="shared" si="366"/>
        <v>30</v>
      </c>
      <c r="AH290">
        <f t="shared" si="609"/>
        <v>0</v>
      </c>
      <c r="AK290" s="205">
        <v>33794</v>
      </c>
      <c r="AL290" t="s">
        <v>509</v>
      </c>
      <c r="AQ290">
        <v>0</v>
      </c>
      <c r="AR290">
        <v>0</v>
      </c>
      <c r="AS290">
        <v>0</v>
      </c>
    </row>
    <row r="291" spans="2:45" x14ac:dyDescent="0.25">
      <c r="B291" s="182" t="s">
        <v>666</v>
      </c>
      <c r="C291" t="s">
        <v>572</v>
      </c>
      <c r="D291" s="205">
        <v>44482</v>
      </c>
      <c r="E291">
        <v>35</v>
      </c>
      <c r="F291">
        <v>0</v>
      </c>
      <c r="G291" t="s">
        <v>273</v>
      </c>
      <c r="H291" s="203">
        <f t="shared" si="588"/>
        <v>1607</v>
      </c>
      <c r="I291" s="6">
        <f t="shared" si="589"/>
        <v>0</v>
      </c>
      <c r="J291" s="200">
        <f>'Synthèse Horaires'!$C$5</f>
        <v>46023</v>
      </c>
      <c r="K291" s="6" t="str">
        <f t="shared" si="590"/>
        <v>oui</v>
      </c>
      <c r="L291" s="6" t="str">
        <f t="shared" si="591"/>
        <v>non</v>
      </c>
      <c r="M291" s="204">
        <f t="shared" si="592"/>
        <v>1607</v>
      </c>
      <c r="N291" s="204">
        <f t="shared" si="593"/>
        <v>0</v>
      </c>
      <c r="O291" s="204" t="str">
        <f t="shared" si="594"/>
        <v>non</v>
      </c>
      <c r="P291" s="6" t="b">
        <f t="shared" si="595"/>
        <v>0</v>
      </c>
      <c r="Q291" s="6">
        <f t="shared" si="596"/>
        <v>0</v>
      </c>
      <c r="R291" s="6">
        <f t="shared" si="597"/>
        <v>0</v>
      </c>
      <c r="T291" s="205" t="s">
        <v>474</v>
      </c>
      <c r="U291">
        <f t="shared" ca="1" si="598"/>
        <v>1699</v>
      </c>
      <c r="V291">
        <f t="shared" ca="1" si="599"/>
        <v>0</v>
      </c>
      <c r="W291" t="b">
        <f t="shared" si="600"/>
        <v>0</v>
      </c>
      <c r="X291" s="6" t="str">
        <f t="shared" si="601"/>
        <v>non</v>
      </c>
      <c r="Y291">
        <f t="shared" si="602"/>
        <v>1607</v>
      </c>
      <c r="Z291" t="b">
        <f t="shared" si="603"/>
        <v>0</v>
      </c>
      <c r="AA291" s="206">
        <f t="shared" si="604"/>
        <v>1817</v>
      </c>
      <c r="AB291">
        <f t="shared" si="605"/>
        <v>0</v>
      </c>
      <c r="AC291">
        <f t="shared" si="606"/>
        <v>0</v>
      </c>
      <c r="AD291">
        <f t="shared" si="607"/>
        <v>1607</v>
      </c>
      <c r="AE291">
        <f t="shared" si="364"/>
        <v>30</v>
      </c>
      <c r="AF291">
        <f t="shared" si="608"/>
        <v>210</v>
      </c>
      <c r="AG291">
        <f t="shared" si="366"/>
        <v>30</v>
      </c>
      <c r="AH291">
        <f t="shared" si="609"/>
        <v>0</v>
      </c>
      <c r="AK291" s="205">
        <v>31632</v>
      </c>
      <c r="AL291" t="s">
        <v>508</v>
      </c>
      <c r="AQ291">
        <v>0</v>
      </c>
      <c r="AR291">
        <v>0</v>
      </c>
      <c r="AS291">
        <v>0</v>
      </c>
    </row>
    <row r="292" spans="2:45" x14ac:dyDescent="0.25">
      <c r="B292" s="182" t="s">
        <v>666</v>
      </c>
      <c r="C292" t="s">
        <v>595</v>
      </c>
      <c r="D292" s="205">
        <v>44488</v>
      </c>
      <c r="E292">
        <v>35</v>
      </c>
      <c r="F292">
        <v>0</v>
      </c>
      <c r="G292" t="s">
        <v>273</v>
      </c>
      <c r="H292" s="203">
        <f t="shared" ref="H292:H297" si="610">ROUNDUP((($C$9/5)*E292)+($G$4*(E292/$G$5))+IF(E292=20,$G$10,(IF(E292=25,$G$9,(IF(E292=35,$G$6,IF(E292=39,$G$7,(IF(E292=41,$G$8,($G$6*(E292/$G$5)))))))))),0)</f>
        <v>1607</v>
      </c>
      <c r="I292" s="6">
        <f t="shared" ref="I292:I297" si="611">F292*2</f>
        <v>0</v>
      </c>
      <c r="J292" s="200">
        <f>'Synthèse Horaires'!$C$5</f>
        <v>46023</v>
      </c>
      <c r="K292" s="6" t="str">
        <f t="shared" ref="K292:K297" si="612">IF(N(D292)&lt;N($G$3),"oui","non")</f>
        <v>oui</v>
      </c>
      <c r="L292" s="6" t="str">
        <f t="shared" ref="L292:L297" si="613">IF(N(D292)&gt;N($G$3),"oui","non")</f>
        <v>non</v>
      </c>
      <c r="M292" s="204">
        <f t="shared" ref="M292:M297" si="614">IF(G292="Employé",(IF(K292="oui",H292,"non")),"non")</f>
        <v>1607</v>
      </c>
      <c r="N292" s="204">
        <f t="shared" ref="N292:N297" si="615">IF(G292="Employé",(IF(L292="oui",(H292*(($G$3+365)-D292+1)/365),0)))</f>
        <v>0</v>
      </c>
      <c r="O292" s="204" t="str">
        <f t="shared" ref="O292:O297" si="616">IF(G292="Cadre",(IF(K292="oui",F292,0)),"non")</f>
        <v>non</v>
      </c>
      <c r="P292" s="6" t="b">
        <f t="shared" ref="P292:P297" si="617">IF(G292="Cadre",(IF(L292="oui",((((($G$3+365)-D292+1)*F292)/365)),0)))</f>
        <v>0</v>
      </c>
      <c r="Q292" s="6">
        <f t="shared" ref="Q292:Q297" si="618">IF(O292="non",0,O292*2)</f>
        <v>0</v>
      </c>
      <c r="R292" s="6">
        <f t="shared" ref="R292:R297" si="619">IF(ISERROR(P292),0,P292*2)</f>
        <v>0</v>
      </c>
      <c r="T292" s="205" t="s">
        <v>189</v>
      </c>
      <c r="U292">
        <f t="shared" ref="U292:U297" ca="1" si="620">TODAY()-D292</f>
        <v>1693</v>
      </c>
      <c r="V292">
        <f t="shared" ref="V292:V297" ca="1" si="621">IF(G292="Employé",IF(U292&gt;9125,3,IF(U292&gt;7300,2,IF(U292&gt;5475,1,))))</f>
        <v>0</v>
      </c>
      <c r="W292" t="b">
        <f t="shared" ref="W292:W297" si="622">IF(G292="Cadre",IF(U292&gt;3650,2,IF(U292&gt;1825,1,)))</f>
        <v>0</v>
      </c>
      <c r="X292" s="6" t="str">
        <f t="shared" ref="X292:X297" si="623">IF(G292="Employé",IF(E292&lt;$G$5,E292,"non"),"non")</f>
        <v>non</v>
      </c>
      <c r="Y292">
        <f t="shared" ref="Y292:Y297" si="624">IF(AND(G292="Employé",N292=0),M292,N292)</f>
        <v>1607</v>
      </c>
      <c r="Z292" t="b">
        <f t="shared" ref="Z292:Z297" si="625">IF(AND(G292="Cadre",P292=0),O292,P292)</f>
        <v>0</v>
      </c>
      <c r="AA292" s="206">
        <f t="shared" ref="AA292:AA297" si="626">(IF(Y292=FALSE(),(Z292+AB292),(AD292)))+AF292+AH292+AI292</f>
        <v>1817</v>
      </c>
      <c r="AB292">
        <f t="shared" ref="AB292:AB297" si="627">IF(AND(L292="oui",G292="Cadre"),(30*(Z292/F292)),0)</f>
        <v>0</v>
      </c>
      <c r="AC292">
        <f t="shared" ref="AC292:AC297" si="628">IF(AND(G292="Employé",L292="oui"),(30*(Y292/H292)),0)</f>
        <v>0</v>
      </c>
      <c r="AD292">
        <f t="shared" ref="AD292:AD297" si="629">Y292+(AC292*(E292/6))</f>
        <v>1607</v>
      </c>
      <c r="AE292">
        <f t="shared" si="364"/>
        <v>30</v>
      </c>
      <c r="AF292">
        <f t="shared" ref="AF292:AF297" si="630">IF(AND(G292="Employé",L292="oui"),0,(AE292*(E292/5)))</f>
        <v>210</v>
      </c>
      <c r="AG292">
        <f t="shared" si="366"/>
        <v>30</v>
      </c>
      <c r="AH292">
        <f t="shared" ref="AH292:AH297" si="631">IF(G292="Cadre",AG292,0)</f>
        <v>0</v>
      </c>
      <c r="AK292" s="205">
        <v>37367</v>
      </c>
      <c r="AL292" t="s">
        <v>514</v>
      </c>
      <c r="AQ292">
        <v>0</v>
      </c>
      <c r="AR292">
        <v>0</v>
      </c>
      <c r="AS292">
        <v>0</v>
      </c>
    </row>
    <row r="293" spans="2:45" x14ac:dyDescent="0.25">
      <c r="B293" s="182" t="s">
        <v>666</v>
      </c>
      <c r="C293" t="s">
        <v>596</v>
      </c>
      <c r="D293" s="205">
        <v>44494</v>
      </c>
      <c r="E293">
        <v>35</v>
      </c>
      <c r="F293">
        <v>0</v>
      </c>
      <c r="G293" t="s">
        <v>273</v>
      </c>
      <c r="H293" s="203">
        <f t="shared" si="610"/>
        <v>1607</v>
      </c>
      <c r="I293" s="6">
        <f t="shared" si="611"/>
        <v>0</v>
      </c>
      <c r="J293" s="200">
        <f>'Synthèse Horaires'!$C$5</f>
        <v>46023</v>
      </c>
      <c r="K293" s="6" t="str">
        <f t="shared" si="612"/>
        <v>oui</v>
      </c>
      <c r="L293" s="6" t="str">
        <f t="shared" si="613"/>
        <v>non</v>
      </c>
      <c r="M293" s="204">
        <f t="shared" si="614"/>
        <v>1607</v>
      </c>
      <c r="N293" s="204">
        <f t="shared" si="615"/>
        <v>0</v>
      </c>
      <c r="O293" s="204" t="str">
        <f t="shared" si="616"/>
        <v>non</v>
      </c>
      <c r="P293" s="6" t="b">
        <f t="shared" si="617"/>
        <v>0</v>
      </c>
      <c r="Q293" s="6">
        <f t="shared" si="618"/>
        <v>0</v>
      </c>
      <c r="R293" s="6">
        <f t="shared" si="619"/>
        <v>0</v>
      </c>
      <c r="T293" s="205" t="s">
        <v>473</v>
      </c>
      <c r="U293">
        <f t="shared" ca="1" si="620"/>
        <v>1687</v>
      </c>
      <c r="V293">
        <f t="shared" ca="1" si="621"/>
        <v>0</v>
      </c>
      <c r="W293" t="b">
        <f t="shared" si="622"/>
        <v>0</v>
      </c>
      <c r="X293" s="6" t="str">
        <f t="shared" si="623"/>
        <v>non</v>
      </c>
      <c r="Y293">
        <f t="shared" si="624"/>
        <v>1607</v>
      </c>
      <c r="Z293" t="b">
        <f t="shared" si="625"/>
        <v>0</v>
      </c>
      <c r="AA293" s="206">
        <f t="shared" si="626"/>
        <v>1817</v>
      </c>
      <c r="AB293">
        <f t="shared" si="627"/>
        <v>0</v>
      </c>
      <c r="AC293">
        <f t="shared" si="628"/>
        <v>0</v>
      </c>
      <c r="AD293">
        <f t="shared" si="629"/>
        <v>1607</v>
      </c>
      <c r="AE293">
        <f t="shared" si="364"/>
        <v>30</v>
      </c>
      <c r="AF293">
        <f t="shared" si="630"/>
        <v>210</v>
      </c>
      <c r="AG293">
        <f t="shared" si="366"/>
        <v>30</v>
      </c>
      <c r="AH293">
        <f t="shared" si="631"/>
        <v>0</v>
      </c>
      <c r="AK293" s="205">
        <v>35460</v>
      </c>
      <c r="AL293" t="s">
        <v>597</v>
      </c>
      <c r="AQ293">
        <v>0</v>
      </c>
      <c r="AR293">
        <v>0</v>
      </c>
      <c r="AS293">
        <v>0</v>
      </c>
    </row>
    <row r="294" spans="2:45" x14ac:dyDescent="0.25">
      <c r="B294" s="182" t="s">
        <v>666</v>
      </c>
      <c r="C294" t="s">
        <v>634</v>
      </c>
      <c r="D294" s="205">
        <v>44795</v>
      </c>
      <c r="E294">
        <v>35</v>
      </c>
      <c r="F294">
        <v>0</v>
      </c>
      <c r="G294" t="s">
        <v>273</v>
      </c>
      <c r="H294" s="203">
        <f t="shared" si="610"/>
        <v>1607</v>
      </c>
      <c r="I294" s="6">
        <f t="shared" si="611"/>
        <v>0</v>
      </c>
      <c r="J294" s="200">
        <f>'Synthèse Horaires'!$C$5</f>
        <v>46023</v>
      </c>
      <c r="K294" s="6" t="str">
        <f t="shared" si="612"/>
        <v>oui</v>
      </c>
      <c r="L294" s="6" t="str">
        <f t="shared" si="613"/>
        <v>non</v>
      </c>
      <c r="M294" s="204">
        <f t="shared" si="614"/>
        <v>1607</v>
      </c>
      <c r="N294" s="204">
        <f t="shared" si="615"/>
        <v>0</v>
      </c>
      <c r="O294" s="204" t="str">
        <f t="shared" si="616"/>
        <v>non</v>
      </c>
      <c r="P294" s="6" t="b">
        <f t="shared" si="617"/>
        <v>0</v>
      </c>
      <c r="Q294" s="6">
        <f t="shared" si="618"/>
        <v>0</v>
      </c>
      <c r="R294" s="6">
        <f t="shared" si="619"/>
        <v>0</v>
      </c>
      <c r="T294" s="205" t="s">
        <v>606</v>
      </c>
      <c r="U294">
        <f t="shared" ca="1" si="620"/>
        <v>1386</v>
      </c>
      <c r="V294">
        <f t="shared" ca="1" si="621"/>
        <v>0</v>
      </c>
      <c r="W294" t="b">
        <f t="shared" si="622"/>
        <v>0</v>
      </c>
      <c r="X294" s="6" t="str">
        <f t="shared" si="623"/>
        <v>non</v>
      </c>
      <c r="Y294">
        <f t="shared" si="624"/>
        <v>1607</v>
      </c>
      <c r="Z294" t="b">
        <f t="shared" si="625"/>
        <v>0</v>
      </c>
      <c r="AA294" s="206">
        <f t="shared" si="626"/>
        <v>1817</v>
      </c>
      <c r="AB294">
        <f t="shared" si="627"/>
        <v>0</v>
      </c>
      <c r="AC294">
        <f t="shared" si="628"/>
        <v>0</v>
      </c>
      <c r="AD294">
        <f t="shared" si="629"/>
        <v>1607</v>
      </c>
      <c r="AE294">
        <f t="shared" si="364"/>
        <v>30</v>
      </c>
      <c r="AF294">
        <f t="shared" si="630"/>
        <v>210</v>
      </c>
      <c r="AG294">
        <f t="shared" si="366"/>
        <v>30</v>
      </c>
      <c r="AH294">
        <f t="shared" si="631"/>
        <v>0</v>
      </c>
      <c r="AK294" s="205">
        <v>25012</v>
      </c>
      <c r="AL294" t="s">
        <v>508</v>
      </c>
      <c r="AQ294">
        <v>0</v>
      </c>
      <c r="AR294">
        <v>0</v>
      </c>
      <c r="AS294">
        <v>0</v>
      </c>
    </row>
    <row r="295" spans="2:45" x14ac:dyDescent="0.25">
      <c r="B295" s="182">
        <v>1100000020</v>
      </c>
      <c r="C295" t="s">
        <v>440</v>
      </c>
      <c r="D295" s="205">
        <v>43297</v>
      </c>
      <c r="E295">
        <v>35</v>
      </c>
      <c r="F295">
        <v>0</v>
      </c>
      <c r="G295" t="s">
        <v>273</v>
      </c>
      <c r="H295" s="203">
        <f t="shared" si="610"/>
        <v>1607</v>
      </c>
      <c r="I295" s="6">
        <f t="shared" si="611"/>
        <v>0</v>
      </c>
      <c r="J295" s="200">
        <f>'Synthèse Horaires'!$C$5</f>
        <v>46023</v>
      </c>
      <c r="K295" s="6" t="str">
        <f t="shared" si="612"/>
        <v>oui</v>
      </c>
      <c r="L295" s="6" t="str">
        <f t="shared" si="613"/>
        <v>non</v>
      </c>
      <c r="M295" s="204">
        <f t="shared" si="614"/>
        <v>1607</v>
      </c>
      <c r="N295" s="204">
        <f t="shared" si="615"/>
        <v>0</v>
      </c>
      <c r="O295" s="204" t="str">
        <f t="shared" si="616"/>
        <v>non</v>
      </c>
      <c r="P295" s="6" t="b">
        <f t="shared" si="617"/>
        <v>0</v>
      </c>
      <c r="Q295" s="6">
        <f t="shared" si="618"/>
        <v>0</v>
      </c>
      <c r="R295" s="6">
        <f t="shared" si="619"/>
        <v>0</v>
      </c>
      <c r="T295" s="205" t="s">
        <v>190</v>
      </c>
      <c r="U295">
        <f t="shared" ca="1" si="620"/>
        <v>2884</v>
      </c>
      <c r="V295">
        <f t="shared" ca="1" si="621"/>
        <v>0</v>
      </c>
      <c r="W295" t="b">
        <f t="shared" si="622"/>
        <v>0</v>
      </c>
      <c r="X295" s="6" t="str">
        <f t="shared" si="623"/>
        <v>non</v>
      </c>
      <c r="Y295">
        <f t="shared" si="624"/>
        <v>1607</v>
      </c>
      <c r="Z295" t="b">
        <f t="shared" si="625"/>
        <v>0</v>
      </c>
      <c r="AA295" s="206">
        <f t="shared" si="626"/>
        <v>1607</v>
      </c>
      <c r="AB295">
        <f t="shared" si="627"/>
        <v>0</v>
      </c>
      <c r="AC295">
        <f t="shared" si="628"/>
        <v>0</v>
      </c>
      <c r="AD295">
        <f t="shared" si="629"/>
        <v>1607</v>
      </c>
      <c r="AE295">
        <f t="shared" si="364"/>
        <v>0</v>
      </c>
      <c r="AF295">
        <f t="shared" si="630"/>
        <v>0</v>
      </c>
      <c r="AG295">
        <f t="shared" si="366"/>
        <v>0</v>
      </c>
      <c r="AH295">
        <f t="shared" si="631"/>
        <v>0</v>
      </c>
      <c r="AK295" s="205">
        <v>35955</v>
      </c>
      <c r="AL295" t="s">
        <v>574</v>
      </c>
      <c r="AQ295">
        <v>0</v>
      </c>
      <c r="AR295">
        <v>0</v>
      </c>
      <c r="AS295">
        <v>0</v>
      </c>
    </row>
    <row r="296" spans="2:45" x14ac:dyDescent="0.25">
      <c r="B296" s="182" t="s">
        <v>666</v>
      </c>
      <c r="C296" t="s">
        <v>600</v>
      </c>
      <c r="D296" s="205">
        <v>44502</v>
      </c>
      <c r="E296">
        <v>39</v>
      </c>
      <c r="G296" t="s">
        <v>273</v>
      </c>
      <c r="H296" s="203">
        <f t="shared" si="610"/>
        <v>1787</v>
      </c>
      <c r="I296" s="6">
        <f t="shared" si="611"/>
        <v>0</v>
      </c>
      <c r="J296" s="200">
        <f>'Synthèse Horaires'!$C$5</f>
        <v>46023</v>
      </c>
      <c r="K296" s="6" t="str">
        <f t="shared" si="612"/>
        <v>oui</v>
      </c>
      <c r="L296" s="6" t="str">
        <f t="shared" si="613"/>
        <v>non</v>
      </c>
      <c r="M296" s="204">
        <f t="shared" si="614"/>
        <v>1787</v>
      </c>
      <c r="N296" s="204">
        <f t="shared" si="615"/>
        <v>0</v>
      </c>
      <c r="O296" s="204" t="str">
        <f t="shared" si="616"/>
        <v>non</v>
      </c>
      <c r="P296" s="6" t="b">
        <f t="shared" si="617"/>
        <v>0</v>
      </c>
      <c r="Q296" s="6">
        <f t="shared" si="618"/>
        <v>0</v>
      </c>
      <c r="R296" s="6">
        <f t="shared" si="619"/>
        <v>0</v>
      </c>
      <c r="T296" s="205" t="s">
        <v>190</v>
      </c>
      <c r="U296">
        <f t="shared" ca="1" si="620"/>
        <v>1679</v>
      </c>
      <c r="V296">
        <f t="shared" ca="1" si="621"/>
        <v>0</v>
      </c>
      <c r="W296" t="b">
        <f t="shared" si="622"/>
        <v>0</v>
      </c>
      <c r="X296" s="6" t="str">
        <f t="shared" si="623"/>
        <v>non</v>
      </c>
      <c r="Y296">
        <f t="shared" si="624"/>
        <v>1787</v>
      </c>
      <c r="Z296" t="b">
        <f t="shared" si="625"/>
        <v>0</v>
      </c>
      <c r="AA296" s="206">
        <f t="shared" si="626"/>
        <v>2021</v>
      </c>
      <c r="AB296">
        <f t="shared" si="627"/>
        <v>0</v>
      </c>
      <c r="AC296">
        <f t="shared" si="628"/>
        <v>0</v>
      </c>
      <c r="AD296">
        <f t="shared" si="629"/>
        <v>1787</v>
      </c>
      <c r="AE296">
        <f t="shared" si="364"/>
        <v>30</v>
      </c>
      <c r="AF296">
        <f t="shared" si="630"/>
        <v>234</v>
      </c>
      <c r="AG296">
        <f t="shared" si="366"/>
        <v>30</v>
      </c>
      <c r="AH296">
        <f t="shared" si="631"/>
        <v>0</v>
      </c>
      <c r="AK296" s="205">
        <v>29637</v>
      </c>
      <c r="AL296" t="s">
        <v>506</v>
      </c>
      <c r="AQ296">
        <v>0</v>
      </c>
      <c r="AR296">
        <v>0</v>
      </c>
      <c r="AS296">
        <v>0</v>
      </c>
    </row>
    <row r="297" spans="2:45" x14ac:dyDescent="0.25">
      <c r="B297" s="274">
        <v>1000000044</v>
      </c>
      <c r="C297" s="275" t="s">
        <v>602</v>
      </c>
      <c r="D297" s="205">
        <v>44565</v>
      </c>
      <c r="E297">
        <v>33</v>
      </c>
      <c r="F297">
        <v>0</v>
      </c>
      <c r="G297" t="s">
        <v>273</v>
      </c>
      <c r="H297" s="203">
        <f t="shared" si="610"/>
        <v>1516</v>
      </c>
      <c r="I297" s="6">
        <f t="shared" si="611"/>
        <v>0</v>
      </c>
      <c r="J297" s="200">
        <f>'Synthèse Horaires'!$C$5</f>
        <v>46023</v>
      </c>
      <c r="K297" s="6" t="str">
        <f t="shared" si="612"/>
        <v>oui</v>
      </c>
      <c r="L297" s="6" t="str">
        <f t="shared" si="613"/>
        <v>non</v>
      </c>
      <c r="M297" s="204">
        <f t="shared" si="614"/>
        <v>1516</v>
      </c>
      <c r="N297" s="204">
        <f t="shared" si="615"/>
        <v>0</v>
      </c>
      <c r="O297" s="204" t="str">
        <f t="shared" si="616"/>
        <v>non</v>
      </c>
      <c r="P297" s="6" t="b">
        <f t="shared" si="617"/>
        <v>0</v>
      </c>
      <c r="Q297" s="6">
        <f t="shared" si="618"/>
        <v>0</v>
      </c>
      <c r="R297" s="6">
        <f t="shared" si="619"/>
        <v>0</v>
      </c>
      <c r="S297" t="s">
        <v>342</v>
      </c>
      <c r="T297" s="205" t="s">
        <v>193</v>
      </c>
      <c r="U297">
        <f t="shared" ca="1" si="620"/>
        <v>1616</v>
      </c>
      <c r="V297">
        <f t="shared" ca="1" si="621"/>
        <v>0</v>
      </c>
      <c r="W297" t="b">
        <f t="shared" si="622"/>
        <v>0</v>
      </c>
      <c r="X297" s="6">
        <f t="shared" si="623"/>
        <v>33</v>
      </c>
      <c r="Y297">
        <f t="shared" si="624"/>
        <v>1516</v>
      </c>
      <c r="Z297" t="b">
        <f t="shared" si="625"/>
        <v>0</v>
      </c>
      <c r="AA297" s="206">
        <f t="shared" si="626"/>
        <v>1516</v>
      </c>
      <c r="AB297">
        <f t="shared" si="627"/>
        <v>0</v>
      </c>
      <c r="AC297">
        <f t="shared" si="628"/>
        <v>0</v>
      </c>
      <c r="AD297">
        <f t="shared" si="629"/>
        <v>1516</v>
      </c>
      <c r="AE297">
        <f t="shared" si="364"/>
        <v>0</v>
      </c>
      <c r="AF297">
        <f t="shared" si="630"/>
        <v>0</v>
      </c>
      <c r="AG297">
        <f t="shared" si="366"/>
        <v>0</v>
      </c>
      <c r="AH297">
        <f t="shared" si="631"/>
        <v>0</v>
      </c>
      <c r="AK297" s="205">
        <v>24106</v>
      </c>
      <c r="AL297" t="s">
        <v>514</v>
      </c>
      <c r="AQ297">
        <v>0</v>
      </c>
      <c r="AR297">
        <v>0</v>
      </c>
      <c r="AS297">
        <v>0</v>
      </c>
    </row>
    <row r="298" spans="2:45" x14ac:dyDescent="0.25">
      <c r="B298" s="258" t="s">
        <v>666</v>
      </c>
      <c r="C298" s="5" t="s">
        <v>485</v>
      </c>
      <c r="D298" s="205">
        <v>42702</v>
      </c>
      <c r="E298">
        <v>35</v>
      </c>
      <c r="G298" t="s">
        <v>273</v>
      </c>
      <c r="H298" s="203">
        <f t="shared" ref="H298:H300" si="632">ROUNDUP((($C$9/5)*E298)+($G$4*(E298/$G$5))+IF(E298=20,$G$10,(IF(E298=25,$G$9,(IF(E298=35,$G$6,IF(E298=39,$G$7,(IF(E298=41,$G$8,($G$6*(E298/$G$5)))))))))),0)</f>
        <v>1607</v>
      </c>
      <c r="I298" s="6">
        <f t="shared" ref="I298:I300" si="633">F298*2</f>
        <v>0</v>
      </c>
      <c r="J298" s="200">
        <f>'Synthèse Horaires'!$C$5</f>
        <v>46023</v>
      </c>
      <c r="K298" s="6" t="str">
        <f t="shared" ref="K298:K300" si="634">IF(N(D298)&lt;N($G$3),"oui","non")</f>
        <v>oui</v>
      </c>
      <c r="L298" s="6" t="str">
        <f t="shared" ref="L298:L300" si="635">IF(N(D298)&gt;N($G$3),"oui","non")</f>
        <v>non</v>
      </c>
      <c r="M298" s="204">
        <f t="shared" ref="M298:M300" si="636">IF(G298="Employé",(IF(K298="oui",H298,"non")),"non")</f>
        <v>1607</v>
      </c>
      <c r="N298" s="204">
        <f t="shared" ref="N298:N300" si="637">IF(G298="Employé",(IF(L298="oui",(H298*(($G$3+365)-D298+1)/365),0)))</f>
        <v>0</v>
      </c>
      <c r="O298" s="204" t="str">
        <f t="shared" ref="O298:O300" si="638">IF(G298="Cadre",(IF(K298="oui",F298,0)),"non")</f>
        <v>non</v>
      </c>
      <c r="P298" s="6" t="b">
        <f t="shared" ref="P298:P300" si="639">IF(G298="Cadre",(IF(L298="oui",((((($G$3+365)-D298+1)*F298)/365)),0)))</f>
        <v>0</v>
      </c>
      <c r="Q298" s="6">
        <f t="shared" ref="Q298:Q300" si="640">IF(O298="non",0,O298*2)</f>
        <v>0</v>
      </c>
      <c r="R298" s="6">
        <f t="shared" ref="R298:R300" si="641">IF(ISERROR(P298),0,P298*2)</f>
        <v>0</v>
      </c>
      <c r="T298" s="205" t="s">
        <v>191</v>
      </c>
      <c r="U298">
        <f t="shared" ref="U298:U300" ca="1" si="642">TODAY()-D298</f>
        <v>3479</v>
      </c>
      <c r="V298">
        <f t="shared" ref="V298:V300" ca="1" si="643">IF(G298="Employé",IF(U298&gt;9125,3,IF(U298&gt;7300,2,IF(U298&gt;5475,1,))))</f>
        <v>0</v>
      </c>
      <c r="W298" t="b">
        <f t="shared" ref="W298:W300" si="644">IF(G298="Cadre",IF(U298&gt;3650,2,IF(U298&gt;1825,1,)))</f>
        <v>0</v>
      </c>
      <c r="X298" s="6" t="str">
        <f t="shared" ref="X298:X300" si="645">IF(G298="Employé",IF(E298&lt;$G$5,E298,"non"),"non")</f>
        <v>non</v>
      </c>
      <c r="Y298">
        <f t="shared" ref="Y298:Y300" si="646">IF(AND(G298="Employé",N298=0),M298,N298)</f>
        <v>1607</v>
      </c>
      <c r="Z298" t="b">
        <f t="shared" ref="Z298:Z300" si="647">IF(AND(G298="Cadre",P298=0),O298,P298)</f>
        <v>0</v>
      </c>
      <c r="AA298" s="206">
        <f t="shared" ref="AA298:AA300" si="648">(IF(Y298=FALSE(),(Z298+AB298),(AD298)))+AF298+AH298+AI298</f>
        <v>1817</v>
      </c>
      <c r="AB298">
        <f t="shared" ref="AB298:AB300" si="649">IF(AND(L298="oui",G298="Cadre"),(30*(Z298/F298)),0)</f>
        <v>0</v>
      </c>
      <c r="AC298">
        <f t="shared" ref="AC298:AC300" si="650">IF(AND(G298="Employé",L298="oui"),(30*(Y298/H298)),0)</f>
        <v>0</v>
      </c>
      <c r="AD298">
        <f t="shared" ref="AD298:AD300" si="651">Y298+(AC298*(E298/6))</f>
        <v>1607</v>
      </c>
      <c r="AE298">
        <f t="shared" si="364"/>
        <v>30</v>
      </c>
      <c r="AF298">
        <f t="shared" ref="AF298:AF300" si="652">IF(AND(G298="Employé",L298="oui"),0,(AE298*(E298/5)))</f>
        <v>210</v>
      </c>
      <c r="AG298">
        <f t="shared" si="366"/>
        <v>30</v>
      </c>
      <c r="AH298">
        <f t="shared" ref="AH298:AH300" si="653">IF(G298="Cadre",AG298,0)</f>
        <v>0</v>
      </c>
      <c r="AK298" s="205">
        <v>32231</v>
      </c>
      <c r="AL298" t="s">
        <v>492</v>
      </c>
      <c r="AQ298">
        <v>0</v>
      </c>
      <c r="AR298">
        <v>0</v>
      </c>
      <c r="AS298">
        <v>0</v>
      </c>
    </row>
    <row r="299" spans="2:45" x14ac:dyDescent="0.25">
      <c r="B299" s="280" t="s">
        <v>666</v>
      </c>
      <c r="C299" s="281" t="s">
        <v>635</v>
      </c>
      <c r="D299" s="205">
        <v>44774</v>
      </c>
      <c r="E299">
        <v>35</v>
      </c>
      <c r="F299">
        <v>0</v>
      </c>
      <c r="G299" t="s">
        <v>273</v>
      </c>
      <c r="H299" s="203">
        <f t="shared" si="632"/>
        <v>1607</v>
      </c>
      <c r="I299" s="6">
        <f t="shared" si="633"/>
        <v>0</v>
      </c>
      <c r="J299" s="200">
        <f>'Synthèse Horaires'!$C$5</f>
        <v>46023</v>
      </c>
      <c r="K299" s="6" t="str">
        <f t="shared" si="634"/>
        <v>oui</v>
      </c>
      <c r="L299" s="6" t="str">
        <f t="shared" si="635"/>
        <v>non</v>
      </c>
      <c r="M299" s="204">
        <f t="shared" si="636"/>
        <v>1607</v>
      </c>
      <c r="N299" s="204">
        <f t="shared" si="637"/>
        <v>0</v>
      </c>
      <c r="O299" s="204" t="str">
        <f t="shared" si="638"/>
        <v>non</v>
      </c>
      <c r="P299" s="6" t="b">
        <f t="shared" si="639"/>
        <v>0</v>
      </c>
      <c r="Q299" s="6">
        <f t="shared" si="640"/>
        <v>0</v>
      </c>
      <c r="R299" s="6">
        <f t="shared" si="641"/>
        <v>0</v>
      </c>
      <c r="T299" s="205" t="s">
        <v>606</v>
      </c>
      <c r="U299">
        <f t="shared" ca="1" si="642"/>
        <v>1407</v>
      </c>
      <c r="V299">
        <f t="shared" ca="1" si="643"/>
        <v>0</v>
      </c>
      <c r="W299" t="b">
        <f t="shared" si="644"/>
        <v>0</v>
      </c>
      <c r="X299" s="6" t="str">
        <f t="shared" si="645"/>
        <v>non</v>
      </c>
      <c r="Y299">
        <f t="shared" si="646"/>
        <v>1607</v>
      </c>
      <c r="Z299" t="b">
        <f t="shared" si="647"/>
        <v>0</v>
      </c>
      <c r="AA299" s="206">
        <f t="shared" si="648"/>
        <v>1817</v>
      </c>
      <c r="AB299">
        <f t="shared" si="649"/>
        <v>0</v>
      </c>
      <c r="AC299">
        <f t="shared" si="650"/>
        <v>0</v>
      </c>
      <c r="AD299">
        <f t="shared" si="651"/>
        <v>1607</v>
      </c>
      <c r="AE299">
        <f t="shared" si="364"/>
        <v>30</v>
      </c>
      <c r="AF299">
        <f t="shared" si="652"/>
        <v>210</v>
      </c>
      <c r="AG299">
        <f t="shared" si="366"/>
        <v>30</v>
      </c>
      <c r="AH299">
        <f t="shared" si="653"/>
        <v>0</v>
      </c>
      <c r="AK299" s="205">
        <v>36304</v>
      </c>
      <c r="AL299" t="s">
        <v>492</v>
      </c>
      <c r="AQ299">
        <v>0</v>
      </c>
      <c r="AR299">
        <v>0</v>
      </c>
      <c r="AS299">
        <v>0</v>
      </c>
    </row>
    <row r="300" spans="2:45" x14ac:dyDescent="0.25">
      <c r="B300" s="182" t="s">
        <v>666</v>
      </c>
      <c r="C300" t="s">
        <v>441</v>
      </c>
      <c r="D300" s="205">
        <v>43318</v>
      </c>
      <c r="E300">
        <v>35</v>
      </c>
      <c r="F300">
        <v>0</v>
      </c>
      <c r="G300" t="s">
        <v>273</v>
      </c>
      <c r="H300" s="203">
        <f t="shared" si="632"/>
        <v>1607</v>
      </c>
      <c r="I300" s="6">
        <f t="shared" si="633"/>
        <v>0</v>
      </c>
      <c r="J300" s="200">
        <f>'Synthèse Horaires'!$C$5</f>
        <v>46023</v>
      </c>
      <c r="K300" s="6" t="str">
        <f t="shared" si="634"/>
        <v>oui</v>
      </c>
      <c r="L300" s="6" t="str">
        <f t="shared" si="635"/>
        <v>non</v>
      </c>
      <c r="M300" s="204">
        <f t="shared" si="636"/>
        <v>1607</v>
      </c>
      <c r="N300" s="204">
        <f t="shared" si="637"/>
        <v>0</v>
      </c>
      <c r="O300" s="204" t="str">
        <f t="shared" si="638"/>
        <v>non</v>
      </c>
      <c r="P300" s="6" t="b">
        <f t="shared" si="639"/>
        <v>0</v>
      </c>
      <c r="Q300" s="6">
        <f t="shared" si="640"/>
        <v>0</v>
      </c>
      <c r="R300" s="6">
        <f t="shared" si="641"/>
        <v>0</v>
      </c>
      <c r="T300" s="205" t="s">
        <v>195</v>
      </c>
      <c r="U300">
        <f t="shared" ca="1" si="642"/>
        <v>2863</v>
      </c>
      <c r="V300">
        <f t="shared" ca="1" si="643"/>
        <v>0</v>
      </c>
      <c r="W300" t="b">
        <f t="shared" si="644"/>
        <v>0</v>
      </c>
      <c r="X300" s="6" t="str">
        <f t="shared" si="645"/>
        <v>non</v>
      </c>
      <c r="Y300">
        <f t="shared" si="646"/>
        <v>1607</v>
      </c>
      <c r="Z300" t="b">
        <f t="shared" si="647"/>
        <v>0</v>
      </c>
      <c r="AA300" s="206">
        <f t="shared" si="648"/>
        <v>1817</v>
      </c>
      <c r="AB300">
        <f t="shared" si="649"/>
        <v>0</v>
      </c>
      <c r="AC300">
        <f t="shared" si="650"/>
        <v>0</v>
      </c>
      <c r="AD300">
        <f t="shared" si="651"/>
        <v>1607</v>
      </c>
      <c r="AE300">
        <f t="shared" si="364"/>
        <v>30</v>
      </c>
      <c r="AF300">
        <f t="shared" si="652"/>
        <v>210</v>
      </c>
      <c r="AG300">
        <f t="shared" si="366"/>
        <v>30</v>
      </c>
      <c r="AH300">
        <f t="shared" si="653"/>
        <v>0</v>
      </c>
      <c r="AK300" s="205">
        <v>0</v>
      </c>
      <c r="AL300">
        <v>0</v>
      </c>
      <c r="AQ300">
        <v>0</v>
      </c>
      <c r="AR300">
        <v>0</v>
      </c>
      <c r="AS300">
        <v>0</v>
      </c>
    </row>
    <row r="301" spans="2:45" x14ac:dyDescent="0.25">
      <c r="B301" s="182" t="s">
        <v>666</v>
      </c>
      <c r="C301" t="s">
        <v>603</v>
      </c>
      <c r="D301" s="205">
        <v>44564</v>
      </c>
      <c r="E301">
        <v>35</v>
      </c>
      <c r="F301">
        <v>0</v>
      </c>
      <c r="G301" t="s">
        <v>273</v>
      </c>
      <c r="H301" s="203">
        <f t="shared" ref="H301" si="654">ROUNDUP((($C$9/5)*E301)+($G$4*(E301/$G$5))+IF(E301=20,$G$10,(IF(E301=25,$G$9,(IF(E301=35,$G$6,IF(E301=39,$G$7,(IF(E301=41,$G$8,($G$6*(E301/$G$5)))))))))),0)</f>
        <v>1607</v>
      </c>
      <c r="I301" s="6">
        <f t="shared" ref="I301" si="655">F301*2</f>
        <v>0</v>
      </c>
      <c r="J301" s="200">
        <f>'Synthèse Horaires'!$C$5</f>
        <v>46023</v>
      </c>
      <c r="K301" s="6" t="str">
        <f t="shared" ref="K301" si="656">IF(N(D301)&lt;N($G$3),"oui","non")</f>
        <v>oui</v>
      </c>
      <c r="L301" s="6" t="str">
        <f t="shared" ref="L301" si="657">IF(N(D301)&gt;N($G$3),"oui","non")</f>
        <v>non</v>
      </c>
      <c r="M301" s="204">
        <f t="shared" ref="M301" si="658">IF(G301="Employé",(IF(K301="oui",H301,"non")),"non")</f>
        <v>1607</v>
      </c>
      <c r="N301" s="204">
        <f t="shared" ref="N301" si="659">IF(G301="Employé",(IF(L301="oui",(H301*(($G$3+365)-D301+1)/365),0)))</f>
        <v>0</v>
      </c>
      <c r="O301" s="204" t="str">
        <f t="shared" ref="O301" si="660">IF(G301="Cadre",(IF(K301="oui",F301,0)),"non")</f>
        <v>non</v>
      </c>
      <c r="P301" s="6" t="b">
        <f t="shared" ref="P301" si="661">IF(G301="Cadre",(IF(L301="oui",((((($G$3+365)-D301+1)*F301)/365)),0)))</f>
        <v>0</v>
      </c>
      <c r="Q301" s="6">
        <f t="shared" ref="Q301" si="662">IF(O301="non",0,O301*2)</f>
        <v>0</v>
      </c>
      <c r="R301" s="6">
        <f t="shared" ref="R301" si="663">IF(ISERROR(P301),0,P301*2)</f>
        <v>0</v>
      </c>
      <c r="T301" s="205" t="s">
        <v>465</v>
      </c>
      <c r="U301">
        <f t="shared" ref="U301" ca="1" si="664">TODAY()-D301</f>
        <v>1617</v>
      </c>
      <c r="V301">
        <f t="shared" ref="V301" ca="1" si="665">IF(G301="Employé",IF(U301&gt;9125,3,IF(U301&gt;7300,2,IF(U301&gt;5475,1,))))</f>
        <v>0</v>
      </c>
      <c r="W301" t="b">
        <f t="shared" ref="W301" si="666">IF(G301="Cadre",IF(U301&gt;3650,2,IF(U301&gt;1825,1,)))</f>
        <v>0</v>
      </c>
      <c r="X301" s="6" t="str">
        <f t="shared" ref="X301" si="667">IF(G301="Employé",IF(E301&lt;$G$5,E301,"non"),"non")</f>
        <v>non</v>
      </c>
      <c r="Y301">
        <f t="shared" ref="Y301" si="668">IF(AND(G301="Employé",N301=0),M301,N301)</f>
        <v>1607</v>
      </c>
      <c r="Z301" t="b">
        <f t="shared" ref="Z301" si="669">IF(AND(G301="Cadre",P301=0),O301,P301)</f>
        <v>0</v>
      </c>
      <c r="AA301" s="206">
        <f t="shared" ref="AA301" si="670">(IF(Y301=FALSE(),(Z301+AB301),(AD301)))+AF301+AH301+AI301</f>
        <v>1817</v>
      </c>
      <c r="AB301">
        <f t="shared" ref="AB301" si="671">IF(AND(L301="oui",G301="Cadre"),(30*(Z301/F301)),0)</f>
        <v>0</v>
      </c>
      <c r="AC301">
        <f t="shared" ref="AC301" si="672">IF(AND(G301="Employé",L301="oui"),(30*(Y301/H301)),0)</f>
        <v>0</v>
      </c>
      <c r="AD301">
        <f t="shared" ref="AD301" si="673">Y301+(AC301*(E301/6))</f>
        <v>1607</v>
      </c>
      <c r="AE301">
        <f t="shared" si="364"/>
        <v>30</v>
      </c>
      <c r="AF301">
        <f t="shared" ref="AF301" si="674">IF(AND(G301="Employé",L301="oui"),0,(AE301*(E301/5)))</f>
        <v>210</v>
      </c>
      <c r="AG301">
        <f t="shared" si="366"/>
        <v>30</v>
      </c>
      <c r="AH301">
        <f t="shared" ref="AH301" si="675">IF(G301="Cadre",AG301,0)</f>
        <v>0</v>
      </c>
      <c r="AK301" s="205">
        <v>32594</v>
      </c>
      <c r="AL301" t="s">
        <v>514</v>
      </c>
      <c r="AQ301">
        <v>0</v>
      </c>
      <c r="AR301">
        <v>0</v>
      </c>
      <c r="AS301">
        <v>0</v>
      </c>
    </row>
    <row r="302" spans="2:45" x14ac:dyDescent="0.25">
      <c r="B302" s="182" t="s">
        <v>666</v>
      </c>
      <c r="C302" t="s">
        <v>636</v>
      </c>
      <c r="D302" s="205">
        <v>44774</v>
      </c>
      <c r="E302">
        <v>35</v>
      </c>
      <c r="F302">
        <v>0</v>
      </c>
      <c r="G302" t="s">
        <v>273</v>
      </c>
      <c r="H302" s="203">
        <f t="shared" ref="H302:H303" si="676">ROUNDUP((($C$9/5)*E302)+($G$4*(E302/$G$5))+IF(E302=20,$G$10,(IF(E302=25,$G$9,(IF(E302=35,$G$6,IF(E302=39,$G$7,(IF(E302=41,$G$8,($G$6*(E302/$G$5)))))))))),0)</f>
        <v>1607</v>
      </c>
      <c r="I302" s="6">
        <f t="shared" ref="I302:I303" si="677">F302*2</f>
        <v>0</v>
      </c>
      <c r="J302" s="200">
        <f>'Synthèse Horaires'!$C$5</f>
        <v>46023</v>
      </c>
      <c r="K302" s="6" t="str">
        <f t="shared" ref="K302:K303" si="678">IF(N(D302)&lt;N($G$3),"oui","non")</f>
        <v>oui</v>
      </c>
      <c r="L302" s="6" t="str">
        <f t="shared" ref="L302:L303" si="679">IF(N(D302)&gt;N($G$3),"oui","non")</f>
        <v>non</v>
      </c>
      <c r="M302" s="204">
        <f t="shared" ref="M302:M303" si="680">IF(G302="Employé",(IF(K302="oui",H302,"non")),"non")</f>
        <v>1607</v>
      </c>
      <c r="N302" s="204">
        <f t="shared" ref="N302:N303" si="681">IF(G302="Employé",(IF(L302="oui",(H302*(($G$3+365)-D302+1)/365),0)))</f>
        <v>0</v>
      </c>
      <c r="O302" s="204" t="str">
        <f t="shared" ref="O302:O303" si="682">IF(G302="Cadre",(IF(K302="oui",F302,0)),"non")</f>
        <v>non</v>
      </c>
      <c r="P302" s="6" t="b">
        <f t="shared" ref="P302:P303" si="683">IF(G302="Cadre",(IF(L302="oui",((((($G$3+365)-D302+1)*F302)/365)),0)))</f>
        <v>0</v>
      </c>
      <c r="Q302" s="6">
        <f t="shared" ref="Q302:Q303" si="684">IF(O302="non",0,O302*2)</f>
        <v>0</v>
      </c>
      <c r="R302" s="6">
        <f t="shared" ref="R302:R303" si="685">IF(ISERROR(P302),0,P302*2)</f>
        <v>0</v>
      </c>
      <c r="T302" s="205" t="s">
        <v>465</v>
      </c>
      <c r="U302">
        <f t="shared" ref="U302:U303" ca="1" si="686">TODAY()-D302</f>
        <v>1407</v>
      </c>
      <c r="V302">
        <f t="shared" ref="V302:V303" ca="1" si="687">IF(G302="Employé",IF(U302&gt;9125,3,IF(U302&gt;7300,2,IF(U302&gt;5475,1,))))</f>
        <v>0</v>
      </c>
      <c r="W302" t="b">
        <f t="shared" ref="W302:W303" si="688">IF(G302="Cadre",IF(U302&gt;3650,2,IF(U302&gt;1825,1,)))</f>
        <v>0</v>
      </c>
      <c r="X302" s="6" t="str">
        <f t="shared" ref="X302:X303" si="689">IF(G302="Employé",IF(E302&lt;$G$5,E302,"non"),"non")</f>
        <v>non</v>
      </c>
      <c r="Y302">
        <f t="shared" ref="Y302:Y303" si="690">IF(AND(G302="Employé",N302=0),M302,N302)</f>
        <v>1607</v>
      </c>
      <c r="Z302" t="b">
        <f t="shared" ref="Z302:Z303" si="691">IF(AND(G302="Cadre",P302=0),O302,P302)</f>
        <v>0</v>
      </c>
      <c r="AA302" s="206">
        <f t="shared" ref="AA302:AA303" si="692">(IF(Y302=FALSE(),(Z302+AB302),(AD302)))+AF302+AH302+AI302</f>
        <v>1817</v>
      </c>
      <c r="AB302">
        <f t="shared" ref="AB302:AB303" si="693">IF(AND(L302="oui",G302="Cadre"),(30*(Z302/F302)),0)</f>
        <v>0</v>
      </c>
      <c r="AC302">
        <f t="shared" ref="AC302:AC303" si="694">IF(AND(G302="Employé",L302="oui"),(30*(Y302/H302)),0)</f>
        <v>0</v>
      </c>
      <c r="AD302">
        <f t="shared" ref="AD302:AD303" si="695">Y302+(AC302*(E302/6))</f>
        <v>1607</v>
      </c>
      <c r="AE302">
        <f t="shared" si="364"/>
        <v>30</v>
      </c>
      <c r="AF302">
        <f t="shared" ref="AF302:AF303" si="696">IF(AND(G302="Employé",L302="oui"),0,(AE302*(E302/5)))</f>
        <v>210</v>
      </c>
      <c r="AG302">
        <f t="shared" si="366"/>
        <v>30</v>
      </c>
      <c r="AH302">
        <f t="shared" ref="AH302:AH303" si="697">IF(G302="Cadre",AG302,0)</f>
        <v>0</v>
      </c>
      <c r="AK302" s="205">
        <v>36511</v>
      </c>
      <c r="AL302" t="s">
        <v>508</v>
      </c>
      <c r="AQ302">
        <v>0</v>
      </c>
      <c r="AR302">
        <v>0</v>
      </c>
      <c r="AS302">
        <v>0</v>
      </c>
    </row>
    <row r="303" spans="2:45" x14ac:dyDescent="0.25">
      <c r="B303" s="268" t="s">
        <v>666</v>
      </c>
      <c r="C303" s="269" t="s">
        <v>610</v>
      </c>
      <c r="D303" s="205">
        <v>44641</v>
      </c>
      <c r="E303">
        <v>35</v>
      </c>
      <c r="F303">
        <v>0</v>
      </c>
      <c r="G303" t="s">
        <v>273</v>
      </c>
      <c r="H303" s="203">
        <f t="shared" si="676"/>
        <v>1607</v>
      </c>
      <c r="I303" s="6">
        <f t="shared" si="677"/>
        <v>0</v>
      </c>
      <c r="J303" s="200">
        <f>'Synthèse Horaires'!$C$5</f>
        <v>46023</v>
      </c>
      <c r="K303" s="6" t="str">
        <f t="shared" si="678"/>
        <v>oui</v>
      </c>
      <c r="L303" s="6" t="str">
        <f t="shared" si="679"/>
        <v>non</v>
      </c>
      <c r="M303" s="204">
        <f t="shared" si="680"/>
        <v>1607</v>
      </c>
      <c r="N303" s="204">
        <f t="shared" si="681"/>
        <v>0</v>
      </c>
      <c r="O303" s="204" t="str">
        <f t="shared" si="682"/>
        <v>non</v>
      </c>
      <c r="P303" s="6" t="b">
        <f t="shared" si="683"/>
        <v>0</v>
      </c>
      <c r="Q303" s="6">
        <f t="shared" si="684"/>
        <v>0</v>
      </c>
      <c r="R303" s="6">
        <f t="shared" si="685"/>
        <v>0</v>
      </c>
      <c r="T303" s="205" t="s">
        <v>608</v>
      </c>
      <c r="U303">
        <f t="shared" ca="1" si="686"/>
        <v>1540</v>
      </c>
      <c r="V303">
        <f t="shared" ca="1" si="687"/>
        <v>0</v>
      </c>
      <c r="W303" t="b">
        <f t="shared" si="688"/>
        <v>0</v>
      </c>
      <c r="X303" s="6" t="str">
        <f t="shared" si="689"/>
        <v>non</v>
      </c>
      <c r="Y303">
        <f t="shared" si="690"/>
        <v>1607</v>
      </c>
      <c r="Z303" t="b">
        <f t="shared" si="691"/>
        <v>0</v>
      </c>
      <c r="AA303" s="206">
        <f t="shared" si="692"/>
        <v>1817</v>
      </c>
      <c r="AB303">
        <f t="shared" si="693"/>
        <v>0</v>
      </c>
      <c r="AC303">
        <f t="shared" si="694"/>
        <v>0</v>
      </c>
      <c r="AD303">
        <f t="shared" si="695"/>
        <v>1607</v>
      </c>
      <c r="AE303">
        <f t="shared" si="364"/>
        <v>30</v>
      </c>
      <c r="AF303">
        <f t="shared" si="696"/>
        <v>210</v>
      </c>
      <c r="AG303">
        <f t="shared" si="366"/>
        <v>30</v>
      </c>
      <c r="AH303">
        <f t="shared" si="697"/>
        <v>0</v>
      </c>
      <c r="AK303" s="205">
        <v>36756</v>
      </c>
      <c r="AL303" t="s">
        <v>508</v>
      </c>
      <c r="AQ303">
        <v>0</v>
      </c>
      <c r="AR303">
        <v>0</v>
      </c>
      <c r="AS303">
        <v>0</v>
      </c>
    </row>
    <row r="304" spans="2:45" x14ac:dyDescent="0.25">
      <c r="B304" s="182" t="s">
        <v>666</v>
      </c>
      <c r="C304" t="s">
        <v>450</v>
      </c>
      <c r="D304" s="205">
        <v>43353</v>
      </c>
      <c r="E304">
        <v>35</v>
      </c>
      <c r="F304">
        <v>0</v>
      </c>
      <c r="G304" t="s">
        <v>273</v>
      </c>
      <c r="H304" s="203">
        <f t="shared" ref="H304" si="698">ROUNDUP((($C$9/5)*E304)+($G$4*(E304/$G$5))+IF(E304=20,$G$10,(IF(E304=25,$G$9,(IF(E304=35,$G$6,IF(E304=39,$G$7,(IF(E304=41,$G$8,($G$6*(E304/$G$5)))))))))),0)</f>
        <v>1607</v>
      </c>
      <c r="I304" s="6">
        <f t="shared" ref="I304" si="699">F304*2</f>
        <v>0</v>
      </c>
      <c r="J304" s="200">
        <f>'Synthèse Horaires'!$C$5</f>
        <v>46023</v>
      </c>
      <c r="K304" s="6" t="str">
        <f t="shared" ref="K304" si="700">IF(N(D304)&lt;N($G$3),"oui","non")</f>
        <v>oui</v>
      </c>
      <c r="L304" s="6" t="str">
        <f t="shared" ref="L304" si="701">IF(N(D304)&gt;N($G$3),"oui","non")</f>
        <v>non</v>
      </c>
      <c r="M304" s="204">
        <f t="shared" ref="M304" si="702">IF(G304="Employé",(IF(K304="oui",H304,"non")),"non")</f>
        <v>1607</v>
      </c>
      <c r="N304" s="204">
        <f t="shared" ref="N304" si="703">IF(G304="Employé",(IF(L304="oui",(H304*(($G$3+365)-D304+1)/365),0)))</f>
        <v>0</v>
      </c>
      <c r="O304" s="204" t="str">
        <f t="shared" ref="O304" si="704">IF(G304="Cadre",(IF(K304="oui",F304,0)),"non")</f>
        <v>non</v>
      </c>
      <c r="P304" s="6" t="b">
        <f t="shared" ref="P304" si="705">IF(G304="Cadre",(IF(L304="oui",((((($G$3+365)-D304+1)*F304)/365)),0)))</f>
        <v>0</v>
      </c>
      <c r="Q304" s="6">
        <f t="shared" ref="Q304" si="706">IF(O304="non",0,O304*2)</f>
        <v>0</v>
      </c>
      <c r="R304" s="6">
        <f t="shared" ref="R304" si="707">IF(ISERROR(P304),0,P304*2)</f>
        <v>0</v>
      </c>
      <c r="T304" s="205" t="s">
        <v>193</v>
      </c>
      <c r="U304">
        <f t="shared" ref="U304" ca="1" si="708">TODAY()-D304</f>
        <v>2828</v>
      </c>
      <c r="V304">
        <f t="shared" ref="V304" ca="1" si="709">IF(G304="Employé",IF(U304&gt;9125,3,IF(U304&gt;7300,2,IF(U304&gt;5475,1,))))</f>
        <v>0</v>
      </c>
      <c r="W304" t="b">
        <f t="shared" ref="W304" si="710">IF(G304="Cadre",IF(U304&gt;3650,2,IF(U304&gt;1825,1,)))</f>
        <v>0</v>
      </c>
      <c r="X304" s="6" t="str">
        <f t="shared" ref="X304" si="711">IF(G304="Employé",IF(E304&lt;$G$5,E304,"non"),"non")</f>
        <v>non</v>
      </c>
      <c r="Y304">
        <f t="shared" ref="Y304" si="712">IF(AND(G304="Employé",N304=0),M304,N304)</f>
        <v>1607</v>
      </c>
      <c r="Z304" t="b">
        <f t="shared" ref="Z304" si="713">IF(AND(G304="Cadre",P304=0),O304,P304)</f>
        <v>0</v>
      </c>
      <c r="AA304" s="206">
        <f t="shared" ref="AA304" si="714">(IF(Y304=FALSE(),(Z304+AB304),(AD304)))+AF304+AH304+AI304</f>
        <v>1817</v>
      </c>
      <c r="AB304">
        <f t="shared" ref="AB304" si="715">IF(AND(L304="oui",G304="Cadre"),(30*(Z304/F304)),0)</f>
        <v>0</v>
      </c>
      <c r="AC304">
        <f t="shared" ref="AC304" si="716">IF(AND(G304="Employé",L304="oui"),(30*(Y304/H304)),0)</f>
        <v>0</v>
      </c>
      <c r="AD304">
        <f t="shared" ref="AD304" si="717">Y304+(AC304*(E304/6))</f>
        <v>1607</v>
      </c>
      <c r="AE304">
        <f t="shared" si="364"/>
        <v>30</v>
      </c>
      <c r="AF304">
        <f t="shared" ref="AF304" si="718">IF(AND(G304="Employé",L304="oui"),0,(AE304*(E304/5)))</f>
        <v>210</v>
      </c>
      <c r="AG304">
        <f t="shared" si="366"/>
        <v>30</v>
      </c>
      <c r="AH304">
        <f t="shared" ref="AH304" si="719">IF(G304="Cadre",AG304,0)</f>
        <v>0</v>
      </c>
      <c r="AK304" s="205">
        <v>32806</v>
      </c>
      <c r="AL304" t="s">
        <v>496</v>
      </c>
      <c r="AQ304">
        <v>0</v>
      </c>
      <c r="AR304">
        <v>0</v>
      </c>
      <c r="AS304">
        <v>0</v>
      </c>
    </row>
    <row r="305" spans="2:45" x14ac:dyDescent="0.25">
      <c r="B305" s="182" t="s">
        <v>666</v>
      </c>
      <c r="C305" t="s">
        <v>451</v>
      </c>
      <c r="D305" s="205">
        <v>43369</v>
      </c>
      <c r="E305">
        <v>35</v>
      </c>
      <c r="F305">
        <v>0</v>
      </c>
      <c r="G305" t="s">
        <v>273</v>
      </c>
      <c r="H305" s="203">
        <f t="shared" ref="H305" si="720">ROUNDUP((($C$9/5)*E305)+($G$4*(E305/$G$5))+IF(E305=20,$G$10,(IF(E305=25,$G$9,(IF(E305=35,$G$6,IF(E305=39,$G$7,(IF(E305=41,$G$8,($G$6*(E305/$G$5)))))))))),0)</f>
        <v>1607</v>
      </c>
      <c r="I305" s="6">
        <f t="shared" ref="I305" si="721">F305*2</f>
        <v>0</v>
      </c>
      <c r="J305" s="200">
        <f>'Synthèse Horaires'!$C$5</f>
        <v>46023</v>
      </c>
      <c r="K305" s="6" t="str">
        <f t="shared" ref="K305" si="722">IF(N(D305)&lt;N($G$3),"oui","non")</f>
        <v>oui</v>
      </c>
      <c r="L305" s="6" t="str">
        <f t="shared" ref="L305" si="723">IF(N(D305)&gt;N($G$3),"oui","non")</f>
        <v>non</v>
      </c>
      <c r="M305" s="204">
        <f t="shared" ref="M305" si="724">IF(G305="Employé",(IF(K305="oui",H305,"non")),"non")</f>
        <v>1607</v>
      </c>
      <c r="N305" s="204">
        <f t="shared" ref="N305" si="725">IF(G305="Employé",(IF(L305="oui",(H305*(($G$3+365)-D305+1)/365),0)))</f>
        <v>0</v>
      </c>
      <c r="O305" s="204" t="str">
        <f t="shared" ref="O305" si="726">IF(G305="Cadre",(IF(K305="oui",F305,0)),"non")</f>
        <v>non</v>
      </c>
      <c r="P305" s="6" t="b">
        <f t="shared" ref="P305" si="727">IF(G305="Cadre",(IF(L305="oui",((((($G$3+365)-D305+1)*F305)/365)),0)))</f>
        <v>0</v>
      </c>
      <c r="Q305" s="6">
        <f t="shared" ref="Q305" si="728">IF(O305="non",0,O305*2)</f>
        <v>0</v>
      </c>
      <c r="R305" s="6">
        <f t="shared" ref="R305" si="729">IF(ISERROR(P305),0,P305*2)</f>
        <v>0</v>
      </c>
      <c r="T305" s="205" t="s">
        <v>189</v>
      </c>
      <c r="U305">
        <f t="shared" ref="U305" ca="1" si="730">TODAY()-D305</f>
        <v>2812</v>
      </c>
      <c r="V305">
        <f t="shared" ref="V305" ca="1" si="731">IF(G305="Employé",IF(U305&gt;9125,3,IF(U305&gt;7300,2,IF(U305&gt;5475,1,))))</f>
        <v>0</v>
      </c>
      <c r="W305" t="b">
        <f t="shared" ref="W305" si="732">IF(G305="Cadre",IF(U305&gt;3650,2,IF(U305&gt;1825,1,)))</f>
        <v>0</v>
      </c>
      <c r="X305" s="6" t="str">
        <f t="shared" ref="X305" si="733">IF(G305="Employé",IF(E305&lt;$G$5,E305,"non"),"non")</f>
        <v>non</v>
      </c>
      <c r="Y305">
        <f t="shared" ref="Y305" si="734">IF(AND(G305="Employé",N305=0),M305,N305)</f>
        <v>1607</v>
      </c>
      <c r="Z305" t="b">
        <f t="shared" ref="Z305" si="735">IF(AND(G305="Cadre",P305=0),O305,P305)</f>
        <v>0</v>
      </c>
      <c r="AA305" s="206">
        <f t="shared" ref="AA305" si="736">(IF(Y305=FALSE(),(Z305+AB305),(AD305)))+AF305+AH305+AI305</f>
        <v>1817</v>
      </c>
      <c r="AB305">
        <f t="shared" ref="AB305" si="737">IF(AND(L305="oui",G305="Cadre"),(30*(Z305/F305)),0)</f>
        <v>0</v>
      </c>
      <c r="AC305">
        <f t="shared" ref="AC305" si="738">IF(AND(G305="Employé",L305="oui"),(30*(Y305/H305)),0)</f>
        <v>0</v>
      </c>
      <c r="AD305">
        <f t="shared" ref="AD305" si="739">Y305+(AC305*(E305/6))</f>
        <v>1607</v>
      </c>
      <c r="AE305">
        <f t="shared" si="364"/>
        <v>30</v>
      </c>
      <c r="AF305">
        <f t="shared" ref="AF305" si="740">IF(AND(G305="Employé",L305="oui"),0,(AE305*(E305/5)))</f>
        <v>210</v>
      </c>
      <c r="AG305">
        <f t="shared" si="366"/>
        <v>30</v>
      </c>
      <c r="AH305">
        <f t="shared" ref="AH305" si="741">IF(G305="Cadre",AG305,0)</f>
        <v>0</v>
      </c>
      <c r="AK305" s="205">
        <v>35780</v>
      </c>
      <c r="AL305" t="s">
        <v>508</v>
      </c>
      <c r="AQ305">
        <v>0</v>
      </c>
      <c r="AR305">
        <v>0</v>
      </c>
      <c r="AS305">
        <v>0</v>
      </c>
    </row>
    <row r="306" spans="2:45" x14ac:dyDescent="0.25">
      <c r="B306" s="270" t="s">
        <v>666</v>
      </c>
      <c r="C306" s="271" t="s">
        <v>611</v>
      </c>
      <c r="D306" s="205">
        <v>44634</v>
      </c>
      <c r="E306">
        <v>35</v>
      </c>
      <c r="F306">
        <v>0</v>
      </c>
      <c r="G306" t="s">
        <v>273</v>
      </c>
      <c r="H306" s="203">
        <f t="shared" ref="H306:H308" si="742">ROUNDUP((($C$9/5)*E306)+($G$4*(E306/$G$5))+IF(E306=20,$G$10,(IF(E306=25,$G$9,(IF(E306=35,$G$6,IF(E306=39,$G$7,(IF(E306=41,$G$8,($G$6*(E306/$G$5)))))))))),0)</f>
        <v>1607</v>
      </c>
      <c r="I306" s="6">
        <f t="shared" ref="I306:I308" si="743">F306*2</f>
        <v>0</v>
      </c>
      <c r="J306" s="200">
        <f>'Synthèse Horaires'!$C$5</f>
        <v>46023</v>
      </c>
      <c r="K306" s="6" t="str">
        <f t="shared" ref="K306:K308" si="744">IF(N(D306)&lt;N($G$3),"oui","non")</f>
        <v>oui</v>
      </c>
      <c r="L306" s="6" t="str">
        <f t="shared" ref="L306:L308" si="745">IF(N(D306)&gt;N($G$3),"oui","non")</f>
        <v>non</v>
      </c>
      <c r="M306" s="204">
        <f t="shared" ref="M306:M308" si="746">IF(G306="Employé",(IF(K306="oui",H306,"non")),"non")</f>
        <v>1607</v>
      </c>
      <c r="N306" s="204">
        <f t="shared" ref="N306:N308" si="747">IF(G306="Employé",(IF(L306="oui",(H306*(($G$3+365)-D306+1)/365),0)))</f>
        <v>0</v>
      </c>
      <c r="O306" s="204" t="str">
        <f t="shared" ref="O306:O308" si="748">IF(G306="Cadre",(IF(K306="oui",F306,0)),"non")</f>
        <v>non</v>
      </c>
      <c r="P306" s="6" t="b">
        <f t="shared" ref="P306:P308" si="749">IF(G306="Cadre",(IF(L306="oui",((((($G$3+365)-D306+1)*F306)/365)),0)))</f>
        <v>0</v>
      </c>
      <c r="Q306" s="6">
        <f t="shared" ref="Q306:Q308" si="750">IF(O306="non",0,O306*2)</f>
        <v>0</v>
      </c>
      <c r="R306" s="6">
        <f t="shared" ref="R306:R308" si="751">IF(ISERROR(P306),0,P306*2)</f>
        <v>0</v>
      </c>
      <c r="T306" s="205" t="s">
        <v>190</v>
      </c>
      <c r="U306">
        <f t="shared" ref="U306:U308" ca="1" si="752">TODAY()-D306</f>
        <v>1547</v>
      </c>
      <c r="V306">
        <f t="shared" ref="V306:V308" ca="1" si="753">IF(G306="Employé",IF(U306&gt;9125,3,IF(U306&gt;7300,2,IF(U306&gt;5475,1,))))</f>
        <v>0</v>
      </c>
      <c r="W306" t="b">
        <f t="shared" ref="W306:W308" si="754">IF(G306="Cadre",IF(U306&gt;3650,2,IF(U306&gt;1825,1,)))</f>
        <v>0</v>
      </c>
      <c r="X306" s="6" t="str">
        <f t="shared" ref="X306:X308" si="755">IF(G306="Employé",IF(E306&lt;$G$5,E306,"non"),"non")</f>
        <v>non</v>
      </c>
      <c r="Y306">
        <f t="shared" ref="Y306:Y308" si="756">IF(AND(G306="Employé",N306=0),M306,N306)</f>
        <v>1607</v>
      </c>
      <c r="Z306" t="b">
        <f t="shared" ref="Z306:Z308" si="757">IF(AND(G306="Cadre",P306=0),O306,P306)</f>
        <v>0</v>
      </c>
      <c r="AA306" s="206">
        <f t="shared" ref="AA306:AA308" si="758">(IF(Y306=FALSE(),(Z306+AB306),(AD306)))+AF306+AH306+AI306</f>
        <v>1817</v>
      </c>
      <c r="AB306">
        <f t="shared" ref="AB306:AB308" si="759">IF(AND(L306="oui",G306="Cadre"),(30*(Z306/F306)),0)</f>
        <v>0</v>
      </c>
      <c r="AC306">
        <f t="shared" ref="AC306:AC308" si="760">IF(AND(G306="Employé",L306="oui"),(30*(Y306/H306)),0)</f>
        <v>0</v>
      </c>
      <c r="AD306">
        <f t="shared" ref="AD306:AD308" si="761">Y306+(AC306*(E306/6))</f>
        <v>1607</v>
      </c>
      <c r="AE306">
        <f t="shared" si="364"/>
        <v>30</v>
      </c>
      <c r="AF306">
        <f t="shared" ref="AF306:AF308" si="762">IF(AND(G306="Employé",L306="oui"),0,(AE306*(E306/5)))</f>
        <v>210</v>
      </c>
      <c r="AG306">
        <f t="shared" si="366"/>
        <v>30</v>
      </c>
      <c r="AH306">
        <f t="shared" ref="AH306:AH308" si="763">IF(G306="Cadre",AG306,0)</f>
        <v>0</v>
      </c>
      <c r="AK306" s="205">
        <v>35918</v>
      </c>
      <c r="AL306" t="s">
        <v>509</v>
      </c>
      <c r="AQ306">
        <v>0</v>
      </c>
      <c r="AR306">
        <v>0</v>
      </c>
      <c r="AS306">
        <v>0</v>
      </c>
    </row>
    <row r="307" spans="2:45" x14ac:dyDescent="0.25">
      <c r="B307" s="182" t="s">
        <v>666</v>
      </c>
      <c r="C307" t="s">
        <v>612</v>
      </c>
      <c r="D307" s="205">
        <v>44648</v>
      </c>
      <c r="E307">
        <v>35</v>
      </c>
      <c r="F307">
        <v>0</v>
      </c>
      <c r="G307" t="s">
        <v>273</v>
      </c>
      <c r="H307" s="203">
        <f t="shared" si="742"/>
        <v>1607</v>
      </c>
      <c r="I307" s="6">
        <f t="shared" si="743"/>
        <v>0</v>
      </c>
      <c r="J307" s="200">
        <f>'Synthèse Horaires'!$C$5</f>
        <v>46023</v>
      </c>
      <c r="K307" s="6" t="str">
        <f t="shared" si="744"/>
        <v>oui</v>
      </c>
      <c r="L307" s="6" t="str">
        <f t="shared" si="745"/>
        <v>non</v>
      </c>
      <c r="M307" s="204">
        <f t="shared" si="746"/>
        <v>1607</v>
      </c>
      <c r="N307" s="204">
        <f t="shared" si="747"/>
        <v>0</v>
      </c>
      <c r="O307" s="204" t="str">
        <f t="shared" si="748"/>
        <v>non</v>
      </c>
      <c r="P307" s="6" t="b">
        <f t="shared" si="749"/>
        <v>0</v>
      </c>
      <c r="Q307" s="6">
        <f t="shared" si="750"/>
        <v>0</v>
      </c>
      <c r="R307" s="6">
        <f t="shared" si="751"/>
        <v>0</v>
      </c>
      <c r="T307" s="205" t="s">
        <v>608</v>
      </c>
      <c r="U307">
        <f t="shared" ca="1" si="752"/>
        <v>1533</v>
      </c>
      <c r="V307">
        <f t="shared" ca="1" si="753"/>
        <v>0</v>
      </c>
      <c r="W307" t="b">
        <f t="shared" si="754"/>
        <v>0</v>
      </c>
      <c r="X307" s="6" t="str">
        <f t="shared" si="755"/>
        <v>non</v>
      </c>
      <c r="Y307">
        <f t="shared" si="756"/>
        <v>1607</v>
      </c>
      <c r="Z307" t="b">
        <f t="shared" si="757"/>
        <v>0</v>
      </c>
      <c r="AA307" s="206">
        <f t="shared" si="758"/>
        <v>1817</v>
      </c>
      <c r="AB307">
        <f t="shared" si="759"/>
        <v>0</v>
      </c>
      <c r="AC307">
        <f t="shared" si="760"/>
        <v>0</v>
      </c>
      <c r="AD307">
        <f t="shared" si="761"/>
        <v>1607</v>
      </c>
      <c r="AE307">
        <f t="shared" si="364"/>
        <v>30</v>
      </c>
      <c r="AF307">
        <f t="shared" si="762"/>
        <v>210</v>
      </c>
      <c r="AG307">
        <f t="shared" si="366"/>
        <v>30</v>
      </c>
      <c r="AH307">
        <f t="shared" si="763"/>
        <v>0</v>
      </c>
      <c r="AK307" s="205">
        <v>31388</v>
      </c>
      <c r="AL307" t="s">
        <v>509</v>
      </c>
      <c r="AQ307">
        <v>0</v>
      </c>
      <c r="AR307">
        <v>0</v>
      </c>
      <c r="AS307">
        <v>0</v>
      </c>
    </row>
    <row r="308" spans="2:45" x14ac:dyDescent="0.25">
      <c r="B308" s="259" t="s">
        <v>666</v>
      </c>
      <c r="C308" s="260" t="s">
        <v>452</v>
      </c>
      <c r="D308" s="205">
        <v>43389</v>
      </c>
      <c r="E308">
        <v>35</v>
      </c>
      <c r="F308">
        <v>0</v>
      </c>
      <c r="G308" t="s">
        <v>273</v>
      </c>
      <c r="H308" s="203">
        <f t="shared" si="742"/>
        <v>1607</v>
      </c>
      <c r="I308" s="6">
        <f t="shared" si="743"/>
        <v>0</v>
      </c>
      <c r="J308" s="200">
        <f>'Synthèse Horaires'!$C$5</f>
        <v>46023</v>
      </c>
      <c r="K308" s="6" t="str">
        <f t="shared" si="744"/>
        <v>oui</v>
      </c>
      <c r="L308" s="6" t="str">
        <f t="shared" si="745"/>
        <v>non</v>
      </c>
      <c r="M308" s="204">
        <f t="shared" si="746"/>
        <v>1607</v>
      </c>
      <c r="N308" s="204">
        <f t="shared" si="747"/>
        <v>0</v>
      </c>
      <c r="O308" s="204" t="str">
        <f t="shared" si="748"/>
        <v>non</v>
      </c>
      <c r="P308" s="6" t="b">
        <f t="shared" si="749"/>
        <v>0</v>
      </c>
      <c r="Q308" s="6">
        <f t="shared" si="750"/>
        <v>0</v>
      </c>
      <c r="R308" s="6">
        <f t="shared" si="751"/>
        <v>0</v>
      </c>
      <c r="T308" s="205" t="s">
        <v>189</v>
      </c>
      <c r="U308">
        <f t="shared" ca="1" si="752"/>
        <v>2792</v>
      </c>
      <c r="V308">
        <f t="shared" ca="1" si="753"/>
        <v>0</v>
      </c>
      <c r="W308" t="b">
        <f t="shared" si="754"/>
        <v>0</v>
      </c>
      <c r="X308" s="6" t="str">
        <f t="shared" si="755"/>
        <v>non</v>
      </c>
      <c r="Y308">
        <f t="shared" si="756"/>
        <v>1607</v>
      </c>
      <c r="Z308" t="b">
        <f t="shared" si="757"/>
        <v>0</v>
      </c>
      <c r="AA308" s="206">
        <f t="shared" si="758"/>
        <v>1817</v>
      </c>
      <c r="AB308">
        <f t="shared" si="759"/>
        <v>0</v>
      </c>
      <c r="AC308">
        <f t="shared" si="760"/>
        <v>0</v>
      </c>
      <c r="AD308">
        <f t="shared" si="761"/>
        <v>1607</v>
      </c>
      <c r="AE308">
        <f t="shared" si="364"/>
        <v>30</v>
      </c>
      <c r="AF308">
        <f t="shared" si="762"/>
        <v>210</v>
      </c>
      <c r="AG308">
        <f t="shared" si="366"/>
        <v>30</v>
      </c>
      <c r="AH308">
        <f t="shared" si="763"/>
        <v>0</v>
      </c>
      <c r="AK308" s="205">
        <v>35593</v>
      </c>
      <c r="AL308" t="s">
        <v>574</v>
      </c>
      <c r="AQ308">
        <v>0</v>
      </c>
      <c r="AS308">
        <v>0</v>
      </c>
    </row>
    <row r="309" spans="2:45" x14ac:dyDescent="0.25">
      <c r="B309" s="182">
        <v>8000000002</v>
      </c>
      <c r="C309" t="s">
        <v>613</v>
      </c>
      <c r="D309" s="205">
        <v>44641</v>
      </c>
      <c r="E309">
        <v>0</v>
      </c>
      <c r="F309">
        <v>218</v>
      </c>
      <c r="G309" t="s">
        <v>102</v>
      </c>
      <c r="H309" s="203">
        <f t="shared" ref="H309:H311" si="764">ROUNDUP((($C$9/5)*E309)+($G$4*(E309/$G$5))+IF(E309=20,$G$10,(IF(E309=25,$G$9,(IF(E309=35,$G$6,IF(E309=39,$G$7,(IF(E309=41,$G$8,($G$6*(E309/$G$5)))))))))),0)</f>
        <v>0</v>
      </c>
      <c r="I309" s="6">
        <f t="shared" ref="I309:I311" si="765">F309*2</f>
        <v>436</v>
      </c>
      <c r="J309" s="200">
        <f>'Synthèse Horaires'!$C$5</f>
        <v>46023</v>
      </c>
      <c r="K309" s="6" t="str">
        <f t="shared" ref="K309:K311" si="766">IF(N(D309)&lt;N($G$3),"oui","non")</f>
        <v>oui</v>
      </c>
      <c r="L309" s="6" t="str">
        <f t="shared" ref="L309:L311" si="767">IF(N(D309)&gt;N($G$3),"oui","non")</f>
        <v>non</v>
      </c>
      <c r="M309" s="204" t="str">
        <f t="shared" ref="M309:M311" si="768">IF(G309="Employé",(IF(K309="oui",H309,"non")),"non")</f>
        <v>non</v>
      </c>
      <c r="N309" s="204" t="b">
        <f t="shared" ref="N309:N311" si="769">IF(G309="Employé",(IF(L309="oui",(H309*(($G$3+365)-D309+1)/365),0)))</f>
        <v>0</v>
      </c>
      <c r="O309" s="204">
        <f t="shared" ref="O309:O311" si="770">IF(G309="Cadre",(IF(K309="oui",F309,0)),"non")</f>
        <v>218</v>
      </c>
      <c r="P309" s="6">
        <f t="shared" ref="P309:P311" si="771">IF(G309="Cadre",(IF(L309="oui",((((($G$3+365)-D309+1)*F309)/365)),0)))</f>
        <v>0</v>
      </c>
      <c r="Q309" s="6">
        <f t="shared" ref="Q309:Q311" si="772">IF(O309="non",0,O309*2)</f>
        <v>436</v>
      </c>
      <c r="R309" s="6">
        <f t="shared" ref="R309:R311" si="773">IF(ISERROR(P309),0,P309*2)</f>
        <v>0</v>
      </c>
      <c r="T309" s="205" t="s">
        <v>608</v>
      </c>
      <c r="U309">
        <f t="shared" ref="U309:U311" ca="1" si="774">TODAY()-D309</f>
        <v>1540</v>
      </c>
      <c r="V309" t="b">
        <f t="shared" ref="V309:V311" si="775">IF(G309="Employé",IF(U309&gt;9125,3,IF(U309&gt;7300,2,IF(U309&gt;5475,1,))))</f>
        <v>0</v>
      </c>
      <c r="W309">
        <f t="shared" ref="W309:W311" ca="1" si="776">IF(G309="Cadre",IF(U309&gt;3650,2,IF(U309&gt;1825,1,)))</f>
        <v>0</v>
      </c>
      <c r="X309" s="6" t="str">
        <f t="shared" ref="X309:X311" si="777">IF(G309="Employé",IF(E309&lt;$G$5,E309,"non"),"non")</f>
        <v>non</v>
      </c>
      <c r="Y309" t="b">
        <f t="shared" ref="Y309:Y311" si="778">IF(AND(G309="Employé",N309=0),M309,N309)</f>
        <v>0</v>
      </c>
      <c r="Z309">
        <f t="shared" ref="Z309:Z311" si="779">IF(AND(G309="Cadre",P309=0),O309,P309)</f>
        <v>218</v>
      </c>
      <c r="AA309" s="206">
        <f t="shared" ref="AA309:AA311" si="780">(IF(Y309=FALSE(),(Z309+AB309),(AD309)))+AF309+AH309+AI309</f>
        <v>219</v>
      </c>
      <c r="AB309">
        <f t="shared" ref="AB309:AB311" si="781">IF(AND(L309="oui",G309="Cadre"),(30*(Z309/F309)),0)</f>
        <v>0</v>
      </c>
      <c r="AC309">
        <f t="shared" ref="AC309:AC311" si="782">IF(AND(G309="Employé",L309="oui"),(30*(Y309/H309)),0)</f>
        <v>0</v>
      </c>
      <c r="AD309">
        <f t="shared" ref="AD309:AD311" si="783">Y309+(AC309*(E309/6))</f>
        <v>0</v>
      </c>
      <c r="AE309">
        <f t="shared" si="364"/>
        <v>1</v>
      </c>
      <c r="AF309">
        <f t="shared" ref="AF309:AF311" si="784">IF(AND(G309="Employé",L309="oui"),0,(AE309*(E309/5)))</f>
        <v>0</v>
      </c>
      <c r="AG309">
        <f t="shared" si="366"/>
        <v>1</v>
      </c>
      <c r="AH309">
        <f t="shared" ref="AH309:AH311" si="785">IF(G309="Cadre",AG309,0)</f>
        <v>1</v>
      </c>
      <c r="AK309" s="205">
        <v>28479</v>
      </c>
      <c r="AL309" t="s">
        <v>584</v>
      </c>
      <c r="AQ309">
        <v>0</v>
      </c>
      <c r="AS309">
        <v>0</v>
      </c>
    </row>
    <row r="310" spans="2:45" x14ac:dyDescent="0.25">
      <c r="B310" s="182" t="s">
        <v>666</v>
      </c>
      <c r="C310" t="s">
        <v>637</v>
      </c>
      <c r="D310" s="205">
        <v>44774</v>
      </c>
      <c r="E310">
        <v>35</v>
      </c>
      <c r="F310">
        <v>0</v>
      </c>
      <c r="G310" t="s">
        <v>273</v>
      </c>
      <c r="H310" s="203">
        <f t="shared" si="764"/>
        <v>1607</v>
      </c>
      <c r="I310" s="6">
        <f t="shared" si="765"/>
        <v>0</v>
      </c>
      <c r="J310" s="200">
        <f>'Synthèse Horaires'!$C$5</f>
        <v>46023</v>
      </c>
      <c r="K310" s="6" t="str">
        <f t="shared" si="766"/>
        <v>oui</v>
      </c>
      <c r="L310" s="6" t="str">
        <f t="shared" si="767"/>
        <v>non</v>
      </c>
      <c r="M310" s="204">
        <f t="shared" si="768"/>
        <v>1607</v>
      </c>
      <c r="N310" s="204">
        <f t="shared" si="769"/>
        <v>0</v>
      </c>
      <c r="O310" s="204" t="str">
        <f t="shared" si="770"/>
        <v>non</v>
      </c>
      <c r="P310" s="6" t="b">
        <f t="shared" si="771"/>
        <v>0</v>
      </c>
      <c r="Q310" s="6">
        <f t="shared" si="772"/>
        <v>0</v>
      </c>
      <c r="R310" s="6">
        <f t="shared" si="773"/>
        <v>0</v>
      </c>
      <c r="T310" s="205" t="s">
        <v>465</v>
      </c>
      <c r="U310">
        <f t="shared" ca="1" si="774"/>
        <v>1407</v>
      </c>
      <c r="V310">
        <f t="shared" ca="1" si="775"/>
        <v>0</v>
      </c>
      <c r="W310" t="b">
        <f t="shared" si="776"/>
        <v>0</v>
      </c>
      <c r="X310" s="6" t="str">
        <f t="shared" si="777"/>
        <v>non</v>
      </c>
      <c r="Y310">
        <f t="shared" si="778"/>
        <v>1607</v>
      </c>
      <c r="Z310" t="b">
        <f t="shared" si="779"/>
        <v>0</v>
      </c>
      <c r="AA310" s="206">
        <f t="shared" si="780"/>
        <v>1817</v>
      </c>
      <c r="AB310">
        <f t="shared" si="781"/>
        <v>0</v>
      </c>
      <c r="AC310">
        <f t="shared" si="782"/>
        <v>0</v>
      </c>
      <c r="AD310">
        <f t="shared" si="783"/>
        <v>1607</v>
      </c>
      <c r="AE310">
        <f t="shared" si="364"/>
        <v>30</v>
      </c>
      <c r="AF310">
        <f t="shared" si="784"/>
        <v>210</v>
      </c>
      <c r="AG310">
        <f t="shared" si="366"/>
        <v>30</v>
      </c>
      <c r="AH310">
        <f t="shared" si="785"/>
        <v>0</v>
      </c>
      <c r="AK310" s="205">
        <v>37475</v>
      </c>
      <c r="AL310" t="s">
        <v>492</v>
      </c>
      <c r="AQ310">
        <v>0</v>
      </c>
      <c r="AS310">
        <v>0</v>
      </c>
    </row>
    <row r="311" spans="2:45" ht="14.25" customHeight="1" x14ac:dyDescent="0.25">
      <c r="B311" s="182" t="s">
        <v>666</v>
      </c>
      <c r="C311" t="s">
        <v>614</v>
      </c>
      <c r="D311" s="205">
        <v>44641</v>
      </c>
      <c r="E311">
        <v>35</v>
      </c>
      <c r="F311">
        <v>0</v>
      </c>
      <c r="G311" t="s">
        <v>273</v>
      </c>
      <c r="H311" s="203">
        <f t="shared" si="764"/>
        <v>1607</v>
      </c>
      <c r="I311" s="6">
        <f t="shared" si="765"/>
        <v>0</v>
      </c>
      <c r="J311" s="200">
        <f>'Synthèse Horaires'!$C$5</f>
        <v>46023</v>
      </c>
      <c r="K311" s="6" t="str">
        <f t="shared" si="766"/>
        <v>oui</v>
      </c>
      <c r="L311" s="6" t="str">
        <f t="shared" si="767"/>
        <v>non</v>
      </c>
      <c r="M311" s="204">
        <f t="shared" si="768"/>
        <v>1607</v>
      </c>
      <c r="N311" s="204">
        <f t="shared" si="769"/>
        <v>0</v>
      </c>
      <c r="O311" s="204" t="str">
        <f t="shared" si="770"/>
        <v>non</v>
      </c>
      <c r="P311" s="6" t="b">
        <f t="shared" si="771"/>
        <v>0</v>
      </c>
      <c r="Q311" s="6">
        <f t="shared" si="772"/>
        <v>0</v>
      </c>
      <c r="R311" s="6">
        <f t="shared" si="773"/>
        <v>0</v>
      </c>
      <c r="T311" s="205" t="s">
        <v>608</v>
      </c>
      <c r="U311">
        <f t="shared" ca="1" si="774"/>
        <v>1540</v>
      </c>
      <c r="V311">
        <f t="shared" ca="1" si="775"/>
        <v>0</v>
      </c>
      <c r="W311" t="b">
        <f t="shared" si="776"/>
        <v>0</v>
      </c>
      <c r="X311" s="6" t="str">
        <f t="shared" si="777"/>
        <v>non</v>
      </c>
      <c r="Y311">
        <f t="shared" si="778"/>
        <v>1607</v>
      </c>
      <c r="Z311" t="b">
        <f t="shared" si="779"/>
        <v>0</v>
      </c>
      <c r="AA311" s="206">
        <f t="shared" si="780"/>
        <v>1817</v>
      </c>
      <c r="AB311">
        <f t="shared" si="781"/>
        <v>0</v>
      </c>
      <c r="AC311">
        <f t="shared" si="782"/>
        <v>0</v>
      </c>
      <c r="AD311">
        <f t="shared" si="783"/>
        <v>1607</v>
      </c>
      <c r="AE311">
        <f t="shared" si="364"/>
        <v>30</v>
      </c>
      <c r="AF311">
        <f t="shared" si="784"/>
        <v>210</v>
      </c>
      <c r="AG311">
        <f t="shared" si="366"/>
        <v>30</v>
      </c>
      <c r="AH311">
        <f t="shared" si="785"/>
        <v>0</v>
      </c>
      <c r="AK311" s="205">
        <v>30147</v>
      </c>
      <c r="AL311" t="s">
        <v>509</v>
      </c>
      <c r="AQ311">
        <v>0</v>
      </c>
      <c r="AS311">
        <v>0</v>
      </c>
    </row>
    <row r="312" spans="2:45" x14ac:dyDescent="0.25">
      <c r="B312" s="182" t="s">
        <v>666</v>
      </c>
      <c r="C312" t="s">
        <v>453</v>
      </c>
      <c r="D312" s="205">
        <v>43409</v>
      </c>
      <c r="E312">
        <v>35</v>
      </c>
      <c r="F312">
        <v>0</v>
      </c>
      <c r="G312" t="s">
        <v>273</v>
      </c>
      <c r="H312" s="203">
        <f t="shared" ref="H312:H316" si="786">ROUNDUP((($C$9/5)*E312)+($G$4*(E312/$G$5))+IF(E312=20,$G$10,(IF(E312=25,$G$9,(IF(E312=35,$G$6,IF(E312=39,$G$7,(IF(E312=41,$G$8,($G$6*(E312/$G$5)))))))))),0)</f>
        <v>1607</v>
      </c>
      <c r="I312" s="6">
        <f t="shared" ref="I312:I316" si="787">F312*2</f>
        <v>0</v>
      </c>
      <c r="J312" s="200">
        <f>'Synthèse Horaires'!$C$5</f>
        <v>46023</v>
      </c>
      <c r="K312" s="6" t="str">
        <f t="shared" ref="K312:K316" si="788">IF(N(D312)&lt;N($G$3),"oui","non")</f>
        <v>oui</v>
      </c>
      <c r="L312" s="6" t="str">
        <f t="shared" ref="L312:L316" si="789">IF(N(D312)&gt;N($G$3),"oui","non")</f>
        <v>non</v>
      </c>
      <c r="M312" s="204">
        <f t="shared" ref="M312:M316" si="790">IF(G312="Employé",(IF(K312="oui",H312,"non")),"non")</f>
        <v>1607</v>
      </c>
      <c r="N312" s="204">
        <f t="shared" ref="N312:N316" si="791">IF(G312="Employé",(IF(L312="oui",(H312*(($G$3+365)-D312+1)/365),0)))</f>
        <v>0</v>
      </c>
      <c r="O312" s="204" t="str">
        <f t="shared" ref="O312:O316" si="792">IF(G312="Cadre",(IF(K312="oui",F312,0)),"non")</f>
        <v>non</v>
      </c>
      <c r="P312" s="6" t="b">
        <f t="shared" ref="P312:P316" si="793">IF(G312="Cadre",(IF(L312="oui",((((($G$3+365)-D312+1)*F312)/365)),0)))</f>
        <v>0</v>
      </c>
      <c r="Q312" s="6">
        <f t="shared" ref="Q312:Q316" si="794">IF(O312="non",0,O312*2)</f>
        <v>0</v>
      </c>
      <c r="R312" s="6">
        <f t="shared" ref="R312:R316" si="795">IF(ISERROR(P312),0,P312*2)</f>
        <v>0</v>
      </c>
      <c r="T312" s="205" t="s">
        <v>404</v>
      </c>
      <c r="U312">
        <f t="shared" ref="U312:U316" ca="1" si="796">TODAY()-D312</f>
        <v>2772</v>
      </c>
      <c r="V312">
        <f t="shared" ref="V312:V316" ca="1" si="797">IF(G312="Employé",IF(U312&gt;9125,3,IF(U312&gt;7300,2,IF(U312&gt;5475,1,))))</f>
        <v>0</v>
      </c>
      <c r="W312" t="b">
        <f t="shared" ref="W312:W316" si="798">IF(G312="Cadre",IF(U312&gt;3650,2,IF(U312&gt;1825,1,)))</f>
        <v>0</v>
      </c>
      <c r="X312" s="6" t="str">
        <f t="shared" ref="X312:X316" si="799">IF(G312="Employé",IF(E312&lt;$G$5,E312,"non"),"non")</f>
        <v>non</v>
      </c>
      <c r="Y312">
        <f t="shared" ref="Y312:Y316" si="800">IF(AND(G312="Employé",N312=0),M312,N312)</f>
        <v>1607</v>
      </c>
      <c r="Z312" t="b">
        <f t="shared" ref="Z312:Z316" si="801">IF(AND(G312="Cadre",P312=0),O312,P312)</f>
        <v>0</v>
      </c>
      <c r="AA312" s="206">
        <f t="shared" ref="AA312:AA316" si="802">(IF(Y312=FALSE(),(Z312+AB312),(AD312)))+AF312+AH312+AI312</f>
        <v>1817</v>
      </c>
      <c r="AB312">
        <f t="shared" ref="AB312:AB316" si="803">IF(AND(L312="oui",G312="Cadre"),(30*(Z312/F312)),0)</f>
        <v>0</v>
      </c>
      <c r="AC312">
        <f t="shared" ref="AC312:AC316" si="804">IF(AND(G312="Employé",L312="oui"),(30*(Y312/H312)),0)</f>
        <v>0</v>
      </c>
      <c r="AD312">
        <f t="shared" ref="AD312:AD316" si="805">Y312+(AC312*(E312/6))</f>
        <v>1607</v>
      </c>
      <c r="AE312">
        <f t="shared" si="364"/>
        <v>30</v>
      </c>
      <c r="AF312">
        <f t="shared" ref="AF312:AF316" si="806">IF(AND(G312="Employé",L312="oui"),0,(AE312*(E312/5)))</f>
        <v>210</v>
      </c>
      <c r="AG312">
        <f t="shared" si="366"/>
        <v>30</v>
      </c>
      <c r="AH312">
        <f t="shared" ref="AH312:AH316" si="807">IF(G312="Cadre",AG312,0)</f>
        <v>0</v>
      </c>
      <c r="AK312" s="205">
        <v>0</v>
      </c>
      <c r="AL312">
        <v>0</v>
      </c>
    </row>
    <row r="313" spans="2:45" x14ac:dyDescent="0.25">
      <c r="B313" s="276" t="s">
        <v>666</v>
      </c>
      <c r="C313" s="277" t="s">
        <v>615</v>
      </c>
      <c r="D313" s="205">
        <v>44634</v>
      </c>
      <c r="E313">
        <v>35</v>
      </c>
      <c r="F313">
        <v>0</v>
      </c>
      <c r="G313" t="s">
        <v>273</v>
      </c>
      <c r="H313" s="203">
        <f t="shared" si="786"/>
        <v>1607</v>
      </c>
      <c r="I313" s="6">
        <f t="shared" si="787"/>
        <v>0</v>
      </c>
      <c r="J313" s="200">
        <f>'Synthèse Horaires'!$C$5</f>
        <v>46023</v>
      </c>
      <c r="K313" s="6" t="str">
        <f t="shared" si="788"/>
        <v>oui</v>
      </c>
      <c r="L313" s="6" t="str">
        <f t="shared" si="789"/>
        <v>non</v>
      </c>
      <c r="M313" s="204">
        <f t="shared" si="790"/>
        <v>1607</v>
      </c>
      <c r="N313" s="204">
        <f t="shared" si="791"/>
        <v>0</v>
      </c>
      <c r="O313" s="204" t="str">
        <f t="shared" si="792"/>
        <v>non</v>
      </c>
      <c r="P313" s="6" t="b">
        <f t="shared" si="793"/>
        <v>0</v>
      </c>
      <c r="Q313" s="6">
        <f t="shared" si="794"/>
        <v>0</v>
      </c>
      <c r="R313" s="6">
        <f t="shared" si="795"/>
        <v>0</v>
      </c>
      <c r="T313" s="205" t="s">
        <v>192</v>
      </c>
      <c r="U313">
        <f t="shared" ca="1" si="796"/>
        <v>1547</v>
      </c>
      <c r="V313">
        <f t="shared" ca="1" si="797"/>
        <v>0</v>
      </c>
      <c r="W313" t="b">
        <f t="shared" si="798"/>
        <v>0</v>
      </c>
      <c r="X313" s="6" t="str">
        <f t="shared" si="799"/>
        <v>non</v>
      </c>
      <c r="Y313">
        <f t="shared" si="800"/>
        <v>1607</v>
      </c>
      <c r="Z313" t="b">
        <f t="shared" si="801"/>
        <v>0</v>
      </c>
      <c r="AA313" s="206">
        <f t="shared" si="802"/>
        <v>1817</v>
      </c>
      <c r="AB313">
        <f t="shared" si="803"/>
        <v>0</v>
      </c>
      <c r="AC313">
        <f t="shared" si="804"/>
        <v>0</v>
      </c>
      <c r="AD313">
        <f t="shared" si="805"/>
        <v>1607</v>
      </c>
      <c r="AE313">
        <f t="shared" si="364"/>
        <v>30</v>
      </c>
      <c r="AF313">
        <f t="shared" si="806"/>
        <v>210</v>
      </c>
      <c r="AG313">
        <f t="shared" si="366"/>
        <v>30</v>
      </c>
      <c r="AH313">
        <f t="shared" si="807"/>
        <v>0</v>
      </c>
      <c r="AK313" s="205">
        <v>37150</v>
      </c>
      <c r="AL313" t="s">
        <v>506</v>
      </c>
    </row>
    <row r="314" spans="2:45" x14ac:dyDescent="0.25">
      <c r="B314" s="182">
        <v>600000015</v>
      </c>
      <c r="C314" t="s">
        <v>730</v>
      </c>
      <c r="D314" s="205">
        <v>43406</v>
      </c>
      <c r="E314">
        <v>24</v>
      </c>
      <c r="F314">
        <v>0</v>
      </c>
      <c r="G314" t="s">
        <v>273</v>
      </c>
      <c r="H314" s="203">
        <f t="shared" si="786"/>
        <v>1102</v>
      </c>
      <c r="I314" s="6">
        <f t="shared" si="787"/>
        <v>0</v>
      </c>
      <c r="J314" s="200">
        <f>'Synthèse Horaires'!$C$5</f>
        <v>46023</v>
      </c>
      <c r="K314" s="6" t="str">
        <f t="shared" si="788"/>
        <v>oui</v>
      </c>
      <c r="L314" s="6" t="str">
        <f t="shared" si="789"/>
        <v>non</v>
      </c>
      <c r="M314" s="204">
        <f t="shared" si="790"/>
        <v>1102</v>
      </c>
      <c r="N314" s="204">
        <f t="shared" si="791"/>
        <v>0</v>
      </c>
      <c r="O314" s="204" t="str">
        <f t="shared" si="792"/>
        <v>non</v>
      </c>
      <c r="P314" s="6" t="b">
        <f t="shared" si="793"/>
        <v>0</v>
      </c>
      <c r="Q314" s="6">
        <f t="shared" si="794"/>
        <v>0</v>
      </c>
      <c r="R314" s="6">
        <f t="shared" si="795"/>
        <v>0</v>
      </c>
      <c r="T314" s="205" t="s">
        <v>194</v>
      </c>
      <c r="U314">
        <f t="shared" ca="1" si="796"/>
        <v>2775</v>
      </c>
      <c r="V314">
        <f t="shared" ca="1" si="797"/>
        <v>0</v>
      </c>
      <c r="W314" t="b">
        <f t="shared" si="798"/>
        <v>0</v>
      </c>
      <c r="X314" s="6">
        <f t="shared" si="799"/>
        <v>24</v>
      </c>
      <c r="Y314">
        <f t="shared" si="800"/>
        <v>1102</v>
      </c>
      <c r="Z314" t="b">
        <f t="shared" si="801"/>
        <v>0</v>
      </c>
      <c r="AA314" s="206">
        <f t="shared" si="802"/>
        <v>1102</v>
      </c>
      <c r="AB314">
        <f t="shared" si="803"/>
        <v>0</v>
      </c>
      <c r="AC314">
        <f t="shared" si="804"/>
        <v>0</v>
      </c>
      <c r="AD314">
        <f t="shared" si="805"/>
        <v>1102</v>
      </c>
      <c r="AE314">
        <f t="shared" si="364"/>
        <v>0</v>
      </c>
      <c r="AF314">
        <f t="shared" si="806"/>
        <v>0</v>
      </c>
      <c r="AG314">
        <f t="shared" si="366"/>
        <v>0</v>
      </c>
      <c r="AH314">
        <f t="shared" si="807"/>
        <v>0</v>
      </c>
      <c r="AK314" s="205">
        <v>34943</v>
      </c>
      <c r="AL314" t="s">
        <v>514</v>
      </c>
    </row>
    <row r="315" spans="2:45" x14ac:dyDescent="0.25">
      <c r="B315" s="182">
        <v>2000000022</v>
      </c>
      <c r="C315" t="s">
        <v>727</v>
      </c>
      <c r="D315" s="205">
        <v>45540</v>
      </c>
      <c r="E315">
        <v>35</v>
      </c>
      <c r="F315">
        <v>0</v>
      </c>
      <c r="G315" t="s">
        <v>273</v>
      </c>
      <c r="H315" s="203">
        <f t="shared" si="786"/>
        <v>1607</v>
      </c>
      <c r="I315" s="6">
        <f t="shared" si="787"/>
        <v>0</v>
      </c>
      <c r="J315" s="200">
        <f>'Synthèse Horaires'!$C$5</f>
        <v>46023</v>
      </c>
      <c r="K315" s="6" t="str">
        <f t="shared" si="788"/>
        <v>oui</v>
      </c>
      <c r="L315" s="6" t="str">
        <f t="shared" si="789"/>
        <v>non</v>
      </c>
      <c r="M315" s="204">
        <f t="shared" si="790"/>
        <v>1607</v>
      </c>
      <c r="N315" s="204">
        <f t="shared" si="791"/>
        <v>0</v>
      </c>
      <c r="O315" s="204" t="str">
        <f t="shared" si="792"/>
        <v>non</v>
      </c>
      <c r="P315" s="6" t="b">
        <f t="shared" si="793"/>
        <v>0</v>
      </c>
      <c r="Q315" s="6">
        <f t="shared" si="794"/>
        <v>0</v>
      </c>
      <c r="R315" s="6">
        <f t="shared" si="795"/>
        <v>0</v>
      </c>
      <c r="T315" s="205" t="s">
        <v>606</v>
      </c>
      <c r="U315">
        <f t="shared" ca="1" si="796"/>
        <v>641</v>
      </c>
      <c r="V315">
        <f t="shared" ca="1" si="797"/>
        <v>0</v>
      </c>
      <c r="W315" t="b">
        <f t="shared" si="798"/>
        <v>0</v>
      </c>
      <c r="X315" s="6" t="str">
        <f t="shared" si="799"/>
        <v>non</v>
      </c>
      <c r="Y315">
        <f t="shared" si="800"/>
        <v>1607</v>
      </c>
      <c r="Z315" t="b">
        <f t="shared" si="801"/>
        <v>0</v>
      </c>
      <c r="AA315" s="206">
        <f t="shared" si="802"/>
        <v>1621</v>
      </c>
      <c r="AB315">
        <f t="shared" si="803"/>
        <v>0</v>
      </c>
      <c r="AC315">
        <f t="shared" si="804"/>
        <v>0</v>
      </c>
      <c r="AD315">
        <f t="shared" si="805"/>
        <v>1607</v>
      </c>
      <c r="AE315">
        <f t="shared" si="364"/>
        <v>2</v>
      </c>
      <c r="AF315">
        <f t="shared" si="806"/>
        <v>14</v>
      </c>
      <c r="AG315">
        <f t="shared" si="366"/>
        <v>2</v>
      </c>
      <c r="AH315">
        <f t="shared" si="807"/>
        <v>0</v>
      </c>
      <c r="AK315" s="205">
        <v>37793</v>
      </c>
      <c r="AL315" t="s">
        <v>506</v>
      </c>
    </row>
    <row r="316" spans="2:45" x14ac:dyDescent="0.25">
      <c r="B316" s="182" t="s">
        <v>666</v>
      </c>
      <c r="C316" t="s">
        <v>454</v>
      </c>
      <c r="D316" s="205">
        <v>43416</v>
      </c>
      <c r="E316">
        <v>35</v>
      </c>
      <c r="F316">
        <v>0</v>
      </c>
      <c r="G316" t="s">
        <v>273</v>
      </c>
      <c r="H316" s="203">
        <f t="shared" si="786"/>
        <v>1607</v>
      </c>
      <c r="I316" s="6">
        <f t="shared" si="787"/>
        <v>0</v>
      </c>
      <c r="J316" s="200">
        <f>'Synthèse Horaires'!$C$5</f>
        <v>46023</v>
      </c>
      <c r="K316" s="6" t="str">
        <f t="shared" si="788"/>
        <v>oui</v>
      </c>
      <c r="L316" s="6" t="str">
        <f t="shared" si="789"/>
        <v>non</v>
      </c>
      <c r="M316" s="204">
        <f t="shared" si="790"/>
        <v>1607</v>
      </c>
      <c r="N316" s="204">
        <f t="shared" si="791"/>
        <v>0</v>
      </c>
      <c r="O316" s="204" t="str">
        <f t="shared" si="792"/>
        <v>non</v>
      </c>
      <c r="P316" s="6" t="b">
        <f t="shared" si="793"/>
        <v>0</v>
      </c>
      <c r="Q316" s="6">
        <f t="shared" si="794"/>
        <v>0</v>
      </c>
      <c r="R316" s="6">
        <f t="shared" si="795"/>
        <v>0</v>
      </c>
      <c r="T316" s="205" t="s">
        <v>183</v>
      </c>
      <c r="U316">
        <f t="shared" ca="1" si="796"/>
        <v>2765</v>
      </c>
      <c r="V316">
        <f t="shared" ca="1" si="797"/>
        <v>0</v>
      </c>
      <c r="W316" t="b">
        <f t="shared" si="798"/>
        <v>0</v>
      </c>
      <c r="X316" s="6" t="str">
        <f t="shared" si="799"/>
        <v>non</v>
      </c>
      <c r="Y316">
        <f t="shared" si="800"/>
        <v>1607</v>
      </c>
      <c r="Z316" t="b">
        <f t="shared" si="801"/>
        <v>0</v>
      </c>
      <c r="AA316" s="206">
        <f t="shared" si="802"/>
        <v>1817</v>
      </c>
      <c r="AB316">
        <f t="shared" si="803"/>
        <v>0</v>
      </c>
      <c r="AC316">
        <f t="shared" si="804"/>
        <v>0</v>
      </c>
      <c r="AD316">
        <f t="shared" si="805"/>
        <v>1607</v>
      </c>
      <c r="AE316">
        <f t="shared" si="364"/>
        <v>30</v>
      </c>
      <c r="AF316">
        <f t="shared" si="806"/>
        <v>210</v>
      </c>
      <c r="AG316">
        <f t="shared" si="366"/>
        <v>30</v>
      </c>
      <c r="AH316">
        <f t="shared" si="807"/>
        <v>0</v>
      </c>
      <c r="AK316" s="205">
        <v>32278</v>
      </c>
      <c r="AL316" t="s">
        <v>493</v>
      </c>
    </row>
    <row r="317" spans="2:45" x14ac:dyDescent="0.25">
      <c r="B317" s="259" t="s">
        <v>666</v>
      </c>
      <c r="C317" s="260" t="s">
        <v>616</v>
      </c>
      <c r="D317" s="205">
        <v>44670</v>
      </c>
      <c r="E317">
        <v>35</v>
      </c>
      <c r="F317">
        <v>0</v>
      </c>
      <c r="G317" t="s">
        <v>273</v>
      </c>
      <c r="H317" s="203">
        <f t="shared" ref="H317" si="808">ROUNDUP((($C$9/5)*E317)+($G$4*(E317/$G$5))+IF(E317=20,$G$10,(IF(E317=25,$G$9,(IF(E317=35,$G$6,IF(E317=39,$G$7,(IF(E317=41,$G$8,($G$6*(E317/$G$5)))))))))),0)</f>
        <v>1607</v>
      </c>
      <c r="I317" s="6">
        <f t="shared" ref="I317" si="809">F317*2</f>
        <v>0</v>
      </c>
      <c r="J317" s="200">
        <f>'Synthèse Horaires'!$C$5</f>
        <v>46023</v>
      </c>
      <c r="K317" s="6" t="str">
        <f t="shared" ref="K317" si="810">IF(N(D317)&lt;N($G$3),"oui","non")</f>
        <v>oui</v>
      </c>
      <c r="L317" s="6" t="str">
        <f t="shared" ref="L317" si="811">IF(N(D317)&gt;N($G$3),"oui","non")</f>
        <v>non</v>
      </c>
      <c r="M317" s="204">
        <f t="shared" ref="M317" si="812">IF(G317="Employé",(IF(K317="oui",H317,"non")),"non")</f>
        <v>1607</v>
      </c>
      <c r="N317" s="204">
        <f t="shared" ref="N317" si="813">IF(G317="Employé",(IF(L317="oui",(H317*(($G$3+365)-D317+1)/365),0)))</f>
        <v>0</v>
      </c>
      <c r="O317" s="204" t="str">
        <f t="shared" ref="O317" si="814">IF(G317="Cadre",(IF(K317="oui",F317,0)),"non")</f>
        <v>non</v>
      </c>
      <c r="P317" s="6" t="b">
        <f t="shared" ref="P317" si="815">IF(G317="Cadre",(IF(L317="oui",((((($G$3+365)-D317+1)*F317)/365)),0)))</f>
        <v>0</v>
      </c>
      <c r="Q317" s="6">
        <f t="shared" ref="Q317" si="816">IF(O317="non",0,O317*2)</f>
        <v>0</v>
      </c>
      <c r="R317" s="6">
        <f t="shared" ref="R317" si="817">IF(ISERROR(P317),0,P317*2)</f>
        <v>0</v>
      </c>
      <c r="T317" s="205" t="s">
        <v>184</v>
      </c>
      <c r="U317">
        <f t="shared" ref="U317" ca="1" si="818">TODAY()-D317</f>
        <v>1511</v>
      </c>
      <c r="V317">
        <f t="shared" ref="V317" ca="1" si="819">IF(G317="Employé",IF(U317&gt;9125,3,IF(U317&gt;7300,2,IF(U317&gt;5475,1,))))</f>
        <v>0</v>
      </c>
      <c r="W317" t="b">
        <f t="shared" ref="W317" si="820">IF(G317="Cadre",IF(U317&gt;3650,2,IF(U317&gt;1825,1,)))</f>
        <v>0</v>
      </c>
      <c r="X317" s="6" t="str">
        <f t="shared" ref="X317" si="821">IF(G317="Employé",IF(E317&lt;$G$5,E317,"non"),"non")</f>
        <v>non</v>
      </c>
      <c r="Y317">
        <f t="shared" ref="Y317" si="822">IF(AND(G317="Employé",N317=0),M317,N317)</f>
        <v>1607</v>
      </c>
      <c r="Z317" t="b">
        <f t="shared" ref="Z317" si="823">IF(AND(G317="Cadre",P317=0),O317,P317)</f>
        <v>0</v>
      </c>
      <c r="AA317" s="206">
        <f t="shared" ref="AA317" si="824">(IF(Y317=FALSE(),(Z317+AB317),(AD317)))+AF317+AH317+AI317</f>
        <v>1817</v>
      </c>
      <c r="AB317">
        <f t="shared" ref="AB317" si="825">IF(AND(L317="oui",G317="Cadre"),(30*(Z317/F317)),0)</f>
        <v>0</v>
      </c>
      <c r="AC317">
        <f t="shared" ref="AC317" si="826">IF(AND(G317="Employé",L317="oui"),(30*(Y317/H317)),0)</f>
        <v>0</v>
      </c>
      <c r="AD317">
        <f t="shared" ref="AD317" si="827">Y317+(AC317*(E317/6))</f>
        <v>1607</v>
      </c>
      <c r="AE317">
        <f t="shared" si="364"/>
        <v>30</v>
      </c>
      <c r="AF317">
        <f t="shared" ref="AF317" si="828">IF(AND(G317="Employé",L317="oui"),0,(AE317*(E317/5)))</f>
        <v>210</v>
      </c>
      <c r="AG317">
        <f t="shared" si="366"/>
        <v>30</v>
      </c>
      <c r="AH317">
        <f t="shared" ref="AH317" si="829">IF(G317="Cadre",AG317,0)</f>
        <v>0</v>
      </c>
      <c r="AK317" s="205">
        <v>33436</v>
      </c>
      <c r="AL317" t="s">
        <v>508</v>
      </c>
    </row>
    <row r="318" spans="2:45" x14ac:dyDescent="0.25">
      <c r="B318" s="182" t="s">
        <v>666</v>
      </c>
      <c r="C318" t="s">
        <v>420</v>
      </c>
      <c r="D318" s="205">
        <v>43439</v>
      </c>
      <c r="E318">
        <v>35</v>
      </c>
      <c r="F318">
        <v>0</v>
      </c>
      <c r="G318" t="s">
        <v>273</v>
      </c>
      <c r="H318" s="203">
        <f t="shared" ref="H318:H320" si="830">ROUNDUP((($C$9/5)*E318)+($G$4*(E318/$G$5))+IF(E318=20,$G$10,(IF(E318=25,$G$9,(IF(E318=35,$G$6,IF(E318=39,$G$7,(IF(E318=41,$G$8,($G$6*(E318/$G$5)))))))))),0)</f>
        <v>1607</v>
      </c>
      <c r="I318" s="6">
        <f t="shared" ref="I318:I320" si="831">F318*2</f>
        <v>0</v>
      </c>
      <c r="J318" s="200">
        <f>'Synthèse Horaires'!$C$5</f>
        <v>46023</v>
      </c>
      <c r="K318" s="6" t="str">
        <f t="shared" ref="K318:K320" si="832">IF(N(D318)&lt;N($G$3),"oui","non")</f>
        <v>oui</v>
      </c>
      <c r="L318" s="6" t="str">
        <f t="shared" ref="L318:L320" si="833">IF(N(D318)&gt;N($G$3),"oui","non")</f>
        <v>non</v>
      </c>
      <c r="M318" s="204">
        <f t="shared" ref="M318:M320" si="834">IF(G318="Employé",(IF(K318="oui",H318,"non")),"non")</f>
        <v>1607</v>
      </c>
      <c r="N318" s="204">
        <f t="shared" ref="N318:N320" si="835">IF(G318="Employé",(IF(L318="oui",(H318*(($G$3+365)-D318+1)/365),0)))</f>
        <v>0</v>
      </c>
      <c r="O318" s="204" t="str">
        <f t="shared" ref="O318:O320" si="836">IF(G318="Cadre",(IF(K318="oui",F318,0)),"non")</f>
        <v>non</v>
      </c>
      <c r="P318" s="6" t="b">
        <f t="shared" ref="P318:P320" si="837">IF(G318="Cadre",(IF(L318="oui",((((($G$3+365)-D318+1)*F318)/365)),0)))</f>
        <v>0</v>
      </c>
      <c r="Q318" s="6">
        <f t="shared" ref="Q318:Q320" si="838">IF(O318="non",0,O318*2)</f>
        <v>0</v>
      </c>
      <c r="R318" s="6">
        <f t="shared" ref="R318:R320" si="839">IF(ISERROR(P318),0,P318*2)</f>
        <v>0</v>
      </c>
      <c r="T318" s="205" t="s">
        <v>197</v>
      </c>
      <c r="U318">
        <f t="shared" ref="U318:U320" ca="1" si="840">TODAY()-D318</f>
        <v>2742</v>
      </c>
      <c r="V318">
        <f t="shared" ref="V318:V320" ca="1" si="841">IF(G318="Employé",IF(U318&gt;9125,3,IF(U318&gt;7300,2,IF(U318&gt;5475,1,))))</f>
        <v>0</v>
      </c>
      <c r="W318" t="b">
        <f t="shared" ref="W318:W320" si="842">IF(G318="Cadre",IF(U318&gt;3650,2,IF(U318&gt;1825,1,)))</f>
        <v>0</v>
      </c>
      <c r="X318" s="6" t="str">
        <f t="shared" ref="X318:X320" si="843">IF(G318="Employé",IF(E318&lt;$G$5,E318,"non"),"non")</f>
        <v>non</v>
      </c>
      <c r="Y318">
        <f t="shared" ref="Y318:Y320" si="844">IF(AND(G318="Employé",N318=0),M318,N318)</f>
        <v>1607</v>
      </c>
      <c r="Z318" t="b">
        <f t="shared" ref="Z318:Z320" si="845">IF(AND(G318="Cadre",P318=0),O318,P318)</f>
        <v>0</v>
      </c>
      <c r="AA318" s="206">
        <f t="shared" ref="AA318:AA320" si="846">(IF(Y318=FALSE(),(Z318+AB318),(AD318)))+AF318+AH318+AI318</f>
        <v>1817</v>
      </c>
      <c r="AB318">
        <f t="shared" ref="AB318:AB320" si="847">IF(AND(L318="oui",G318="Cadre"),(30*(Z318/F318)),0)</f>
        <v>0</v>
      </c>
      <c r="AC318">
        <f t="shared" ref="AC318:AC320" si="848">IF(AND(G318="Employé",L318="oui"),(30*(Y318/H318)),0)</f>
        <v>0</v>
      </c>
      <c r="AD318">
        <f t="shared" ref="AD318:AD320" si="849">Y318+(AC318*(E318/6))</f>
        <v>1607</v>
      </c>
      <c r="AE318">
        <f t="shared" si="364"/>
        <v>30</v>
      </c>
      <c r="AF318">
        <f t="shared" ref="AF318:AF320" si="850">IF(AND(G318="Employé",L318="oui"),0,(AE318*(E318/5)))</f>
        <v>210</v>
      </c>
      <c r="AG318">
        <f t="shared" si="366"/>
        <v>30</v>
      </c>
      <c r="AH318">
        <f t="shared" ref="AH318:AH320" si="851">IF(G318="Cadre",AG318,0)</f>
        <v>0</v>
      </c>
      <c r="AK318" s="205">
        <v>33232</v>
      </c>
      <c r="AL318" t="s">
        <v>496</v>
      </c>
    </row>
    <row r="319" spans="2:45" x14ac:dyDescent="0.25">
      <c r="B319" s="292">
        <v>1100000023</v>
      </c>
      <c r="C319" s="293" t="s">
        <v>455</v>
      </c>
      <c r="D319" s="205">
        <v>43437</v>
      </c>
      <c r="E319">
        <v>21</v>
      </c>
      <c r="F319">
        <v>0</v>
      </c>
      <c r="G319" t="s">
        <v>273</v>
      </c>
      <c r="H319" s="203">
        <f t="shared" si="830"/>
        <v>965</v>
      </c>
      <c r="I319" s="6">
        <f t="shared" si="831"/>
        <v>0</v>
      </c>
      <c r="J319" s="200">
        <f>'Synthèse Horaires'!$C$5</f>
        <v>46023</v>
      </c>
      <c r="K319" s="6" t="str">
        <f t="shared" si="832"/>
        <v>oui</v>
      </c>
      <c r="L319" s="6" t="str">
        <f t="shared" si="833"/>
        <v>non</v>
      </c>
      <c r="M319" s="204">
        <f t="shared" si="834"/>
        <v>965</v>
      </c>
      <c r="N319" s="204">
        <f t="shared" si="835"/>
        <v>0</v>
      </c>
      <c r="O319" s="204" t="str">
        <f t="shared" si="836"/>
        <v>non</v>
      </c>
      <c r="P319" s="6" t="b">
        <f t="shared" si="837"/>
        <v>0</v>
      </c>
      <c r="Q319" s="6">
        <f t="shared" si="838"/>
        <v>0</v>
      </c>
      <c r="R319" s="6">
        <f t="shared" si="839"/>
        <v>0</v>
      </c>
      <c r="T319" s="205" t="s">
        <v>190</v>
      </c>
      <c r="U319">
        <f t="shared" ca="1" si="840"/>
        <v>2744</v>
      </c>
      <c r="V319">
        <f t="shared" ca="1" si="841"/>
        <v>0</v>
      </c>
      <c r="W319" t="b">
        <f t="shared" si="842"/>
        <v>0</v>
      </c>
      <c r="X319" s="6">
        <f t="shared" si="843"/>
        <v>21</v>
      </c>
      <c r="Y319">
        <f t="shared" si="844"/>
        <v>965</v>
      </c>
      <c r="Z319" t="b">
        <f t="shared" si="845"/>
        <v>0</v>
      </c>
      <c r="AA319" s="206">
        <f t="shared" si="846"/>
        <v>965</v>
      </c>
      <c r="AB319">
        <f t="shared" si="847"/>
        <v>0</v>
      </c>
      <c r="AC319">
        <f t="shared" si="848"/>
        <v>0</v>
      </c>
      <c r="AD319">
        <f t="shared" si="849"/>
        <v>965</v>
      </c>
      <c r="AE319">
        <f t="shared" si="364"/>
        <v>0</v>
      </c>
      <c r="AF319">
        <f t="shared" si="850"/>
        <v>0</v>
      </c>
      <c r="AG319">
        <f t="shared" si="366"/>
        <v>0</v>
      </c>
      <c r="AH319">
        <f t="shared" si="851"/>
        <v>0</v>
      </c>
      <c r="AK319" s="205">
        <v>32971</v>
      </c>
      <c r="AL319" t="s">
        <v>514</v>
      </c>
    </row>
    <row r="320" spans="2:45" x14ac:dyDescent="0.25">
      <c r="B320" s="182" t="s">
        <v>666</v>
      </c>
      <c r="C320" t="s">
        <v>456</v>
      </c>
      <c r="D320" s="205">
        <v>43437</v>
      </c>
      <c r="E320">
        <v>35</v>
      </c>
      <c r="F320">
        <v>0</v>
      </c>
      <c r="G320" t="s">
        <v>273</v>
      </c>
      <c r="H320" s="203">
        <f t="shared" si="830"/>
        <v>1607</v>
      </c>
      <c r="I320" s="6">
        <f t="shared" si="831"/>
        <v>0</v>
      </c>
      <c r="J320" s="200">
        <f>'Synthèse Horaires'!$C$5</f>
        <v>46023</v>
      </c>
      <c r="K320" s="6" t="str">
        <f t="shared" si="832"/>
        <v>oui</v>
      </c>
      <c r="L320" s="6" t="str">
        <f t="shared" si="833"/>
        <v>non</v>
      </c>
      <c r="M320" s="204">
        <f t="shared" si="834"/>
        <v>1607</v>
      </c>
      <c r="N320" s="204">
        <f t="shared" si="835"/>
        <v>0</v>
      </c>
      <c r="O320" s="204" t="str">
        <f t="shared" si="836"/>
        <v>non</v>
      </c>
      <c r="P320" s="6" t="b">
        <f t="shared" si="837"/>
        <v>0</v>
      </c>
      <c r="Q320" s="6">
        <f t="shared" si="838"/>
        <v>0</v>
      </c>
      <c r="R320" s="6">
        <f t="shared" si="839"/>
        <v>0</v>
      </c>
      <c r="T320" s="205" t="s">
        <v>186</v>
      </c>
      <c r="U320">
        <f t="shared" ca="1" si="840"/>
        <v>2744</v>
      </c>
      <c r="V320">
        <f t="shared" ca="1" si="841"/>
        <v>0</v>
      </c>
      <c r="W320" t="b">
        <f t="shared" si="842"/>
        <v>0</v>
      </c>
      <c r="X320" s="6" t="str">
        <f t="shared" si="843"/>
        <v>non</v>
      </c>
      <c r="Y320">
        <f t="shared" si="844"/>
        <v>1607</v>
      </c>
      <c r="Z320" t="b">
        <f t="shared" si="845"/>
        <v>0</v>
      </c>
      <c r="AA320" s="206">
        <f t="shared" si="846"/>
        <v>1817</v>
      </c>
      <c r="AB320">
        <f t="shared" si="847"/>
        <v>0</v>
      </c>
      <c r="AC320">
        <f t="shared" si="848"/>
        <v>0</v>
      </c>
      <c r="AD320">
        <f t="shared" si="849"/>
        <v>1607</v>
      </c>
      <c r="AE320">
        <f t="shared" si="364"/>
        <v>30</v>
      </c>
      <c r="AF320">
        <f t="shared" si="850"/>
        <v>210</v>
      </c>
      <c r="AG320">
        <f t="shared" si="366"/>
        <v>30</v>
      </c>
      <c r="AH320">
        <f t="shared" si="851"/>
        <v>0</v>
      </c>
      <c r="AK320" s="205">
        <v>28220</v>
      </c>
      <c r="AL320" t="s">
        <v>496</v>
      </c>
    </row>
    <row r="321" spans="2:38" x14ac:dyDescent="0.25">
      <c r="B321" s="259" t="s">
        <v>666</v>
      </c>
      <c r="C321" s="260" t="s">
        <v>682</v>
      </c>
      <c r="D321" s="205">
        <v>45173</v>
      </c>
      <c r="E321">
        <v>35</v>
      </c>
      <c r="F321">
        <v>0</v>
      </c>
      <c r="G321" t="s">
        <v>273</v>
      </c>
      <c r="H321" s="203">
        <f t="shared" ref="H321" si="852">ROUNDUP((($C$9/5)*E321)+($G$4*(E321/$G$5))+IF(E321=20,$G$10,(IF(E321=25,$G$9,(IF(E321=35,$G$6,IF(E321=39,$G$7,(IF(E321=41,$G$8,($G$6*(E321/$G$5)))))))))),0)</f>
        <v>1607</v>
      </c>
      <c r="I321" s="6">
        <f t="shared" ref="I321" si="853">F321*2</f>
        <v>0</v>
      </c>
      <c r="J321" s="200">
        <f>'Synthèse Horaires'!$C$5</f>
        <v>46023</v>
      </c>
      <c r="K321" s="6" t="str">
        <f t="shared" ref="K321" si="854">IF(N(D321)&lt;N($G$3),"oui","non")</f>
        <v>oui</v>
      </c>
      <c r="L321" s="6" t="str">
        <f t="shared" ref="L321" si="855">IF(N(D321)&gt;N($G$3),"oui","non")</f>
        <v>non</v>
      </c>
      <c r="M321" s="204">
        <f t="shared" ref="M321" si="856">IF(G321="Employé",(IF(K321="oui",H321,"non")),"non")</f>
        <v>1607</v>
      </c>
      <c r="N321" s="204">
        <f t="shared" ref="N321" si="857">IF(G321="Employé",(IF(L321="oui",(H321*(($G$3+365)-D321+1)/365),0)))</f>
        <v>0</v>
      </c>
      <c r="O321" s="204" t="str">
        <f t="shared" ref="O321" si="858">IF(G321="Cadre",(IF(K321="oui",F321,0)),"non")</f>
        <v>non</v>
      </c>
      <c r="P321" s="6" t="b">
        <f t="shared" ref="P321" si="859">IF(G321="Cadre",(IF(L321="oui",((((($G$3+365)-D321+1)*F321)/365)),0)))</f>
        <v>0</v>
      </c>
      <c r="Q321" s="6">
        <f t="shared" ref="Q321" si="860">IF(O321="non",0,O321*2)</f>
        <v>0</v>
      </c>
      <c r="R321" s="6">
        <f t="shared" ref="R321" si="861">IF(ISERROR(P321),0,P321*2)</f>
        <v>0</v>
      </c>
      <c r="T321" s="205" t="s">
        <v>196</v>
      </c>
      <c r="U321">
        <f t="shared" ref="U321" ca="1" si="862">TODAY()-D321</f>
        <v>1008</v>
      </c>
      <c r="V321">
        <f t="shared" ref="V321" ca="1" si="863">IF(G321="Employé",IF(U321&gt;9125,3,IF(U321&gt;7300,2,IF(U321&gt;5475,1,))))</f>
        <v>0</v>
      </c>
      <c r="W321" t="b">
        <f t="shared" ref="W321" si="864">IF(G321="Cadre",IF(U321&gt;3650,2,IF(U321&gt;1825,1,)))</f>
        <v>0</v>
      </c>
      <c r="X321" s="6" t="str">
        <f t="shared" ref="X321" si="865">IF(G321="Employé",IF(E321&lt;$G$5,E321,"non"),"non")</f>
        <v>non</v>
      </c>
      <c r="Y321">
        <f t="shared" ref="Y321" si="866">IF(AND(G321="Employé",N321=0),M321,N321)</f>
        <v>1607</v>
      </c>
      <c r="Z321" t="b">
        <f t="shared" ref="Z321" si="867">IF(AND(G321="Cadre",P321=0),O321,P321)</f>
        <v>0</v>
      </c>
      <c r="AA321" s="206">
        <f t="shared" ref="AA321" si="868">(IF(Y321=FALSE(),(Z321+AB321),(AD321)))+AF321+AH321+AI321</f>
        <v>1817</v>
      </c>
      <c r="AB321">
        <f t="shared" ref="AB321" si="869">IF(AND(L321="oui",G321="Cadre"),(30*(Z321/F321)),0)</f>
        <v>0</v>
      </c>
      <c r="AC321">
        <f t="shared" ref="AC321" si="870">IF(AND(G321="Employé",L321="oui"),(30*(Y321/H321)),0)</f>
        <v>0</v>
      </c>
      <c r="AD321">
        <f t="shared" ref="AD321" si="871">Y321+(AC321*(E321/6))</f>
        <v>1607</v>
      </c>
      <c r="AE321">
        <f t="shared" si="364"/>
        <v>30</v>
      </c>
      <c r="AF321">
        <f t="shared" ref="AF321" si="872">IF(AND(G321="Employé",L321="oui"),0,(AE321*(E321/5)))</f>
        <v>210</v>
      </c>
      <c r="AG321">
        <f t="shared" si="366"/>
        <v>30</v>
      </c>
      <c r="AH321">
        <f t="shared" ref="AH321" si="873">IF(G321="Cadre",AG321,0)</f>
        <v>0</v>
      </c>
      <c r="AK321" s="205">
        <v>37565</v>
      </c>
      <c r="AL321" t="s">
        <v>532</v>
      </c>
    </row>
    <row r="322" spans="2:38" x14ac:dyDescent="0.25">
      <c r="B322" s="182">
        <v>5000000003</v>
      </c>
      <c r="C322" t="s">
        <v>459</v>
      </c>
      <c r="D322" s="205">
        <v>43410</v>
      </c>
      <c r="E322">
        <v>35</v>
      </c>
      <c r="F322">
        <v>0</v>
      </c>
      <c r="G322" t="s">
        <v>273</v>
      </c>
      <c r="H322" s="203">
        <f t="shared" ref="H322:H328" si="874">ROUNDUP((($C$9/5)*E322)+($G$4*(E322/$G$5))+IF(E322=20,$G$10,(IF(E322=25,$G$9,(IF(E322=35,$G$6,IF(E322=39,$G$7,(IF(E322=41,$G$8,($G$6*(E322/$G$5)))))))))),0)</f>
        <v>1607</v>
      </c>
      <c r="I322" s="6">
        <f t="shared" ref="I322:I328" si="875">F322*2</f>
        <v>0</v>
      </c>
      <c r="J322" s="200">
        <f>'Synthèse Horaires'!$C$5</f>
        <v>46023</v>
      </c>
      <c r="K322" s="6" t="str">
        <f t="shared" ref="K322:K328" si="876">IF(N(D322)&lt;N($G$3),"oui","non")</f>
        <v>oui</v>
      </c>
      <c r="L322" s="6" t="str">
        <f t="shared" ref="L322:L328" si="877">IF(N(D322)&gt;N($G$3),"oui","non")</f>
        <v>non</v>
      </c>
      <c r="M322" s="204">
        <f t="shared" ref="M322:M328" si="878">IF(G322="Employé",(IF(K322="oui",H322,"non")),"non")</f>
        <v>1607</v>
      </c>
      <c r="N322" s="204">
        <f t="shared" ref="N322:N328" si="879">IF(G322="Employé",(IF(L322="oui",(H322*(($G$3+365)-D322+1)/365),0)))</f>
        <v>0</v>
      </c>
      <c r="O322" s="204" t="str">
        <f t="shared" ref="O322:O328" si="880">IF(G322="Cadre",(IF(K322="oui",F322,0)),"non")</f>
        <v>non</v>
      </c>
      <c r="P322" s="6" t="b">
        <f t="shared" ref="P322:P328" si="881">IF(G322="Cadre",(IF(L322="oui",((((($G$3+365)-D322+1)*F322)/365)),0)))</f>
        <v>0</v>
      </c>
      <c r="Q322" s="6">
        <f t="shared" ref="Q322:Q328" si="882">IF(O322="non",0,O322*2)</f>
        <v>0</v>
      </c>
      <c r="R322" s="6">
        <f t="shared" ref="R322:R328" si="883">IF(ISERROR(P322),0,P322*2)</f>
        <v>0</v>
      </c>
      <c r="T322" s="205" t="s">
        <v>458</v>
      </c>
      <c r="U322">
        <f t="shared" ref="U322:U328" ca="1" si="884">TODAY()-D322</f>
        <v>2771</v>
      </c>
      <c r="V322">
        <f t="shared" ref="V322:V328" ca="1" si="885">IF(G322="Employé",IF(U322&gt;9125,3,IF(U322&gt;7300,2,IF(U322&gt;5475,1,))))</f>
        <v>0</v>
      </c>
      <c r="W322" t="b">
        <f t="shared" ref="W322:W328" si="886">IF(G322="Cadre",IF(U322&gt;3650,2,IF(U322&gt;1825,1,)))</f>
        <v>0</v>
      </c>
      <c r="X322" s="6" t="str">
        <f t="shared" ref="X322:X328" si="887">IF(G322="Employé",IF(E322&lt;$G$5,E322,"non"),"non")</f>
        <v>non</v>
      </c>
      <c r="Y322">
        <f t="shared" ref="Y322:Y328" si="888">IF(AND(G322="Employé",N322=0),M322,N322)</f>
        <v>1607</v>
      </c>
      <c r="Z322" t="b">
        <f t="shared" ref="Z322:Z328" si="889">IF(AND(G322="Cadre",P322=0),O322,P322)</f>
        <v>0</v>
      </c>
      <c r="AA322" s="206">
        <f t="shared" ref="AA322:AA328" si="890">(IF(Y322=FALSE(),(Z322+AB322),(AD322)))+AF322+AH322+AI322</f>
        <v>1607</v>
      </c>
      <c r="AB322">
        <f t="shared" ref="AB322:AB328" si="891">IF(AND(L322="oui",G322="Cadre"),(30*(Z322/F322)),0)</f>
        <v>0</v>
      </c>
      <c r="AC322">
        <f t="shared" ref="AC322:AC328" si="892">IF(AND(G322="Employé",L322="oui"),(30*(Y322/H322)),0)</f>
        <v>0</v>
      </c>
      <c r="AD322">
        <f t="shared" ref="AD322:AD328" si="893">Y322+(AC322*(E322/6))</f>
        <v>1607</v>
      </c>
      <c r="AE322">
        <f t="shared" si="364"/>
        <v>0</v>
      </c>
      <c r="AF322">
        <f t="shared" ref="AF322:AF328" si="894">IF(AND(G322="Employé",L322="oui"),0,(AE322*(E322/5)))</f>
        <v>0</v>
      </c>
      <c r="AG322">
        <f t="shared" si="366"/>
        <v>0</v>
      </c>
      <c r="AH322">
        <f t="shared" ref="AH322:AH328" si="895">IF(G322="Cadre",AG322,0)</f>
        <v>0</v>
      </c>
      <c r="AK322" s="205">
        <v>35423</v>
      </c>
      <c r="AL322" t="s">
        <v>594</v>
      </c>
    </row>
    <row r="323" spans="2:38" x14ac:dyDescent="0.25">
      <c r="B323" s="182">
        <v>5000000005</v>
      </c>
      <c r="C323" t="s">
        <v>460</v>
      </c>
      <c r="D323" s="205">
        <v>43410</v>
      </c>
      <c r="F323">
        <v>218</v>
      </c>
      <c r="G323" t="s">
        <v>102</v>
      </c>
      <c r="H323" s="203">
        <f t="shared" si="874"/>
        <v>0</v>
      </c>
      <c r="I323" s="6">
        <f t="shared" si="875"/>
        <v>436</v>
      </c>
      <c r="J323" s="200">
        <f>'Synthèse Horaires'!$C$5</f>
        <v>46023</v>
      </c>
      <c r="K323" s="6" t="str">
        <f t="shared" si="876"/>
        <v>oui</v>
      </c>
      <c r="L323" s="6" t="str">
        <f t="shared" si="877"/>
        <v>non</v>
      </c>
      <c r="M323" s="204" t="str">
        <f t="shared" si="878"/>
        <v>non</v>
      </c>
      <c r="N323" s="204" t="b">
        <f t="shared" si="879"/>
        <v>0</v>
      </c>
      <c r="O323" s="204">
        <f t="shared" si="880"/>
        <v>218</v>
      </c>
      <c r="P323" s="6">
        <f t="shared" si="881"/>
        <v>0</v>
      </c>
      <c r="Q323" s="6">
        <f t="shared" si="882"/>
        <v>436</v>
      </c>
      <c r="R323" s="6">
        <f t="shared" si="883"/>
        <v>0</v>
      </c>
      <c r="T323" s="205" t="s">
        <v>458</v>
      </c>
      <c r="U323">
        <f t="shared" ca="1" si="884"/>
        <v>2771</v>
      </c>
      <c r="V323" t="b">
        <f t="shared" si="885"/>
        <v>0</v>
      </c>
      <c r="W323">
        <f t="shared" ca="1" si="886"/>
        <v>1</v>
      </c>
      <c r="X323" s="6" t="str">
        <f t="shared" si="887"/>
        <v>non</v>
      </c>
      <c r="Y323" t="b">
        <f t="shared" si="888"/>
        <v>0</v>
      </c>
      <c r="Z323">
        <f t="shared" si="889"/>
        <v>218</v>
      </c>
      <c r="AA323" s="206">
        <f t="shared" si="890"/>
        <v>218</v>
      </c>
      <c r="AB323">
        <f t="shared" si="891"/>
        <v>0</v>
      </c>
      <c r="AC323">
        <f t="shared" si="892"/>
        <v>0</v>
      </c>
      <c r="AD323">
        <f t="shared" si="893"/>
        <v>0</v>
      </c>
      <c r="AE323">
        <f t="shared" si="364"/>
        <v>0</v>
      </c>
      <c r="AF323">
        <f t="shared" si="894"/>
        <v>0</v>
      </c>
      <c r="AG323">
        <f t="shared" si="366"/>
        <v>0</v>
      </c>
      <c r="AH323">
        <f t="shared" si="895"/>
        <v>0</v>
      </c>
      <c r="AK323" s="205">
        <v>31000</v>
      </c>
      <c r="AL323" t="s">
        <v>495</v>
      </c>
    </row>
    <row r="324" spans="2:38" x14ac:dyDescent="0.25">
      <c r="B324" s="268" t="s">
        <v>666</v>
      </c>
      <c r="C324" s="269" t="s">
        <v>461</v>
      </c>
      <c r="D324" s="205">
        <v>43409</v>
      </c>
      <c r="E324">
        <v>0</v>
      </c>
      <c r="F324">
        <v>218</v>
      </c>
      <c r="G324" t="s">
        <v>102</v>
      </c>
      <c r="H324" s="203">
        <f t="shared" si="874"/>
        <v>0</v>
      </c>
      <c r="I324" s="6">
        <f t="shared" si="875"/>
        <v>436</v>
      </c>
      <c r="J324" s="200">
        <f>'Synthèse Horaires'!$C$5</f>
        <v>46023</v>
      </c>
      <c r="K324" s="6" t="str">
        <f t="shared" si="876"/>
        <v>oui</v>
      </c>
      <c r="L324" s="6" t="str">
        <f t="shared" si="877"/>
        <v>non</v>
      </c>
      <c r="M324" s="204" t="str">
        <f t="shared" si="878"/>
        <v>non</v>
      </c>
      <c r="N324" s="204" t="b">
        <f t="shared" si="879"/>
        <v>0</v>
      </c>
      <c r="O324" s="204">
        <f t="shared" si="880"/>
        <v>218</v>
      </c>
      <c r="P324" s="6">
        <f t="shared" si="881"/>
        <v>0</v>
      </c>
      <c r="Q324" s="6">
        <f t="shared" si="882"/>
        <v>436</v>
      </c>
      <c r="R324" s="6">
        <f t="shared" si="883"/>
        <v>0</v>
      </c>
      <c r="T324" s="205" t="s">
        <v>458</v>
      </c>
      <c r="U324">
        <f t="shared" ca="1" si="884"/>
        <v>2772</v>
      </c>
      <c r="V324" t="b">
        <f t="shared" si="885"/>
        <v>0</v>
      </c>
      <c r="W324">
        <f t="shared" ca="1" si="886"/>
        <v>1</v>
      </c>
      <c r="X324" s="6" t="str">
        <f t="shared" si="887"/>
        <v>non</v>
      </c>
      <c r="Y324" t="b">
        <f t="shared" si="888"/>
        <v>0</v>
      </c>
      <c r="Z324">
        <f t="shared" si="889"/>
        <v>218</v>
      </c>
      <c r="AA324" s="206">
        <f t="shared" si="890"/>
        <v>248</v>
      </c>
      <c r="AB324">
        <f t="shared" si="891"/>
        <v>0</v>
      </c>
      <c r="AC324">
        <f t="shared" si="892"/>
        <v>0</v>
      </c>
      <c r="AD324">
        <f t="shared" si="893"/>
        <v>0</v>
      </c>
      <c r="AE324">
        <f t="shared" si="364"/>
        <v>30</v>
      </c>
      <c r="AF324">
        <f t="shared" si="894"/>
        <v>0</v>
      </c>
      <c r="AG324">
        <f t="shared" si="366"/>
        <v>30</v>
      </c>
      <c r="AH324">
        <f t="shared" si="895"/>
        <v>30</v>
      </c>
      <c r="AK324" s="205">
        <v>23441</v>
      </c>
      <c r="AL324" t="s">
        <v>584</v>
      </c>
    </row>
    <row r="325" spans="2:38" x14ac:dyDescent="0.25">
      <c r="B325" s="182" t="s">
        <v>666</v>
      </c>
      <c r="C325" t="s">
        <v>462</v>
      </c>
      <c r="D325" s="205">
        <v>43410</v>
      </c>
      <c r="E325">
        <v>24</v>
      </c>
      <c r="F325">
        <v>0</v>
      </c>
      <c r="G325" t="s">
        <v>273</v>
      </c>
      <c r="H325" s="203">
        <f t="shared" si="874"/>
        <v>1102</v>
      </c>
      <c r="I325" s="6">
        <f t="shared" si="875"/>
        <v>0</v>
      </c>
      <c r="J325" s="200">
        <f>'Synthèse Horaires'!$C$5</f>
        <v>46023</v>
      </c>
      <c r="K325" s="6" t="str">
        <f t="shared" si="876"/>
        <v>oui</v>
      </c>
      <c r="L325" s="6" t="str">
        <f t="shared" si="877"/>
        <v>non</v>
      </c>
      <c r="M325" s="204">
        <f t="shared" si="878"/>
        <v>1102</v>
      </c>
      <c r="N325" s="204">
        <f t="shared" si="879"/>
        <v>0</v>
      </c>
      <c r="O325" s="204" t="str">
        <f t="shared" si="880"/>
        <v>non</v>
      </c>
      <c r="P325" s="6" t="b">
        <f t="shared" si="881"/>
        <v>0</v>
      </c>
      <c r="Q325" s="6">
        <f t="shared" si="882"/>
        <v>0</v>
      </c>
      <c r="R325" s="6">
        <f t="shared" si="883"/>
        <v>0</v>
      </c>
      <c r="T325" s="205" t="s">
        <v>458</v>
      </c>
      <c r="U325">
        <f t="shared" ca="1" si="884"/>
        <v>2771</v>
      </c>
      <c r="V325">
        <f t="shared" ca="1" si="885"/>
        <v>0</v>
      </c>
      <c r="W325" t="b">
        <f t="shared" si="886"/>
        <v>0</v>
      </c>
      <c r="X325" s="6">
        <f t="shared" si="887"/>
        <v>24</v>
      </c>
      <c r="Y325">
        <f t="shared" si="888"/>
        <v>1102</v>
      </c>
      <c r="Z325" t="b">
        <f t="shared" si="889"/>
        <v>0</v>
      </c>
      <c r="AA325" s="206">
        <f t="shared" si="890"/>
        <v>1246</v>
      </c>
      <c r="AB325">
        <f t="shared" si="891"/>
        <v>0</v>
      </c>
      <c r="AC325">
        <f t="shared" si="892"/>
        <v>0</v>
      </c>
      <c r="AD325">
        <f t="shared" si="893"/>
        <v>1102</v>
      </c>
      <c r="AE325">
        <f t="shared" si="364"/>
        <v>30</v>
      </c>
      <c r="AF325">
        <f t="shared" si="894"/>
        <v>144</v>
      </c>
      <c r="AG325">
        <f t="shared" si="366"/>
        <v>30</v>
      </c>
      <c r="AH325">
        <f t="shared" si="895"/>
        <v>0</v>
      </c>
      <c r="AK325" s="205">
        <v>0</v>
      </c>
      <c r="AL325">
        <v>0</v>
      </c>
    </row>
    <row r="326" spans="2:38" x14ac:dyDescent="0.25">
      <c r="B326" s="182">
        <v>5000000002</v>
      </c>
      <c r="C326" t="s">
        <v>463</v>
      </c>
      <c r="D326" s="205">
        <v>43410</v>
      </c>
      <c r="E326">
        <v>0</v>
      </c>
      <c r="F326">
        <v>218</v>
      </c>
      <c r="G326" t="s">
        <v>102</v>
      </c>
      <c r="H326" s="203">
        <f t="shared" si="874"/>
        <v>0</v>
      </c>
      <c r="I326" s="6">
        <f t="shared" si="875"/>
        <v>436</v>
      </c>
      <c r="J326" s="200">
        <f>'Synthèse Horaires'!$C$5</f>
        <v>46023</v>
      </c>
      <c r="K326" s="6" t="str">
        <f t="shared" si="876"/>
        <v>oui</v>
      </c>
      <c r="L326" s="6" t="str">
        <f t="shared" si="877"/>
        <v>non</v>
      </c>
      <c r="M326" s="204" t="str">
        <f t="shared" si="878"/>
        <v>non</v>
      </c>
      <c r="N326" s="204" t="b">
        <f t="shared" si="879"/>
        <v>0</v>
      </c>
      <c r="O326" s="204">
        <f t="shared" si="880"/>
        <v>218</v>
      </c>
      <c r="P326" s="6">
        <f t="shared" si="881"/>
        <v>0</v>
      </c>
      <c r="Q326" s="6">
        <f t="shared" si="882"/>
        <v>436</v>
      </c>
      <c r="R326" s="6">
        <f t="shared" si="883"/>
        <v>0</v>
      </c>
      <c r="T326" s="205" t="s">
        <v>458</v>
      </c>
      <c r="U326">
        <f t="shared" ca="1" si="884"/>
        <v>2771</v>
      </c>
      <c r="V326" t="b">
        <f t="shared" si="885"/>
        <v>0</v>
      </c>
      <c r="W326">
        <f t="shared" ca="1" si="886"/>
        <v>1</v>
      </c>
      <c r="X326" s="6" t="str">
        <f t="shared" si="887"/>
        <v>non</v>
      </c>
      <c r="Y326" t="b">
        <f t="shared" si="888"/>
        <v>0</v>
      </c>
      <c r="Z326">
        <f t="shared" si="889"/>
        <v>218</v>
      </c>
      <c r="AA326" s="206">
        <f t="shared" si="890"/>
        <v>219</v>
      </c>
      <c r="AB326">
        <f t="shared" si="891"/>
        <v>0</v>
      </c>
      <c r="AC326">
        <f t="shared" si="892"/>
        <v>0</v>
      </c>
      <c r="AD326">
        <f t="shared" si="893"/>
        <v>0</v>
      </c>
      <c r="AE326">
        <f t="shared" si="364"/>
        <v>1</v>
      </c>
      <c r="AF326">
        <f t="shared" si="894"/>
        <v>0</v>
      </c>
      <c r="AG326">
        <f t="shared" si="366"/>
        <v>1</v>
      </c>
      <c r="AH326">
        <f t="shared" si="895"/>
        <v>1</v>
      </c>
      <c r="AK326" s="205">
        <v>35669</v>
      </c>
      <c r="AL326" t="s">
        <v>575</v>
      </c>
    </row>
    <row r="327" spans="2:38" x14ac:dyDescent="0.25">
      <c r="B327" s="182">
        <v>5999999999</v>
      </c>
      <c r="C327" s="2" t="s">
        <v>482</v>
      </c>
      <c r="D327" s="254">
        <f ca="1">TODAY()</f>
        <v>46181</v>
      </c>
      <c r="E327">
        <v>35</v>
      </c>
      <c r="F327">
        <v>0</v>
      </c>
      <c r="G327" t="s">
        <v>273</v>
      </c>
      <c r="H327" s="203">
        <f t="shared" si="874"/>
        <v>1607</v>
      </c>
      <c r="I327" s="6">
        <f t="shared" si="875"/>
        <v>0</v>
      </c>
      <c r="J327" s="200">
        <f>'Synthèse Horaires'!$C$5</f>
        <v>46023</v>
      </c>
      <c r="K327" s="6" t="str">
        <f t="shared" ca="1" si="876"/>
        <v>non</v>
      </c>
      <c r="L327" s="6" t="str">
        <f t="shared" ca="1" si="877"/>
        <v>oui</v>
      </c>
      <c r="M327" s="204" t="str">
        <f t="shared" ca="1" si="878"/>
        <v>non</v>
      </c>
      <c r="N327" s="204">
        <f t="shared" ca="1" si="879"/>
        <v>1576.1808219178083</v>
      </c>
      <c r="O327" s="204" t="str">
        <f t="shared" si="880"/>
        <v>non</v>
      </c>
      <c r="P327" s="6" t="b">
        <f t="shared" si="881"/>
        <v>0</v>
      </c>
      <c r="Q327" s="6">
        <f t="shared" si="882"/>
        <v>0</v>
      </c>
      <c r="R327" s="6">
        <f t="shared" si="883"/>
        <v>0</v>
      </c>
      <c r="T327" s="205" t="s">
        <v>458</v>
      </c>
      <c r="U327">
        <f t="shared" ca="1" si="884"/>
        <v>0</v>
      </c>
      <c r="V327">
        <f t="shared" ca="1" si="885"/>
        <v>0</v>
      </c>
      <c r="W327" t="b">
        <f t="shared" si="886"/>
        <v>0</v>
      </c>
      <c r="X327" s="6" t="str">
        <f t="shared" si="887"/>
        <v>non</v>
      </c>
      <c r="Y327">
        <f t="shared" ca="1" si="888"/>
        <v>1576.1808219178083</v>
      </c>
      <c r="Z327" t="b">
        <f t="shared" si="889"/>
        <v>0</v>
      </c>
      <c r="AA327" s="206">
        <f t="shared" ca="1" si="890"/>
        <v>1747.8246575342466</v>
      </c>
      <c r="AB327">
        <f t="shared" ca="1" si="891"/>
        <v>0</v>
      </c>
      <c r="AC327">
        <f t="shared" ca="1" si="892"/>
        <v>29.424657534246577</v>
      </c>
      <c r="AD327">
        <f t="shared" ca="1" si="893"/>
        <v>1747.8246575342466</v>
      </c>
      <c r="AE327">
        <f t="shared" si="364"/>
        <v>0</v>
      </c>
      <c r="AF327">
        <f t="shared" ca="1" si="894"/>
        <v>0</v>
      </c>
      <c r="AG327">
        <f t="shared" si="366"/>
        <v>0</v>
      </c>
      <c r="AH327">
        <f t="shared" si="895"/>
        <v>0</v>
      </c>
      <c r="AK327" s="205">
        <v>0</v>
      </c>
      <c r="AL327">
        <v>0</v>
      </c>
    </row>
    <row r="328" spans="2:38" x14ac:dyDescent="0.25">
      <c r="B328" s="258" t="s">
        <v>666</v>
      </c>
      <c r="C328" s="5" t="s">
        <v>638</v>
      </c>
      <c r="D328" s="205">
        <v>44767</v>
      </c>
      <c r="E328">
        <v>35</v>
      </c>
      <c r="F328">
        <v>0</v>
      </c>
      <c r="G328" t="s">
        <v>273</v>
      </c>
      <c r="H328" s="203">
        <f t="shared" si="874"/>
        <v>1607</v>
      </c>
      <c r="I328" s="6">
        <f t="shared" si="875"/>
        <v>0</v>
      </c>
      <c r="J328" s="200">
        <f>'Synthèse Horaires'!$C$5</f>
        <v>46023</v>
      </c>
      <c r="K328" s="6" t="str">
        <f t="shared" si="876"/>
        <v>oui</v>
      </c>
      <c r="L328" s="6" t="str">
        <f t="shared" si="877"/>
        <v>non</v>
      </c>
      <c r="M328" s="204">
        <f t="shared" si="878"/>
        <v>1607</v>
      </c>
      <c r="N328" s="204">
        <f t="shared" si="879"/>
        <v>0</v>
      </c>
      <c r="O328" s="204" t="str">
        <f t="shared" si="880"/>
        <v>non</v>
      </c>
      <c r="P328" s="6" t="b">
        <f t="shared" si="881"/>
        <v>0</v>
      </c>
      <c r="Q328" s="6">
        <f t="shared" si="882"/>
        <v>0</v>
      </c>
      <c r="R328" s="6">
        <f t="shared" si="883"/>
        <v>0</v>
      </c>
      <c r="T328" s="205" t="s">
        <v>458</v>
      </c>
      <c r="U328">
        <f t="shared" ca="1" si="884"/>
        <v>1414</v>
      </c>
      <c r="V328">
        <f t="shared" ca="1" si="885"/>
        <v>0</v>
      </c>
      <c r="W328" t="b">
        <f t="shared" si="886"/>
        <v>0</v>
      </c>
      <c r="X328" s="6" t="str">
        <f t="shared" si="887"/>
        <v>non</v>
      </c>
      <c r="Y328">
        <f t="shared" si="888"/>
        <v>1607</v>
      </c>
      <c r="Z328" t="b">
        <f t="shared" si="889"/>
        <v>0</v>
      </c>
      <c r="AA328" s="206">
        <f t="shared" si="890"/>
        <v>1817</v>
      </c>
      <c r="AB328">
        <f t="shared" si="891"/>
        <v>0</v>
      </c>
      <c r="AC328">
        <f t="shared" si="892"/>
        <v>0</v>
      </c>
      <c r="AD328">
        <f t="shared" si="893"/>
        <v>1607</v>
      </c>
      <c r="AE328">
        <f t="shared" si="364"/>
        <v>30</v>
      </c>
      <c r="AF328">
        <f t="shared" si="894"/>
        <v>210</v>
      </c>
      <c r="AG328">
        <f t="shared" si="366"/>
        <v>30</v>
      </c>
      <c r="AH328">
        <f t="shared" si="895"/>
        <v>0</v>
      </c>
      <c r="AK328" s="205">
        <v>22934</v>
      </c>
      <c r="AL328" t="s">
        <v>508</v>
      </c>
    </row>
    <row r="329" spans="2:38" x14ac:dyDescent="0.25">
      <c r="B329" s="182" t="s">
        <v>666</v>
      </c>
      <c r="C329" t="s">
        <v>617</v>
      </c>
      <c r="D329" s="205">
        <v>44746</v>
      </c>
      <c r="E329">
        <v>35</v>
      </c>
      <c r="F329">
        <v>0</v>
      </c>
      <c r="G329" t="s">
        <v>273</v>
      </c>
      <c r="H329" s="203">
        <f t="shared" ref="H329:H330" si="896">ROUNDUP((($C$9/5)*E329)+($G$4*(E329/$G$5))+IF(E329=20,$G$10,(IF(E329=25,$G$9,(IF(E329=35,$G$6,IF(E329=39,$G$7,(IF(E329=41,$G$8,($G$6*(E329/$G$5)))))))))),0)</f>
        <v>1607</v>
      </c>
      <c r="I329" s="6">
        <f t="shared" ref="I329:I330" si="897">F329*2</f>
        <v>0</v>
      </c>
      <c r="J329" s="200">
        <f>'Synthèse Horaires'!$C$5</f>
        <v>46023</v>
      </c>
      <c r="K329" s="6" t="str">
        <f t="shared" ref="K329:K330" si="898">IF(N(D329)&lt;N($G$3),"oui","non")</f>
        <v>oui</v>
      </c>
      <c r="L329" s="6" t="str">
        <f t="shared" ref="L329:L330" si="899">IF(N(D329)&gt;N($G$3),"oui","non")</f>
        <v>non</v>
      </c>
      <c r="M329" s="204">
        <f t="shared" ref="M329:M330" si="900">IF(G329="Employé",(IF(K329="oui",H329,"non")),"non")</f>
        <v>1607</v>
      </c>
      <c r="N329" s="204">
        <f t="shared" ref="N329:N330" si="901">IF(G329="Employé",(IF(L329="oui",(H329*(($G$3+365)-D329+1)/365),0)))</f>
        <v>0</v>
      </c>
      <c r="O329" s="204" t="str">
        <f t="shared" ref="O329:O330" si="902">IF(G329="Cadre",(IF(K329="oui",F329,0)),"non")</f>
        <v>non</v>
      </c>
      <c r="P329" s="6" t="b">
        <f t="shared" ref="P329:P330" si="903">IF(G329="Cadre",(IF(L329="oui",((((($G$3+365)-D329+1)*F329)/365)),0)))</f>
        <v>0</v>
      </c>
      <c r="Q329" s="6">
        <f t="shared" ref="Q329:Q330" si="904">IF(O329="non",0,O329*2)</f>
        <v>0</v>
      </c>
      <c r="R329" s="6">
        <f t="shared" ref="R329:R330" si="905">IF(ISERROR(P329),0,P329*2)</f>
        <v>0</v>
      </c>
      <c r="T329" s="205" t="s">
        <v>193</v>
      </c>
      <c r="U329">
        <f t="shared" ref="U329:U330" ca="1" si="906">TODAY()-D329</f>
        <v>1435</v>
      </c>
      <c r="V329">
        <f t="shared" ref="V329:V330" ca="1" si="907">IF(G329="Employé",IF(U329&gt;9125,3,IF(U329&gt;7300,2,IF(U329&gt;5475,1,))))</f>
        <v>0</v>
      </c>
      <c r="W329" t="b">
        <f t="shared" ref="W329:W330" si="908">IF(G329="Cadre",IF(U329&gt;3650,2,IF(U329&gt;1825,1,)))</f>
        <v>0</v>
      </c>
      <c r="X329" s="6" t="str">
        <f t="shared" ref="X329:X330" si="909">IF(G329="Employé",IF(E329&lt;$G$5,E329,"non"),"non")</f>
        <v>non</v>
      </c>
      <c r="Y329">
        <f t="shared" ref="Y329:Y330" si="910">IF(AND(G329="Employé",N329=0),M329,N329)</f>
        <v>1607</v>
      </c>
      <c r="Z329" t="b">
        <f t="shared" ref="Z329:Z330" si="911">IF(AND(G329="Cadre",P329=0),O329,P329)</f>
        <v>0</v>
      </c>
      <c r="AA329" s="206">
        <f t="shared" ref="AA329:AA330" si="912">(IF(Y329=FALSE(),(Z329+AB329),(AD329)))+AF329+AH329+AI329</f>
        <v>1817</v>
      </c>
      <c r="AB329">
        <f t="shared" ref="AB329:AB330" si="913">IF(AND(L329="oui",G329="Cadre"),(30*(Z329/F329)),0)</f>
        <v>0</v>
      </c>
      <c r="AC329">
        <f t="shared" ref="AC329:AC330" si="914">IF(AND(G329="Employé",L329="oui"),(30*(Y329/H329)),0)</f>
        <v>0</v>
      </c>
      <c r="AD329">
        <f t="shared" ref="AD329:AD330" si="915">Y329+(AC329*(E329/6))</f>
        <v>1607</v>
      </c>
      <c r="AE329">
        <f t="shared" si="364"/>
        <v>30</v>
      </c>
      <c r="AF329">
        <f t="shared" ref="AF329:AF330" si="916">IF(AND(G329="Employé",L329="oui"),0,(AE329*(E329/5)))</f>
        <v>210</v>
      </c>
      <c r="AG329">
        <f t="shared" si="366"/>
        <v>30</v>
      </c>
      <c r="AH329">
        <f t="shared" ref="AH329:AH330" si="917">IF(G329="Cadre",AG329,0)</f>
        <v>0</v>
      </c>
      <c r="AK329" s="205">
        <v>37940</v>
      </c>
      <c r="AL329" t="s">
        <v>506</v>
      </c>
    </row>
    <row r="330" spans="2:38" x14ac:dyDescent="0.25">
      <c r="B330" s="182" t="s">
        <v>666</v>
      </c>
      <c r="C330" t="s">
        <v>618</v>
      </c>
      <c r="D330" s="205">
        <v>44691</v>
      </c>
      <c r="E330">
        <v>0</v>
      </c>
      <c r="F330">
        <v>218</v>
      </c>
      <c r="G330" t="s">
        <v>102</v>
      </c>
      <c r="H330" s="203">
        <f t="shared" si="896"/>
        <v>0</v>
      </c>
      <c r="I330" s="6">
        <f t="shared" si="897"/>
        <v>436</v>
      </c>
      <c r="J330" s="200">
        <f>'Synthèse Horaires'!$C$5</f>
        <v>46023</v>
      </c>
      <c r="K330" s="6" t="str">
        <f t="shared" si="898"/>
        <v>oui</v>
      </c>
      <c r="L330" s="6" t="str">
        <f t="shared" si="899"/>
        <v>non</v>
      </c>
      <c r="M330" s="204" t="str">
        <f t="shared" si="900"/>
        <v>non</v>
      </c>
      <c r="N330" s="204" t="b">
        <f t="shared" si="901"/>
        <v>0</v>
      </c>
      <c r="O330" s="204">
        <f t="shared" si="902"/>
        <v>218</v>
      </c>
      <c r="P330" s="6">
        <f t="shared" si="903"/>
        <v>0</v>
      </c>
      <c r="Q330" s="6">
        <f t="shared" si="904"/>
        <v>436</v>
      </c>
      <c r="R330" s="6">
        <f t="shared" si="905"/>
        <v>0</v>
      </c>
      <c r="T330" s="205" t="s">
        <v>606</v>
      </c>
      <c r="U330">
        <f t="shared" ca="1" si="906"/>
        <v>1490</v>
      </c>
      <c r="V330" t="b">
        <f t="shared" si="907"/>
        <v>0</v>
      </c>
      <c r="W330">
        <f t="shared" ca="1" si="908"/>
        <v>0</v>
      </c>
      <c r="X330" s="6" t="str">
        <f t="shared" si="909"/>
        <v>non</v>
      </c>
      <c r="Y330" t="b">
        <f t="shared" si="910"/>
        <v>0</v>
      </c>
      <c r="Z330">
        <f t="shared" si="911"/>
        <v>218</v>
      </c>
      <c r="AA330" s="206">
        <f t="shared" si="912"/>
        <v>248</v>
      </c>
      <c r="AB330">
        <f t="shared" si="913"/>
        <v>0</v>
      </c>
      <c r="AC330">
        <f t="shared" si="914"/>
        <v>0</v>
      </c>
      <c r="AD330">
        <f t="shared" si="915"/>
        <v>0</v>
      </c>
      <c r="AE330">
        <f t="shared" si="364"/>
        <v>30</v>
      </c>
      <c r="AF330">
        <f t="shared" si="916"/>
        <v>0</v>
      </c>
      <c r="AG330">
        <f t="shared" si="366"/>
        <v>30</v>
      </c>
      <c r="AH330">
        <f t="shared" si="917"/>
        <v>30</v>
      </c>
      <c r="AK330" s="205">
        <v>27917</v>
      </c>
      <c r="AL330" t="s">
        <v>584</v>
      </c>
    </row>
    <row r="331" spans="2:38" x14ac:dyDescent="0.25">
      <c r="B331" s="182">
        <v>1300000020</v>
      </c>
      <c r="C331" t="s">
        <v>464</v>
      </c>
      <c r="D331" s="205">
        <v>43481</v>
      </c>
      <c r="E331">
        <v>35</v>
      </c>
      <c r="F331">
        <v>0</v>
      </c>
      <c r="G331" t="s">
        <v>273</v>
      </c>
      <c r="H331" s="203">
        <f t="shared" ref="H331" si="918">ROUNDUP((($C$9/5)*E331)+($G$4*(E331/$G$5))+IF(E331=20,$G$10,(IF(E331=25,$G$9,(IF(E331=35,$G$6,IF(E331=39,$G$7,(IF(E331=41,$G$8,($G$6*(E331/$G$5)))))))))),0)</f>
        <v>1607</v>
      </c>
      <c r="I331" s="6">
        <f t="shared" ref="I331" si="919">F331*2</f>
        <v>0</v>
      </c>
      <c r="J331" s="200">
        <f>'Synthèse Horaires'!$C$5</f>
        <v>46023</v>
      </c>
      <c r="K331" s="6" t="str">
        <f t="shared" ref="K331" si="920">IF(N(D331)&lt;N($G$3),"oui","non")</f>
        <v>oui</v>
      </c>
      <c r="L331" s="6" t="str">
        <f t="shared" ref="L331" si="921">IF(N(D331)&gt;N($G$3),"oui","non")</f>
        <v>non</v>
      </c>
      <c r="M331" s="204">
        <f t="shared" ref="M331" si="922">IF(G331="Employé",(IF(K331="oui",H331,"non")),"non")</f>
        <v>1607</v>
      </c>
      <c r="N331" s="204">
        <f t="shared" ref="N331" si="923">IF(G331="Employé",(IF(L331="oui",(H331*(($G$3+365)-D331+1)/365),0)))</f>
        <v>0</v>
      </c>
      <c r="O331" s="204" t="str">
        <f t="shared" ref="O331" si="924">IF(G331="Cadre",(IF(K331="oui",F331,0)),"non")</f>
        <v>non</v>
      </c>
      <c r="P331" s="6" t="b">
        <f t="shared" ref="P331" si="925">IF(G331="Cadre",(IF(L331="oui",((((($G$3+365)-D331+1)*F331)/365)),0)))</f>
        <v>0</v>
      </c>
      <c r="Q331" s="6">
        <f t="shared" ref="Q331" si="926">IF(O331="non",0,O331*2)</f>
        <v>0</v>
      </c>
      <c r="R331" s="6">
        <f t="shared" ref="R331" si="927">IF(ISERROR(P331),0,P331*2)</f>
        <v>0</v>
      </c>
      <c r="T331" s="205" t="s">
        <v>191</v>
      </c>
      <c r="U331">
        <f t="shared" ref="U331" ca="1" si="928">TODAY()-D331</f>
        <v>2700</v>
      </c>
      <c r="V331">
        <f t="shared" ref="V331" ca="1" si="929">IF(G331="Employé",IF(U331&gt;9125,3,IF(U331&gt;7300,2,IF(U331&gt;5475,1,))))</f>
        <v>0</v>
      </c>
      <c r="W331" t="b">
        <f t="shared" ref="W331" si="930">IF(G331="Cadre",IF(U331&gt;3650,2,IF(U331&gt;1825,1,)))</f>
        <v>0</v>
      </c>
      <c r="X331" s="6" t="str">
        <f t="shared" ref="X331" si="931">IF(G331="Employé",IF(E331&lt;$G$5,E331,"non"),"non")</f>
        <v>non</v>
      </c>
      <c r="Y331">
        <f t="shared" ref="Y331" si="932">IF(AND(G331="Employé",N331=0),M331,N331)</f>
        <v>1607</v>
      </c>
      <c r="Z331" t="b">
        <f t="shared" ref="Z331" si="933">IF(AND(G331="Cadre",P331=0),O331,P331)</f>
        <v>0</v>
      </c>
      <c r="AA331" s="206">
        <f t="shared" ref="AA331" si="934">(IF(Y331=FALSE(),(Z331+AB331),(AD331)))+AF331+AH331+AI331</f>
        <v>1579</v>
      </c>
      <c r="AB331">
        <f t="shared" ref="AB331" si="935">IF(AND(L331="oui",G331="Cadre"),(30*(Z331/F331)),0)</f>
        <v>0</v>
      </c>
      <c r="AC331">
        <f t="shared" ref="AC331" si="936">IF(AND(G331="Employé",L331="oui"),(30*(Y331/H331)),0)</f>
        <v>0</v>
      </c>
      <c r="AD331">
        <f t="shared" ref="AD331" si="937">Y331+(AC331*(E331/6))</f>
        <v>1607</v>
      </c>
      <c r="AE331">
        <f t="shared" si="364"/>
        <v>-4</v>
      </c>
      <c r="AF331">
        <f t="shared" ref="AF331" si="938">IF(AND(G331="Employé",L331="oui"),0,(AE331*(E331/5)))</f>
        <v>-28</v>
      </c>
      <c r="AG331">
        <f t="shared" si="366"/>
        <v>-4</v>
      </c>
      <c r="AH331">
        <f t="shared" ref="AH331" si="939">IF(G331="Cadre",AG331,0)</f>
        <v>0</v>
      </c>
      <c r="AK331" s="205">
        <v>35524</v>
      </c>
      <c r="AL331" t="s">
        <v>509</v>
      </c>
    </row>
    <row r="332" spans="2:38" x14ac:dyDescent="0.25">
      <c r="B332" s="182" t="s">
        <v>666</v>
      </c>
      <c r="C332" t="s">
        <v>505</v>
      </c>
      <c r="D332" s="205">
        <v>43508</v>
      </c>
      <c r="E332">
        <v>39</v>
      </c>
      <c r="F332">
        <v>0</v>
      </c>
      <c r="G332" t="s">
        <v>273</v>
      </c>
      <c r="H332" s="203">
        <f t="shared" ref="H332:H333" si="940">ROUNDUP((($C$9/5)*E332)+($G$4*(E332/$G$5))+IF(E332=20,$G$10,(IF(E332=25,$G$9,(IF(E332=35,$G$6,IF(E332=39,$G$7,(IF(E332=41,$G$8,($G$6*(E332/$G$5)))))))))),0)</f>
        <v>1787</v>
      </c>
      <c r="I332" s="6">
        <f t="shared" ref="I332:I333" si="941">F332*2</f>
        <v>0</v>
      </c>
      <c r="J332" s="200">
        <f>'Synthèse Horaires'!$C$5</f>
        <v>46023</v>
      </c>
      <c r="K332" s="6" t="str">
        <f t="shared" ref="K332:K333" si="942">IF(N(D332)&lt;N($G$3),"oui","non")</f>
        <v>oui</v>
      </c>
      <c r="L332" s="6" t="str">
        <f t="shared" ref="L332:L333" si="943">IF(N(D332)&gt;N($G$3),"oui","non")</f>
        <v>non</v>
      </c>
      <c r="M332" s="204">
        <f t="shared" ref="M332:M333" si="944">IF(G332="Employé",(IF(K332="oui",H332,"non")),"non")</f>
        <v>1787</v>
      </c>
      <c r="N332" s="204">
        <f t="shared" ref="N332:N333" si="945">IF(G332="Employé",(IF(L332="oui",(H332*(($G$3+365)-D332+1)/365),0)))</f>
        <v>0</v>
      </c>
      <c r="O332" s="204" t="str">
        <f t="shared" ref="O332:O333" si="946">IF(G332="Cadre",(IF(K332="oui",F332,0)),"non")</f>
        <v>non</v>
      </c>
      <c r="P332" s="6" t="b">
        <f t="shared" ref="P332:P333" si="947">IF(G332="Cadre",(IF(L332="oui",((((($G$3+365)-D332+1)*F332)/365)),0)))</f>
        <v>0</v>
      </c>
      <c r="Q332" s="6">
        <f t="shared" ref="Q332:Q333" si="948">IF(O332="non",0,O332*2)</f>
        <v>0</v>
      </c>
      <c r="R332" s="6">
        <f t="shared" ref="R332:R333" si="949">IF(ISERROR(P332),0,P332*2)</f>
        <v>0</v>
      </c>
      <c r="T332" s="205" t="s">
        <v>195</v>
      </c>
      <c r="U332">
        <f t="shared" ref="U332:U333" ca="1" si="950">TODAY()-D332</f>
        <v>2673</v>
      </c>
      <c r="V332">
        <f t="shared" ref="V332:V333" ca="1" si="951">IF(G332="Employé",IF(U332&gt;9125,3,IF(U332&gt;7300,2,IF(U332&gt;5475,1,))))</f>
        <v>0</v>
      </c>
      <c r="W332" t="b">
        <f t="shared" ref="W332:W333" si="952">IF(G332="Cadre",IF(U332&gt;3650,2,IF(U332&gt;1825,1,)))</f>
        <v>0</v>
      </c>
      <c r="X332" s="6" t="str">
        <f t="shared" ref="X332:X333" si="953">IF(G332="Employé",IF(E332&lt;$G$5,E332,"non"),"non")</f>
        <v>non</v>
      </c>
      <c r="Y332">
        <f t="shared" ref="Y332:Y333" si="954">IF(AND(G332="Employé",N332=0),M332,N332)</f>
        <v>1787</v>
      </c>
      <c r="Z332" t="b">
        <f t="shared" ref="Z332:Z333" si="955">IF(AND(G332="Cadre",P332=0),O332,P332)</f>
        <v>0</v>
      </c>
      <c r="AA332" s="206">
        <f t="shared" ref="AA332:AA333" si="956">(IF(Y332=FALSE(),(Z332+AB332),(AD332)))+AF332+AH332+AI332</f>
        <v>2021</v>
      </c>
      <c r="AB332">
        <f t="shared" ref="AB332:AB333" si="957">IF(AND(L332="oui",G332="Cadre"),(30*(Z332/F332)),0)</f>
        <v>0</v>
      </c>
      <c r="AC332">
        <f t="shared" ref="AC332:AC333" si="958">IF(AND(G332="Employé",L332="oui"),(30*(Y332/H332)),0)</f>
        <v>0</v>
      </c>
      <c r="AD332">
        <f t="shared" ref="AD332:AD333" si="959">Y332+(AC332*(E332/6))</f>
        <v>1787</v>
      </c>
      <c r="AE332">
        <f t="shared" si="364"/>
        <v>30</v>
      </c>
      <c r="AF332">
        <f t="shared" ref="AF332:AF333" si="960">IF(AND(G332="Employé",L332="oui"),0,(AE332*(E332/5)))</f>
        <v>234</v>
      </c>
      <c r="AG332">
        <f t="shared" si="366"/>
        <v>30</v>
      </c>
      <c r="AH332">
        <f t="shared" ref="AH332:AH333" si="961">IF(G332="Cadre",AG332,0)</f>
        <v>0</v>
      </c>
      <c r="AK332" s="205">
        <v>32805</v>
      </c>
      <c r="AL332" t="s">
        <v>492</v>
      </c>
    </row>
    <row r="333" spans="2:38" x14ac:dyDescent="0.25">
      <c r="B333" s="182" t="s">
        <v>666</v>
      </c>
      <c r="C333" t="s">
        <v>617</v>
      </c>
      <c r="D333" s="205">
        <v>44746</v>
      </c>
      <c r="E333">
        <v>35</v>
      </c>
      <c r="F333">
        <v>0</v>
      </c>
      <c r="G333" t="s">
        <v>273</v>
      </c>
      <c r="H333" s="203">
        <f t="shared" si="940"/>
        <v>1607</v>
      </c>
      <c r="I333" s="6">
        <f t="shared" si="941"/>
        <v>0</v>
      </c>
      <c r="J333" s="200">
        <f>'Synthèse Horaires'!$C$5</f>
        <v>46023</v>
      </c>
      <c r="K333" s="6" t="str">
        <f t="shared" si="942"/>
        <v>oui</v>
      </c>
      <c r="L333" s="6" t="str">
        <f t="shared" si="943"/>
        <v>non</v>
      </c>
      <c r="M333" s="204">
        <f t="shared" si="944"/>
        <v>1607</v>
      </c>
      <c r="N333" s="204">
        <f t="shared" si="945"/>
        <v>0</v>
      </c>
      <c r="O333" s="204" t="str">
        <f t="shared" si="946"/>
        <v>non</v>
      </c>
      <c r="P333" s="6" t="b">
        <f t="shared" si="947"/>
        <v>0</v>
      </c>
      <c r="Q333" s="6">
        <f t="shared" si="948"/>
        <v>0</v>
      </c>
      <c r="R333" s="6">
        <f t="shared" si="949"/>
        <v>0</v>
      </c>
      <c r="T333" s="205" t="s">
        <v>193</v>
      </c>
      <c r="U333">
        <f t="shared" ca="1" si="950"/>
        <v>1435</v>
      </c>
      <c r="V333">
        <f t="shared" ca="1" si="951"/>
        <v>0</v>
      </c>
      <c r="W333" t="b">
        <f t="shared" si="952"/>
        <v>0</v>
      </c>
      <c r="X333" s="6" t="str">
        <f t="shared" si="953"/>
        <v>non</v>
      </c>
      <c r="Y333">
        <f t="shared" si="954"/>
        <v>1607</v>
      </c>
      <c r="Z333" t="b">
        <f t="shared" si="955"/>
        <v>0</v>
      </c>
      <c r="AA333" s="206">
        <f t="shared" si="956"/>
        <v>1817</v>
      </c>
      <c r="AB333">
        <f t="shared" si="957"/>
        <v>0</v>
      </c>
      <c r="AC333">
        <f t="shared" si="958"/>
        <v>0</v>
      </c>
      <c r="AD333">
        <f t="shared" si="959"/>
        <v>1607</v>
      </c>
      <c r="AE333">
        <f t="shared" si="364"/>
        <v>30</v>
      </c>
      <c r="AF333">
        <f t="shared" si="960"/>
        <v>210</v>
      </c>
      <c r="AG333">
        <f t="shared" si="366"/>
        <v>30</v>
      </c>
      <c r="AH333">
        <f t="shared" si="961"/>
        <v>0</v>
      </c>
      <c r="AK333" s="205">
        <v>37940</v>
      </c>
      <c r="AL333" t="s">
        <v>506</v>
      </c>
    </row>
    <row r="334" spans="2:38" x14ac:dyDescent="0.25">
      <c r="B334" s="259" t="s">
        <v>666</v>
      </c>
      <c r="C334" s="260" t="s">
        <v>622</v>
      </c>
      <c r="D334" s="205">
        <v>44727</v>
      </c>
      <c r="E334">
        <v>35</v>
      </c>
      <c r="F334">
        <v>0</v>
      </c>
      <c r="G334" t="s">
        <v>273</v>
      </c>
      <c r="H334" s="203">
        <f t="shared" ref="H334:H338" si="962">ROUNDUP((($C$9/5)*E334)+($G$4*(E334/$G$5))+IF(E334=20,$G$10,(IF(E334=25,$G$9,(IF(E334=35,$G$6,IF(E334=39,$G$7,(IF(E334=41,$G$8,($G$6*(E334/$G$5)))))))))),0)</f>
        <v>1607</v>
      </c>
      <c r="I334" s="6">
        <f t="shared" ref="I334:I338" si="963">F334*2</f>
        <v>0</v>
      </c>
      <c r="J334" s="200">
        <f>'Synthèse Horaires'!$C$5</f>
        <v>46023</v>
      </c>
      <c r="K334" s="6" t="str">
        <f t="shared" ref="K334:K338" si="964">IF(N(D334)&lt;N($G$3),"oui","non")</f>
        <v>oui</v>
      </c>
      <c r="L334" s="6" t="str">
        <f t="shared" ref="L334:L338" si="965">IF(N(D334)&gt;N($G$3),"oui","non")</f>
        <v>non</v>
      </c>
      <c r="M334" s="204">
        <f t="shared" ref="M334:M338" si="966">IF(G334="Employé",(IF(K334="oui",H334,"non")),"non")</f>
        <v>1607</v>
      </c>
      <c r="N334" s="204">
        <f t="shared" ref="N334:N338" si="967">IF(G334="Employé",(IF(L334="oui",(H334*(($G$3+365)-D334+1)/365),0)))</f>
        <v>0</v>
      </c>
      <c r="O334" s="204" t="str">
        <f t="shared" ref="O334:O338" si="968">IF(G334="Cadre",(IF(K334="oui",F334,0)),"non")</f>
        <v>non</v>
      </c>
      <c r="P334" s="6" t="b">
        <f t="shared" ref="P334:P338" si="969">IF(G334="Cadre",(IF(L334="oui",((((($G$3+365)-D334+1)*F334)/365)),0)))</f>
        <v>0</v>
      </c>
      <c r="Q334" s="6">
        <f t="shared" ref="Q334:Q338" si="970">IF(O334="non",0,O334*2)</f>
        <v>0</v>
      </c>
      <c r="R334" s="6">
        <f t="shared" ref="R334:R338" si="971">IF(ISERROR(P334),0,P334*2)</f>
        <v>0</v>
      </c>
      <c r="T334" s="205" t="s">
        <v>190</v>
      </c>
      <c r="U334">
        <f t="shared" ref="U334:U338" ca="1" si="972">TODAY()-D334</f>
        <v>1454</v>
      </c>
      <c r="V334">
        <f t="shared" ref="V334:V338" ca="1" si="973">IF(G334="Employé",IF(U334&gt;9125,3,IF(U334&gt;7300,2,IF(U334&gt;5475,1,))))</f>
        <v>0</v>
      </c>
      <c r="W334" t="b">
        <f t="shared" ref="W334:W338" si="974">IF(G334="Cadre",IF(U334&gt;3650,2,IF(U334&gt;1825,1,)))</f>
        <v>0</v>
      </c>
      <c r="X334" s="6" t="str">
        <f t="shared" ref="X334:X338" si="975">IF(G334="Employé",IF(E334&lt;$G$5,E334,"non"),"non")</f>
        <v>non</v>
      </c>
      <c r="Y334">
        <f t="shared" ref="Y334:Y338" si="976">IF(AND(G334="Employé",N334=0),M334,N334)</f>
        <v>1607</v>
      </c>
      <c r="Z334" t="b">
        <f t="shared" ref="Z334:Z338" si="977">IF(AND(G334="Cadre",P334=0),O334,P334)</f>
        <v>0</v>
      </c>
      <c r="AA334" s="206">
        <f>(IF(Y334=FALSE(),(Z334+AB334),(AD334)))+AF334+AH334+AI334</f>
        <v>1817</v>
      </c>
      <c r="AB334">
        <f>IF(AND(L334="oui",G334="Cadre"),(30*(Z334/F334)),0)</f>
        <v>0</v>
      </c>
      <c r="AC334">
        <f>IF(AND(G334="Employé",L334="oui"),(30*(Y334/H334)),0)</f>
        <v>0</v>
      </c>
      <c r="AD334">
        <f>Y334+(AC334*(E334/6))</f>
        <v>1607</v>
      </c>
      <c r="AE334">
        <f t="shared" ref="AE334:AE340" si="978">IFERROR(((VLOOKUP(B334,AQ:AS,2,0)-30)*-1),0)</f>
        <v>30</v>
      </c>
      <c r="AF334">
        <f>IF(AND(G334="Employé",L334="oui"),0,(AE334*(E334/5)))</f>
        <v>210</v>
      </c>
      <c r="AG334">
        <f t="shared" ref="AG334:AG340" si="979">IFERROR(((VLOOKUP(B334,AQ:AS,2,0)-30)*-1),0)</f>
        <v>30</v>
      </c>
      <c r="AH334">
        <f>IF(G334="Cadre",AG334,0)</f>
        <v>0</v>
      </c>
      <c r="AK334" s="205">
        <v>37077</v>
      </c>
      <c r="AL334" t="s">
        <v>506</v>
      </c>
    </row>
    <row r="335" spans="2:38" x14ac:dyDescent="0.25">
      <c r="B335" s="182">
        <v>1100000040</v>
      </c>
      <c r="C335" t="s">
        <v>623</v>
      </c>
      <c r="D335" s="205">
        <v>44732</v>
      </c>
      <c r="E335">
        <v>35</v>
      </c>
      <c r="F335">
        <v>0</v>
      </c>
      <c r="G335" t="s">
        <v>273</v>
      </c>
      <c r="H335" s="203">
        <f t="shared" si="962"/>
        <v>1607</v>
      </c>
      <c r="I335" s="6">
        <f t="shared" si="963"/>
        <v>0</v>
      </c>
      <c r="J335" s="200">
        <f>'Synthèse Horaires'!$C$5</f>
        <v>46023</v>
      </c>
      <c r="K335" s="6" t="str">
        <f t="shared" si="964"/>
        <v>oui</v>
      </c>
      <c r="L335" s="6" t="str">
        <f t="shared" si="965"/>
        <v>non</v>
      </c>
      <c r="M335" s="204">
        <f t="shared" si="966"/>
        <v>1607</v>
      </c>
      <c r="N335" s="204">
        <f t="shared" si="967"/>
        <v>0</v>
      </c>
      <c r="O335" s="204" t="str">
        <f t="shared" si="968"/>
        <v>non</v>
      </c>
      <c r="P335" s="6" t="b">
        <f t="shared" si="969"/>
        <v>0</v>
      </c>
      <c r="Q335" s="6">
        <f t="shared" si="970"/>
        <v>0</v>
      </c>
      <c r="R335" s="6">
        <f t="shared" si="971"/>
        <v>0</v>
      </c>
      <c r="T335" s="205" t="s">
        <v>190</v>
      </c>
      <c r="U335">
        <f t="shared" ca="1" si="972"/>
        <v>1449</v>
      </c>
      <c r="V335">
        <f t="shared" ca="1" si="973"/>
        <v>0</v>
      </c>
      <c r="W335" t="b">
        <f t="shared" si="974"/>
        <v>0</v>
      </c>
      <c r="X335" s="6" t="str">
        <f t="shared" si="975"/>
        <v>non</v>
      </c>
      <c r="Y335">
        <f t="shared" si="976"/>
        <v>1607</v>
      </c>
      <c r="Z335" t="b">
        <f t="shared" si="977"/>
        <v>0</v>
      </c>
      <c r="AA335" s="206">
        <f t="shared" ref="AA335:AA338" si="980">(IF(Y335=FALSE(),(Z335+AB335),(AD335)))+AF335+AH335+AI335</f>
        <v>1607</v>
      </c>
      <c r="AB335">
        <f t="shared" ref="AB335:AB338" si="981">IF(AND(L335="oui",G335="Cadre"),(30*(Z335/F335)),0)</f>
        <v>0</v>
      </c>
      <c r="AC335">
        <f t="shared" ref="AC335:AC338" si="982">IF(AND(G335="Employé",L335="oui"),(30*(Y335/H335)),0)</f>
        <v>0</v>
      </c>
      <c r="AD335">
        <f t="shared" ref="AD335:AD338" si="983">Y335+(AC335*(E335/6))</f>
        <v>1607</v>
      </c>
      <c r="AE335">
        <f t="shared" si="978"/>
        <v>0</v>
      </c>
      <c r="AF335">
        <f t="shared" ref="AF335:AF338" si="984">IF(AND(G335="Employé",L335="oui"),0,(AE335*(E335/5)))</f>
        <v>0</v>
      </c>
      <c r="AG335">
        <f t="shared" si="979"/>
        <v>0</v>
      </c>
      <c r="AH335">
        <f t="shared" ref="AH335:AH338" si="985">IF(G335="Cadre",AG335,0)</f>
        <v>0</v>
      </c>
      <c r="AK335" s="205">
        <v>28547</v>
      </c>
      <c r="AL335" t="s">
        <v>514</v>
      </c>
    </row>
    <row r="336" spans="2:38" x14ac:dyDescent="0.25">
      <c r="B336" s="182" t="s">
        <v>666</v>
      </c>
      <c r="C336" t="s">
        <v>624</v>
      </c>
      <c r="D336" s="205">
        <v>44354</v>
      </c>
      <c r="E336">
        <v>35</v>
      </c>
      <c r="F336">
        <v>0</v>
      </c>
      <c r="G336" t="s">
        <v>273</v>
      </c>
      <c r="H336" s="203">
        <f t="shared" si="962"/>
        <v>1607</v>
      </c>
      <c r="I336" s="6">
        <f t="shared" si="963"/>
        <v>0</v>
      </c>
      <c r="J336" s="200">
        <f>'Synthèse Horaires'!$C$5</f>
        <v>46023</v>
      </c>
      <c r="K336" s="6" t="str">
        <f t="shared" si="964"/>
        <v>oui</v>
      </c>
      <c r="L336" s="6" t="str">
        <f t="shared" si="965"/>
        <v>non</v>
      </c>
      <c r="M336" s="204">
        <f t="shared" si="966"/>
        <v>1607</v>
      </c>
      <c r="N336" s="204">
        <f t="shared" si="967"/>
        <v>0</v>
      </c>
      <c r="O336" s="204" t="str">
        <f t="shared" si="968"/>
        <v>non</v>
      </c>
      <c r="P336" s="6" t="b">
        <f t="shared" si="969"/>
        <v>0</v>
      </c>
      <c r="Q336" s="6">
        <f t="shared" si="970"/>
        <v>0</v>
      </c>
      <c r="R336" s="6">
        <f t="shared" si="971"/>
        <v>0</v>
      </c>
      <c r="T336" s="205" t="s">
        <v>195</v>
      </c>
      <c r="U336">
        <f t="shared" ca="1" si="972"/>
        <v>1827</v>
      </c>
      <c r="V336">
        <f t="shared" ca="1" si="973"/>
        <v>0</v>
      </c>
      <c r="W336" t="b">
        <f t="shared" si="974"/>
        <v>0</v>
      </c>
      <c r="X336" s="6" t="str">
        <f t="shared" si="975"/>
        <v>non</v>
      </c>
      <c r="Y336">
        <f t="shared" si="976"/>
        <v>1607</v>
      </c>
      <c r="Z336" t="b">
        <f t="shared" si="977"/>
        <v>0</v>
      </c>
      <c r="AA336" s="206">
        <f t="shared" si="980"/>
        <v>1817</v>
      </c>
      <c r="AB336">
        <f t="shared" si="981"/>
        <v>0</v>
      </c>
      <c r="AC336">
        <f t="shared" si="982"/>
        <v>0</v>
      </c>
      <c r="AD336">
        <f t="shared" si="983"/>
        <v>1607</v>
      </c>
      <c r="AE336">
        <f t="shared" si="978"/>
        <v>30</v>
      </c>
      <c r="AF336">
        <f t="shared" si="984"/>
        <v>210</v>
      </c>
      <c r="AG336">
        <f t="shared" si="979"/>
        <v>30</v>
      </c>
      <c r="AH336">
        <f t="shared" si="985"/>
        <v>0</v>
      </c>
      <c r="AK336" s="205">
        <v>33912</v>
      </c>
      <c r="AL336" t="s">
        <v>492</v>
      </c>
    </row>
    <row r="337" spans="2:38" x14ac:dyDescent="0.25">
      <c r="B337" s="182">
        <v>3000000042</v>
      </c>
      <c r="C337" t="s">
        <v>625</v>
      </c>
      <c r="D337" s="205">
        <v>44713</v>
      </c>
      <c r="E337">
        <v>35</v>
      </c>
      <c r="F337">
        <v>0</v>
      </c>
      <c r="G337" t="s">
        <v>273</v>
      </c>
      <c r="H337" s="203">
        <f t="shared" si="962"/>
        <v>1607</v>
      </c>
      <c r="I337" s="6">
        <f t="shared" si="963"/>
        <v>0</v>
      </c>
      <c r="J337" s="200">
        <f>'Synthèse Horaires'!$C$5</f>
        <v>46023</v>
      </c>
      <c r="K337" s="6" t="str">
        <f t="shared" si="964"/>
        <v>oui</v>
      </c>
      <c r="L337" s="6" t="str">
        <f t="shared" si="965"/>
        <v>non</v>
      </c>
      <c r="M337" s="204">
        <f t="shared" si="966"/>
        <v>1607</v>
      </c>
      <c r="N337" s="204">
        <f t="shared" si="967"/>
        <v>0</v>
      </c>
      <c r="O337" s="204" t="str">
        <f t="shared" si="968"/>
        <v>non</v>
      </c>
      <c r="P337" s="6" t="b">
        <f t="shared" si="969"/>
        <v>0</v>
      </c>
      <c r="Q337" s="6">
        <f t="shared" si="970"/>
        <v>0</v>
      </c>
      <c r="R337" s="6">
        <f t="shared" si="971"/>
        <v>0</v>
      </c>
      <c r="T337" s="205" t="s">
        <v>465</v>
      </c>
      <c r="U337">
        <f t="shared" ca="1" si="972"/>
        <v>1468</v>
      </c>
      <c r="V337">
        <f t="shared" ca="1" si="973"/>
        <v>0</v>
      </c>
      <c r="W337" t="b">
        <f t="shared" si="974"/>
        <v>0</v>
      </c>
      <c r="X337" s="6" t="str">
        <f t="shared" si="975"/>
        <v>non</v>
      </c>
      <c r="Y337">
        <f t="shared" si="976"/>
        <v>1607</v>
      </c>
      <c r="Z337" t="b">
        <f t="shared" si="977"/>
        <v>0</v>
      </c>
      <c r="AA337" s="206">
        <f t="shared" si="980"/>
        <v>1607</v>
      </c>
      <c r="AB337">
        <f t="shared" si="981"/>
        <v>0</v>
      </c>
      <c r="AC337">
        <f t="shared" si="982"/>
        <v>0</v>
      </c>
      <c r="AD337">
        <f t="shared" si="983"/>
        <v>1607</v>
      </c>
      <c r="AE337">
        <f t="shared" si="978"/>
        <v>0</v>
      </c>
      <c r="AF337">
        <f t="shared" si="984"/>
        <v>0</v>
      </c>
      <c r="AG337">
        <f t="shared" si="979"/>
        <v>0</v>
      </c>
      <c r="AH337">
        <f t="shared" si="985"/>
        <v>0</v>
      </c>
      <c r="AK337" s="205">
        <v>32579</v>
      </c>
      <c r="AL337" t="s">
        <v>508</v>
      </c>
    </row>
    <row r="338" spans="2:38" x14ac:dyDescent="0.25">
      <c r="B338" s="276" t="s">
        <v>666</v>
      </c>
      <c r="C338" s="277" t="s">
        <v>639</v>
      </c>
      <c r="D338" s="205">
        <v>44805</v>
      </c>
      <c r="E338">
        <v>35</v>
      </c>
      <c r="F338">
        <v>0</v>
      </c>
      <c r="G338" t="s">
        <v>273</v>
      </c>
      <c r="H338" s="203">
        <f t="shared" si="962"/>
        <v>1607</v>
      </c>
      <c r="I338" s="6">
        <f t="shared" si="963"/>
        <v>0</v>
      </c>
      <c r="J338" s="200">
        <f>'Synthèse Horaires'!$C$5</f>
        <v>46023</v>
      </c>
      <c r="K338" s="6" t="str">
        <f t="shared" si="964"/>
        <v>oui</v>
      </c>
      <c r="L338" s="6" t="str">
        <f t="shared" si="965"/>
        <v>non</v>
      </c>
      <c r="M338" s="204">
        <f t="shared" si="966"/>
        <v>1607</v>
      </c>
      <c r="N338" s="204">
        <f t="shared" si="967"/>
        <v>0</v>
      </c>
      <c r="O338" s="204" t="str">
        <f t="shared" si="968"/>
        <v>non</v>
      </c>
      <c r="P338" s="6" t="b">
        <f t="shared" si="969"/>
        <v>0</v>
      </c>
      <c r="Q338" s="6">
        <f t="shared" si="970"/>
        <v>0</v>
      </c>
      <c r="R338" s="6">
        <f t="shared" si="971"/>
        <v>0</v>
      </c>
      <c r="T338" s="205" t="s">
        <v>458</v>
      </c>
      <c r="U338">
        <f t="shared" ca="1" si="972"/>
        <v>1376</v>
      </c>
      <c r="V338">
        <f t="shared" ca="1" si="973"/>
        <v>0</v>
      </c>
      <c r="W338" t="b">
        <f t="shared" si="974"/>
        <v>0</v>
      </c>
      <c r="X338" s="6" t="str">
        <f t="shared" si="975"/>
        <v>non</v>
      </c>
      <c r="Y338">
        <f t="shared" si="976"/>
        <v>1607</v>
      </c>
      <c r="Z338" t="b">
        <f t="shared" si="977"/>
        <v>0</v>
      </c>
      <c r="AA338" s="206">
        <f t="shared" si="980"/>
        <v>1817</v>
      </c>
      <c r="AB338">
        <f t="shared" si="981"/>
        <v>0</v>
      </c>
      <c r="AC338">
        <f t="shared" si="982"/>
        <v>0</v>
      </c>
      <c r="AD338">
        <f t="shared" si="983"/>
        <v>1607</v>
      </c>
      <c r="AE338">
        <f t="shared" si="978"/>
        <v>30</v>
      </c>
      <c r="AF338">
        <f t="shared" si="984"/>
        <v>210</v>
      </c>
      <c r="AG338">
        <f t="shared" si="979"/>
        <v>30</v>
      </c>
      <c r="AH338">
        <f t="shared" si="985"/>
        <v>0</v>
      </c>
      <c r="AK338" s="205">
        <v>37166</v>
      </c>
      <c r="AL338" t="s">
        <v>532</v>
      </c>
    </row>
    <row r="339" spans="2:38" x14ac:dyDescent="0.25">
      <c r="B339" s="268" t="s">
        <v>666</v>
      </c>
      <c r="C339" s="269" t="s">
        <v>626</v>
      </c>
      <c r="D339" s="205">
        <v>44683</v>
      </c>
      <c r="E339">
        <v>35</v>
      </c>
      <c r="F339">
        <v>0</v>
      </c>
      <c r="G339" t="s">
        <v>273</v>
      </c>
      <c r="H339" s="203">
        <f t="shared" ref="H339" si="986">ROUNDUP((($C$9/5)*E339)+($G$4*(E339/$G$5))+IF(E339=20,$G$10,(IF(E339=25,$G$9,(IF(E339=35,$G$6,IF(E339=39,$G$7,(IF(E339=41,$G$8,($G$6*(E339/$G$5)))))))))),0)</f>
        <v>1607</v>
      </c>
      <c r="I339" s="6">
        <f t="shared" ref="I339" si="987">F339*2</f>
        <v>0</v>
      </c>
      <c r="J339" s="200">
        <f>'Synthèse Horaires'!$C$5</f>
        <v>46023</v>
      </c>
      <c r="K339" s="6" t="str">
        <f t="shared" ref="K339" si="988">IF(N(D339)&lt;N($G$3),"oui","non")</f>
        <v>oui</v>
      </c>
      <c r="L339" s="6" t="str">
        <f t="shared" ref="L339" si="989">IF(N(D339)&gt;N($G$3),"oui","non")</f>
        <v>non</v>
      </c>
      <c r="M339" s="204">
        <f t="shared" ref="M339" si="990">IF(G339="Employé",(IF(K339="oui",H339,"non")),"non")</f>
        <v>1607</v>
      </c>
      <c r="N339" s="204">
        <f t="shared" ref="N339" si="991">IF(G339="Employé",(IF(L339="oui",(H339*(($G$3+365)-D339+1)/365),0)))</f>
        <v>0</v>
      </c>
      <c r="O339" s="204" t="str">
        <f t="shared" ref="O339" si="992">IF(G339="Cadre",(IF(K339="oui",F339,0)),"non")</f>
        <v>non</v>
      </c>
      <c r="P339" s="6" t="b">
        <f t="shared" ref="P339" si="993">IF(G339="Cadre",(IF(L339="oui",((((($G$3+365)-D339+1)*F339)/365)),0)))</f>
        <v>0</v>
      </c>
      <c r="Q339" s="6">
        <f t="shared" ref="Q339" si="994">IF(O339="non",0,O339*2)</f>
        <v>0</v>
      </c>
      <c r="R339" s="6">
        <f t="shared" ref="R339" si="995">IF(ISERROR(P339),0,P339*2)</f>
        <v>0</v>
      </c>
      <c r="T339" s="205" t="s">
        <v>465</v>
      </c>
      <c r="U339">
        <f t="shared" ref="U339" ca="1" si="996">TODAY()-D339</f>
        <v>1498</v>
      </c>
      <c r="V339">
        <f t="shared" ref="V339" ca="1" si="997">IF(G339="Employé",IF(U339&gt;9125,3,IF(U339&gt;7300,2,IF(U339&gt;5475,1,))))</f>
        <v>0</v>
      </c>
      <c r="W339" t="b">
        <f t="shared" ref="W339" si="998">IF(G339="Cadre",IF(U339&gt;3650,2,IF(U339&gt;1825,1,)))</f>
        <v>0</v>
      </c>
      <c r="X339" s="6" t="str">
        <f t="shared" ref="X339" si="999">IF(G339="Employé",IF(E339&lt;$G$5,E339,"non"),"non")</f>
        <v>non</v>
      </c>
      <c r="Y339">
        <f t="shared" ref="Y339" si="1000">IF(AND(G339="Employé",N339=0),M339,N339)</f>
        <v>1607</v>
      </c>
      <c r="Z339" t="b">
        <f t="shared" ref="Z339" si="1001">IF(AND(G339="Cadre",P339=0),O339,P339)</f>
        <v>0</v>
      </c>
      <c r="AA339" s="206">
        <f t="shared" ref="AA339" si="1002">(IF(Y339=FALSE(),(Z339+AB339),(AD339)))+AF339+AH339+AI339</f>
        <v>1817</v>
      </c>
      <c r="AB339">
        <f t="shared" ref="AB339" si="1003">IF(AND(L339="oui",G339="Cadre"),(30*(Z339/F339)),0)</f>
        <v>0</v>
      </c>
      <c r="AC339">
        <f t="shared" ref="AC339" si="1004">IF(AND(G339="Employé",L339="oui"),(30*(Y339/H339)),0)</f>
        <v>0</v>
      </c>
      <c r="AD339">
        <f t="shared" ref="AD339" si="1005">Y339+(AC339*(E339/6))</f>
        <v>1607</v>
      </c>
      <c r="AE339">
        <f t="shared" si="978"/>
        <v>30</v>
      </c>
      <c r="AF339">
        <f t="shared" ref="AF339" si="1006">IF(AND(G339="Employé",L339="oui"),0,(AE339*(E339/5)))</f>
        <v>210</v>
      </c>
      <c r="AG339">
        <f t="shared" si="979"/>
        <v>30</v>
      </c>
      <c r="AH339">
        <f t="shared" ref="AH339" si="1007">IF(G339="Cadre",AG339,0)</f>
        <v>0</v>
      </c>
      <c r="AK339" s="205">
        <v>36201</v>
      </c>
      <c r="AL339" t="s">
        <v>509</v>
      </c>
    </row>
    <row r="340" spans="2:38" x14ac:dyDescent="0.25">
      <c r="B340" s="182"/>
      <c r="D340" s="205">
        <v>43259</v>
      </c>
      <c r="E340">
        <v>42</v>
      </c>
      <c r="G340" t="s">
        <v>273</v>
      </c>
      <c r="H340" s="203">
        <f t="shared" ref="H340" si="1008">ROUNDUP((($C$9/5)*E340)+($G$4*(E340/$G$5))+IF(E340=20,$G$10,(IF(E340=25,$G$9,(IF(E340=35,$G$6,IF(E340=39,$G$7,(IF(E340=41,$G$8,($G$6*(E340/$G$5)))))))))),0)</f>
        <v>1929</v>
      </c>
      <c r="I340" s="6">
        <f t="shared" ref="I340" si="1009">F340*2</f>
        <v>0</v>
      </c>
      <c r="J340" s="200">
        <f>'Synthèse Horaires'!$C$5</f>
        <v>46023</v>
      </c>
      <c r="K340" s="6" t="str">
        <f t="shared" ref="K340" si="1010">IF(N(D340)&lt;N($G$3),"oui","non")</f>
        <v>oui</v>
      </c>
      <c r="L340" s="6" t="str">
        <f t="shared" ref="L340" si="1011">IF(N(D340)&gt;N($G$3),"oui","non")</f>
        <v>non</v>
      </c>
      <c r="M340" s="204">
        <f t="shared" ref="M340" si="1012">IF(G340="Employé",(IF(K340="oui",H340,"non")),"non")</f>
        <v>1929</v>
      </c>
      <c r="N340" s="204">
        <f t="shared" ref="N340" si="1013">IF(G340="Employé",(IF(L340="oui",(H340*(($G$3+365)-D340+1)/365),0)))</f>
        <v>0</v>
      </c>
      <c r="O340" s="204" t="str">
        <f t="shared" ref="O340" si="1014">IF(G340="Cadre",(IF(K340="oui",F340,0)),"non")</f>
        <v>non</v>
      </c>
      <c r="P340" s="6" t="b">
        <f t="shared" ref="P340" si="1015">IF(G340="Cadre",(IF(L340="oui",((((($G$3+365)-D340+1)*F340)/365)),0)))</f>
        <v>0</v>
      </c>
      <c r="Q340" s="6">
        <f t="shared" ref="Q340" si="1016">IF(O340="non",0,O340*2)</f>
        <v>0</v>
      </c>
      <c r="R340" s="6">
        <f t="shared" ref="R340" si="1017">IF(ISERROR(P340),0,P340*2)</f>
        <v>0</v>
      </c>
      <c r="T340" s="205"/>
      <c r="U340">
        <f t="shared" ref="U340" ca="1" si="1018">TODAY()-D340</f>
        <v>2922</v>
      </c>
      <c r="V340">
        <f t="shared" ref="V340" ca="1" si="1019">IF(G340="Employé",IF(U340&gt;9125,3,IF(U340&gt;7300,2,IF(U340&gt;5475,1,))))</f>
        <v>0</v>
      </c>
      <c r="W340" t="b">
        <f t="shared" ref="W340" si="1020">IF(G340="Cadre",IF(U340&gt;3650,2,IF(U340&gt;1825,1,)))</f>
        <v>0</v>
      </c>
      <c r="X340" s="6" t="str">
        <f t="shared" ref="X340" si="1021">IF(G340="Employé",IF(E340&lt;$G$5,E340,"non"),"non")</f>
        <v>non</v>
      </c>
      <c r="Y340">
        <f t="shared" ref="Y340" si="1022">IF(AND(G340="Employé",N340=0),M340,N340)</f>
        <v>1929</v>
      </c>
      <c r="Z340" t="b">
        <f t="shared" ref="Z340" si="1023">IF(AND(G340="Cadre",P340=0),O340,P340)</f>
        <v>0</v>
      </c>
      <c r="AA340" s="206">
        <f t="shared" ref="AA340" si="1024">(IF(Y340=FALSE(),(Z340+AB340),(AD340)))+AF340+AH340+AI340</f>
        <v>2181</v>
      </c>
      <c r="AB340">
        <f t="shared" ref="AB340" si="1025">IF(AND(L340="oui",G340="Cadre"),(30*(Z340/F340)),0)</f>
        <v>0</v>
      </c>
      <c r="AC340">
        <f t="shared" ref="AC340" si="1026">IF(AND(G340="Employé",L340="oui"),(30*(Y340/H340)),0)</f>
        <v>0</v>
      </c>
      <c r="AD340">
        <f t="shared" ref="AD340" si="1027">Y340+(AC340*(E340/6))</f>
        <v>1929</v>
      </c>
      <c r="AE340">
        <f t="shared" si="978"/>
        <v>30</v>
      </c>
      <c r="AF340">
        <f t="shared" ref="AF340" si="1028">IF(AND(G340="Employé",L340="oui"),0,(AE340*(E340/5)))</f>
        <v>252</v>
      </c>
      <c r="AG340">
        <f t="shared" si="979"/>
        <v>30</v>
      </c>
      <c r="AH340">
        <f t="shared" ref="AH340" si="1029">IF(G340="Cadre",AG340,0)</f>
        <v>0</v>
      </c>
      <c r="AK340" s="205"/>
    </row>
  </sheetData>
  <sheetProtection algorithmName="SHA-512" hashValue="vsXvpnmx1+PXR0uJ8Xy0dCBsyVcD2nSf/iWFNPf384qN8PyGgcBu/4xsp0CX5k01Hjnkm20ohovj6MUK1EjwjQ==" saltValue="Zuh9Vlu5ERxYYNkwQmK6Yw==" spinCount="100000" sheet="1" selectLockedCells="1" selectUnlockedCells="1"/>
  <autoFilter ref="B12:AL340" xr:uid="{00000000-0001-0000-0400-000000000000}"/>
  <mergeCells count="1">
    <mergeCell ref="E11:F11"/>
  </mergeCells>
  <dataValidations count="2">
    <dataValidation type="list" allowBlank="1" showInputMessage="1" showErrorMessage="1" errorTitle="Mauvaise saisie" error="Veuillez choisir Employé ou Cadre" sqref="G13:G256 G263:G340" xr:uid="{00000000-0002-0000-0400-000000000000}">
      <formula1>"Employé,Cadre"</formula1>
    </dataValidation>
    <dataValidation type="list" allowBlank="1" showInputMessage="1" showErrorMessage="1" errorTitle="Mauvaise saisie" error="Veuillez choisir Employé ou Cadre" sqref="S13:S340" xr:uid="{00000000-0002-0000-0400-000001000000}">
      <formula1>"Annualisé,Règlement HC"</formula1>
    </dataValidation>
  </dataValidations>
  <pageMargins left="0.7" right="0.7" top="0.75" bottom="0.75" header="0.3" footer="0.3"/>
  <pageSetup paperSize="9" orientation="portrait"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400-000002000000}">
          <x14:formula1>
            <xm:f>'Data Base'!$B$5:$B$28</xm:f>
          </x14:formula1>
          <xm:sqref>T13:T340</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6">
    <tabColor rgb="FFFFC000"/>
  </sheetPr>
  <dimension ref="A1:T302"/>
  <sheetViews>
    <sheetView workbookViewId="0">
      <selection activeCell="E3" sqref="E3:I186"/>
    </sheetView>
  </sheetViews>
  <sheetFormatPr baseColWidth="10" defaultRowHeight="15" outlineLevelCol="1" x14ac:dyDescent="0.25"/>
  <cols>
    <col min="1" max="1" width="14.140625" customWidth="1"/>
    <col min="2" max="4" width="11" hidden="1" customWidth="1" outlineLevel="1"/>
    <col min="5" max="5" width="12.42578125" hidden="1" customWidth="1" outlineLevel="1"/>
    <col min="6" max="6" width="14.5703125" hidden="1" customWidth="1" outlineLevel="1"/>
    <col min="7" max="13" width="11" hidden="1" customWidth="1" outlineLevel="1"/>
    <col min="14" max="14" width="11.42578125" collapsed="1"/>
  </cols>
  <sheetData>
    <row r="1" spans="1:20" x14ac:dyDescent="0.25">
      <c r="A1" s="9" t="s">
        <v>94</v>
      </c>
      <c r="E1" s="31" t="s">
        <v>262</v>
      </c>
      <c r="F1" s="30"/>
      <c r="G1" s="30"/>
      <c r="H1" s="30"/>
      <c r="I1" s="30"/>
      <c r="J1" s="35" t="s">
        <v>306</v>
      </c>
      <c r="K1" s="35"/>
      <c r="L1" s="35"/>
      <c r="M1" s="33"/>
    </row>
    <row r="2" spans="1:20" x14ac:dyDescent="0.25">
      <c r="E2" s="34" t="s">
        <v>273</v>
      </c>
      <c r="F2" s="34" t="s">
        <v>423</v>
      </c>
      <c r="G2" s="34" t="s">
        <v>299</v>
      </c>
      <c r="H2" s="34" t="s">
        <v>300</v>
      </c>
      <c r="I2" s="34" t="s">
        <v>555</v>
      </c>
      <c r="J2" s="34" t="s">
        <v>302</v>
      </c>
      <c r="K2" s="34" t="s">
        <v>308</v>
      </c>
      <c r="L2" s="34" t="s">
        <v>211</v>
      </c>
      <c r="M2" s="34" t="s">
        <v>307</v>
      </c>
      <c r="N2" s="34"/>
      <c r="O2" s="34"/>
      <c r="P2" s="34"/>
      <c r="Q2" s="34"/>
      <c r="R2" s="34"/>
      <c r="S2" s="34"/>
      <c r="T2" s="34"/>
    </row>
    <row r="3" spans="1:20" x14ac:dyDescent="0.25">
      <c r="A3" t="s">
        <v>95</v>
      </c>
      <c r="E3" s="34">
        <v>100000001</v>
      </c>
      <c r="F3" s="34">
        <v>30</v>
      </c>
      <c r="G3" s="34">
        <v>0</v>
      </c>
      <c r="H3" s="34">
        <v>0</v>
      </c>
      <c r="I3" s="34">
        <v>0</v>
      </c>
      <c r="J3" s="34">
        <f>ROUNDUP((VLOOKUP(E3,'Base Matricule Siège'!$B$13:$AA$500,26,FALSE)),0)</f>
        <v>1607</v>
      </c>
      <c r="K3" s="34">
        <f>TRUNC(J3,0)</f>
        <v>1607</v>
      </c>
      <c r="L3" s="34" t="str">
        <f>VLOOKUP(E3,'Base Matricule Siège'!$B$13:$G$500,6,FALSE)</f>
        <v>Employé</v>
      </c>
      <c r="M3" s="34">
        <f>IF(L3="Cadre",(K3-H3),(K3-G3))</f>
        <v>1607</v>
      </c>
      <c r="N3" s="34"/>
      <c r="O3" s="34"/>
      <c r="P3" s="34"/>
      <c r="Q3" s="34"/>
      <c r="R3" s="34"/>
      <c r="S3" s="34"/>
      <c r="T3" s="34"/>
    </row>
    <row r="4" spans="1:20" x14ac:dyDescent="0.25">
      <c r="A4" t="s">
        <v>97</v>
      </c>
      <c r="B4" t="s">
        <v>98</v>
      </c>
      <c r="E4" s="34">
        <v>100000002</v>
      </c>
      <c r="F4" s="34">
        <v>30</v>
      </c>
      <c r="G4" s="34">
        <v>0</v>
      </c>
      <c r="H4">
        <v>0</v>
      </c>
      <c r="I4">
        <v>0</v>
      </c>
      <c r="J4" s="34">
        <f>ROUNDUP((VLOOKUP(E4,'Base Matricule Siège'!$B$13:$AA$500,26,FALSE)),0)</f>
        <v>1607</v>
      </c>
      <c r="K4" s="34">
        <f t="shared" ref="K4:K67" si="0">TRUNC(J4,0)</f>
        <v>1607</v>
      </c>
      <c r="L4" s="34" t="str">
        <f>VLOOKUP(E4,'Base Matricule Siège'!$B$13:$G$500,6,FALSE)</f>
        <v>Employé</v>
      </c>
      <c r="M4" s="34">
        <f>IF(L4="Cadre",(K4-H4),(K4-G4))</f>
        <v>1607</v>
      </c>
    </row>
    <row r="5" spans="1:20" x14ac:dyDescent="0.25">
      <c r="A5" t="s">
        <v>96</v>
      </c>
      <c r="B5" t="s">
        <v>188</v>
      </c>
      <c r="E5" s="34">
        <v>100000008</v>
      </c>
      <c r="F5" s="34">
        <v>30</v>
      </c>
      <c r="G5" s="34">
        <v>0</v>
      </c>
      <c r="H5">
        <v>0</v>
      </c>
      <c r="I5">
        <v>2</v>
      </c>
      <c r="J5" s="34">
        <f>ROUNDUP((VLOOKUP(E5,'Base Matricule Siège'!$B$13:$AA$500,26,FALSE)),0)</f>
        <v>1745</v>
      </c>
      <c r="K5" s="34">
        <f t="shared" si="0"/>
        <v>1745</v>
      </c>
      <c r="L5" s="34" t="str">
        <f>VLOOKUP(E5,'Base Matricule Siège'!$B$13:$G$500,6,FALSE)</f>
        <v>Employé</v>
      </c>
      <c r="M5" s="34">
        <f t="shared" ref="M5:M67" si="1">IF(L5="Cadre",(K5-H5),(K5-G5))</f>
        <v>1745</v>
      </c>
    </row>
    <row r="6" spans="1:20" x14ac:dyDescent="0.25">
      <c r="A6" t="s">
        <v>641</v>
      </c>
      <c r="B6" t="s">
        <v>642</v>
      </c>
      <c r="E6" s="34">
        <v>100000011</v>
      </c>
      <c r="F6" s="34">
        <v>30</v>
      </c>
      <c r="G6" s="34">
        <v>0</v>
      </c>
      <c r="H6">
        <v>0</v>
      </c>
      <c r="I6">
        <v>0</v>
      </c>
      <c r="J6" s="34">
        <f>ROUNDUP((VLOOKUP(E6,'Base Matricule Siège'!$B$13:$AA$500,26,FALSE)),0)</f>
        <v>1607</v>
      </c>
      <c r="K6" s="34">
        <f t="shared" si="0"/>
        <v>1607</v>
      </c>
      <c r="L6" s="34" t="str">
        <f>VLOOKUP(E6,'Base Matricule Siège'!$B$13:$G$500,6,FALSE)</f>
        <v>Employé</v>
      </c>
      <c r="M6" s="34">
        <f t="shared" si="1"/>
        <v>1607</v>
      </c>
    </row>
    <row r="7" spans="1:20" x14ac:dyDescent="0.25">
      <c r="A7" t="s">
        <v>96</v>
      </c>
      <c r="B7" t="s">
        <v>189</v>
      </c>
      <c r="E7" s="34">
        <v>100000020</v>
      </c>
      <c r="F7" s="34">
        <v>29</v>
      </c>
      <c r="G7" s="34">
        <v>0</v>
      </c>
      <c r="H7">
        <v>0</v>
      </c>
      <c r="I7">
        <v>0</v>
      </c>
      <c r="J7" s="34">
        <f>ROUNDUP((VLOOKUP(E7,'Base Matricule Siège'!$B$13:$AA$500,26,FALSE)),0)</f>
        <v>1614</v>
      </c>
      <c r="K7" s="34">
        <f t="shared" si="0"/>
        <v>1614</v>
      </c>
      <c r="L7" s="34" t="str">
        <f>VLOOKUP(E7,'Base Matricule Siège'!$B$13:$G$500,6,FALSE)</f>
        <v>Employé</v>
      </c>
      <c r="M7" s="34">
        <f t="shared" si="1"/>
        <v>1614</v>
      </c>
    </row>
    <row r="8" spans="1:20" x14ac:dyDescent="0.25">
      <c r="A8" t="s">
        <v>96</v>
      </c>
      <c r="B8" t="s">
        <v>190</v>
      </c>
      <c r="E8" s="34">
        <v>200000006</v>
      </c>
      <c r="F8" s="34">
        <v>29</v>
      </c>
      <c r="G8" s="34">
        <v>0</v>
      </c>
      <c r="H8">
        <v>0</v>
      </c>
      <c r="I8">
        <v>0</v>
      </c>
      <c r="J8" s="34">
        <f>ROUNDUP((VLOOKUP(E8,'Base Matricule Siège'!$B$13:$AA$500,26,FALSE)),0)</f>
        <v>1614</v>
      </c>
      <c r="K8" s="34">
        <f t="shared" si="0"/>
        <v>1614</v>
      </c>
      <c r="L8" s="34" t="str">
        <f>VLOOKUP(E8,'Base Matricule Siège'!$B$13:$G$500,6,FALSE)</f>
        <v>Employé</v>
      </c>
      <c r="M8" s="34">
        <f t="shared" si="1"/>
        <v>1614</v>
      </c>
    </row>
    <row r="9" spans="1:20" x14ac:dyDescent="0.25">
      <c r="A9" t="s">
        <v>96</v>
      </c>
      <c r="B9" t="s">
        <v>191</v>
      </c>
      <c r="E9" s="34">
        <v>200000008</v>
      </c>
      <c r="F9" s="34">
        <v>30</v>
      </c>
      <c r="G9" s="34">
        <v>0</v>
      </c>
      <c r="H9">
        <v>0</v>
      </c>
      <c r="I9">
        <v>0</v>
      </c>
      <c r="J9" s="34">
        <f>ROUNDUP((VLOOKUP(E9,'Base Matricule Siège'!$B$13:$AA$500,26,FALSE)),0)</f>
        <v>1607</v>
      </c>
      <c r="K9" s="34">
        <f t="shared" si="0"/>
        <v>1607</v>
      </c>
      <c r="L9" s="34" t="str">
        <f>VLOOKUP(E9,'Base Matricule Siège'!$B$13:$G$500,6,FALSE)</f>
        <v>Employé</v>
      </c>
      <c r="M9" s="34">
        <f t="shared" si="1"/>
        <v>1607</v>
      </c>
    </row>
    <row r="10" spans="1:20" x14ac:dyDescent="0.25">
      <c r="A10" t="s">
        <v>96</v>
      </c>
      <c r="B10" t="s">
        <v>192</v>
      </c>
      <c r="E10" s="34">
        <v>200000011</v>
      </c>
      <c r="F10" s="34">
        <v>30</v>
      </c>
      <c r="G10" s="34">
        <v>0</v>
      </c>
      <c r="H10">
        <v>0</v>
      </c>
      <c r="I10">
        <v>1</v>
      </c>
      <c r="J10" s="34">
        <f>ROUNDUP((VLOOKUP(E10,'Base Matricule Siège'!$B$13:$AA$500,26,FALSE)),0)</f>
        <v>218</v>
      </c>
      <c r="K10" s="34">
        <f t="shared" si="0"/>
        <v>218</v>
      </c>
      <c r="L10" s="34" t="str">
        <f>VLOOKUP(E10,'Base Matricule Siège'!$B$13:$G$500,6,FALSE)</f>
        <v>Cadre</v>
      </c>
      <c r="M10" s="34">
        <f t="shared" si="1"/>
        <v>218</v>
      </c>
    </row>
    <row r="11" spans="1:20" x14ac:dyDescent="0.25">
      <c r="A11" t="s">
        <v>96</v>
      </c>
      <c r="B11" t="s">
        <v>193</v>
      </c>
      <c r="E11" s="34">
        <v>200000030</v>
      </c>
      <c r="F11" s="34">
        <v>47</v>
      </c>
      <c r="G11" s="34">
        <v>0</v>
      </c>
      <c r="H11">
        <v>0</v>
      </c>
      <c r="I11">
        <v>0</v>
      </c>
      <c r="J11" s="34">
        <f>ROUNDUP((VLOOKUP(E11,'Base Matricule Siège'!$B$13:$AA$500,26,FALSE)),0)</f>
        <v>1488</v>
      </c>
      <c r="K11" s="34">
        <f t="shared" si="0"/>
        <v>1488</v>
      </c>
      <c r="L11" s="34" t="str">
        <f>VLOOKUP(E11,'Base Matricule Siège'!$B$13:$G$500,6,FALSE)</f>
        <v>Employé</v>
      </c>
      <c r="M11" s="34">
        <f t="shared" si="1"/>
        <v>1488</v>
      </c>
    </row>
    <row r="12" spans="1:20" x14ac:dyDescent="0.25">
      <c r="A12" t="s">
        <v>96</v>
      </c>
      <c r="B12" t="s">
        <v>194</v>
      </c>
      <c r="E12" s="34">
        <v>200000034</v>
      </c>
      <c r="F12" s="34">
        <v>27</v>
      </c>
      <c r="G12" s="34">
        <v>0</v>
      </c>
      <c r="H12">
        <v>0</v>
      </c>
      <c r="I12">
        <v>0</v>
      </c>
      <c r="J12" s="34">
        <f>ROUNDUP((VLOOKUP(E12,'Base Matricule Siège'!$B$13:$AA$500,26,FALSE)),0)</f>
        <v>1628</v>
      </c>
      <c r="K12" s="34">
        <f t="shared" si="0"/>
        <v>1628</v>
      </c>
      <c r="L12" s="34" t="str">
        <f>VLOOKUP(E12,'Base Matricule Siège'!$B$13:$G$500,6,FALSE)</f>
        <v>Employé</v>
      </c>
      <c r="M12" s="34">
        <f t="shared" si="1"/>
        <v>1628</v>
      </c>
    </row>
    <row r="13" spans="1:20" x14ac:dyDescent="0.25">
      <c r="A13" t="s">
        <v>96</v>
      </c>
      <c r="B13" t="s">
        <v>195</v>
      </c>
      <c r="E13" s="34">
        <v>200000037</v>
      </c>
      <c r="F13" s="34">
        <v>30</v>
      </c>
      <c r="G13" s="34">
        <v>0</v>
      </c>
      <c r="H13">
        <v>0</v>
      </c>
      <c r="I13">
        <v>0</v>
      </c>
      <c r="J13" s="34">
        <f>ROUNDUP((VLOOKUP(E13,'Base Matricule Siège'!$B$13:$AA$500,26,FALSE)),0)</f>
        <v>1607</v>
      </c>
      <c r="K13" s="34">
        <f t="shared" si="0"/>
        <v>1607</v>
      </c>
      <c r="L13" s="34" t="str">
        <f>VLOOKUP(E13,'Base Matricule Siège'!$B$13:$G$500,6,FALSE)</f>
        <v>Employé</v>
      </c>
      <c r="M13" s="34">
        <f t="shared" si="1"/>
        <v>1607</v>
      </c>
    </row>
    <row r="14" spans="1:20" x14ac:dyDescent="0.25">
      <c r="A14" t="s">
        <v>96</v>
      </c>
      <c r="B14" t="s">
        <v>196</v>
      </c>
      <c r="E14" s="34">
        <v>300000002</v>
      </c>
      <c r="F14" s="34">
        <v>30</v>
      </c>
      <c r="G14" s="34">
        <v>0</v>
      </c>
      <c r="H14">
        <v>0</v>
      </c>
      <c r="I14">
        <v>0</v>
      </c>
      <c r="J14" s="34">
        <f>ROUNDUP((VLOOKUP(E14,'Base Matricule Siège'!$B$13:$AA$500,26,FALSE)),0)</f>
        <v>1607</v>
      </c>
      <c r="K14" s="34">
        <f t="shared" si="0"/>
        <v>1607</v>
      </c>
      <c r="L14" s="34" t="str">
        <f>VLOOKUP(E14,'Base Matricule Siège'!$B$13:$G$500,6,FALSE)</f>
        <v>Employé</v>
      </c>
      <c r="M14" s="34">
        <f t="shared" si="1"/>
        <v>1607</v>
      </c>
    </row>
    <row r="15" spans="1:20" x14ac:dyDescent="0.25">
      <c r="A15" t="s">
        <v>96</v>
      </c>
      <c r="B15" t="s">
        <v>404</v>
      </c>
      <c r="E15" s="34">
        <v>300000003</v>
      </c>
      <c r="F15" s="34">
        <v>30</v>
      </c>
      <c r="G15" s="34">
        <v>0</v>
      </c>
      <c r="H15">
        <v>0</v>
      </c>
      <c r="I15">
        <v>2</v>
      </c>
      <c r="J15" s="34">
        <f>ROUNDUP((VLOOKUP(E15,'Base Matricule Siège'!$B$13:$AA$500,26,FALSE)),0)</f>
        <v>218</v>
      </c>
      <c r="K15" s="34">
        <f t="shared" si="0"/>
        <v>218</v>
      </c>
      <c r="L15" s="34" t="str">
        <f>VLOOKUP(E15,'Base Matricule Siège'!$B$13:$G$500,6,FALSE)</f>
        <v>Cadre</v>
      </c>
      <c r="M15" s="34">
        <f t="shared" si="1"/>
        <v>218</v>
      </c>
    </row>
    <row r="16" spans="1:20" x14ac:dyDescent="0.25">
      <c r="A16" t="s">
        <v>96</v>
      </c>
      <c r="B16" t="s">
        <v>197</v>
      </c>
      <c r="E16" s="34">
        <v>300000009</v>
      </c>
      <c r="F16" s="34">
        <v>30</v>
      </c>
      <c r="G16" s="34">
        <v>0</v>
      </c>
      <c r="H16">
        <v>0</v>
      </c>
      <c r="I16">
        <v>0</v>
      </c>
      <c r="J16" s="34">
        <f>ROUNDUP((VLOOKUP(E16,'Base Matricule Siège'!$B$13:$AA$500,26,FALSE)),0)</f>
        <v>1607</v>
      </c>
      <c r="K16" s="34">
        <f t="shared" si="0"/>
        <v>1607</v>
      </c>
      <c r="L16" s="34" t="str">
        <f>VLOOKUP(E16,'Base Matricule Siège'!$B$13:$G$500,6,FALSE)</f>
        <v>Employé</v>
      </c>
      <c r="M16" s="34">
        <f t="shared" si="1"/>
        <v>1607</v>
      </c>
    </row>
    <row r="17" spans="1:13" x14ac:dyDescent="0.25">
      <c r="A17" t="s">
        <v>96</v>
      </c>
      <c r="B17" t="s">
        <v>198</v>
      </c>
      <c r="E17" s="34">
        <v>300000011</v>
      </c>
      <c r="F17" s="34">
        <v>30</v>
      </c>
      <c r="G17" s="34">
        <v>0</v>
      </c>
      <c r="H17">
        <v>0</v>
      </c>
      <c r="I17">
        <v>0</v>
      </c>
      <c r="J17" s="34">
        <f>ROUNDUP((VLOOKUP(E17,'Base Matricule Siège'!$B$13:$AA$500,26,FALSE)),0)</f>
        <v>1607</v>
      </c>
      <c r="K17" s="34">
        <f t="shared" si="0"/>
        <v>1607</v>
      </c>
      <c r="L17" s="34" t="str">
        <f>VLOOKUP(E17,'Base Matricule Siège'!$B$13:$G$500,6,FALSE)</f>
        <v>Employé</v>
      </c>
      <c r="M17" s="34">
        <f t="shared" si="1"/>
        <v>1607</v>
      </c>
    </row>
    <row r="18" spans="1:13" x14ac:dyDescent="0.25">
      <c r="A18" t="s">
        <v>96</v>
      </c>
      <c r="B18" t="s">
        <v>199</v>
      </c>
      <c r="E18" s="34">
        <v>300000018</v>
      </c>
      <c r="F18" s="34">
        <v>30</v>
      </c>
      <c r="G18" s="34">
        <v>0</v>
      </c>
      <c r="H18">
        <v>0</v>
      </c>
      <c r="I18">
        <v>0</v>
      </c>
      <c r="J18" s="34">
        <f>ROUNDUP((VLOOKUP(E18,'Base Matricule Siège'!$B$13:$AA$500,26,FALSE)),0)</f>
        <v>1607</v>
      </c>
      <c r="K18" s="34">
        <f t="shared" si="0"/>
        <v>1607</v>
      </c>
      <c r="L18" s="34" t="str">
        <f>VLOOKUP(E18,'Base Matricule Siège'!$B$13:$G$500,6,FALSE)</f>
        <v>Employé</v>
      </c>
      <c r="M18" s="34">
        <f t="shared" si="1"/>
        <v>1607</v>
      </c>
    </row>
    <row r="19" spans="1:13" x14ac:dyDescent="0.25">
      <c r="A19" t="s">
        <v>96</v>
      </c>
      <c r="B19" t="s">
        <v>607</v>
      </c>
      <c r="E19" s="34">
        <v>300000026</v>
      </c>
      <c r="F19" s="34">
        <v>32</v>
      </c>
      <c r="G19" s="34">
        <v>0</v>
      </c>
      <c r="H19">
        <v>0</v>
      </c>
      <c r="I19">
        <v>0</v>
      </c>
      <c r="J19" s="34">
        <f>ROUNDUP((VLOOKUP(E19,'Base Matricule Siège'!$B$13:$AA$500,26,FALSE)),0)</f>
        <v>1137</v>
      </c>
      <c r="K19" s="34">
        <f t="shared" si="0"/>
        <v>1137</v>
      </c>
      <c r="L19" s="34" t="str">
        <f>VLOOKUP(E19,'Base Matricule Siège'!$B$13:$G$500,6,FALSE)</f>
        <v>Employé</v>
      </c>
      <c r="M19" s="34">
        <f t="shared" si="1"/>
        <v>1137</v>
      </c>
    </row>
    <row r="20" spans="1:13" x14ac:dyDescent="0.25">
      <c r="A20" t="s">
        <v>96</v>
      </c>
      <c r="B20" t="s">
        <v>606</v>
      </c>
      <c r="E20" s="34">
        <v>300000034</v>
      </c>
      <c r="F20" s="34">
        <v>30</v>
      </c>
      <c r="G20" s="34">
        <v>0</v>
      </c>
      <c r="H20">
        <v>0</v>
      </c>
      <c r="I20">
        <v>0</v>
      </c>
      <c r="J20" s="34">
        <f>ROUNDUP((VLOOKUP(E20,'Base Matricule Siège'!$B$13:$AA$500,26,FALSE)),0)</f>
        <v>1607</v>
      </c>
      <c r="K20" s="34">
        <f t="shared" si="0"/>
        <v>1607</v>
      </c>
      <c r="L20" s="34" t="str">
        <f>VLOOKUP(E20,'Base Matricule Siège'!$B$13:$G$500,6,FALSE)</f>
        <v>Employé</v>
      </c>
      <c r="M20" s="34">
        <f t="shared" si="1"/>
        <v>1607</v>
      </c>
    </row>
    <row r="21" spans="1:13" x14ac:dyDescent="0.25">
      <c r="A21" t="s">
        <v>396</v>
      </c>
      <c r="B21" t="s">
        <v>396</v>
      </c>
      <c r="E21" s="34">
        <v>400000001</v>
      </c>
      <c r="F21" s="34">
        <v>30</v>
      </c>
      <c r="G21" s="34">
        <v>0</v>
      </c>
      <c r="H21">
        <v>0</v>
      </c>
      <c r="I21">
        <v>0</v>
      </c>
      <c r="J21" s="34">
        <f>ROUNDUP((VLOOKUP(E21,'Base Matricule Siège'!$B$13:$AA$500,26,FALSE)),0)</f>
        <v>1787</v>
      </c>
      <c r="K21" s="34">
        <f t="shared" si="0"/>
        <v>1787</v>
      </c>
      <c r="L21" s="34" t="str">
        <f>VLOOKUP(E21,'Base Matricule Siège'!$B$13:$G$500,6,FALSE)</f>
        <v>Employé</v>
      </c>
      <c r="M21" s="34">
        <f t="shared" si="1"/>
        <v>1787</v>
      </c>
    </row>
    <row r="22" spans="1:13" x14ac:dyDescent="0.25">
      <c r="A22" t="s">
        <v>457</v>
      </c>
      <c r="B22" t="s">
        <v>458</v>
      </c>
      <c r="E22" s="34">
        <v>400000006</v>
      </c>
      <c r="F22" s="34">
        <v>30</v>
      </c>
      <c r="G22" s="34">
        <v>0</v>
      </c>
      <c r="H22">
        <v>0</v>
      </c>
      <c r="I22">
        <v>1</v>
      </c>
      <c r="J22" s="34">
        <f>ROUNDUP((VLOOKUP(E22,'Base Matricule Siège'!$B$13:$AA$500,26,FALSE)),0)</f>
        <v>1607</v>
      </c>
      <c r="K22" s="34">
        <f t="shared" si="0"/>
        <v>1607</v>
      </c>
      <c r="L22" s="34" t="str">
        <f>VLOOKUP(E22,'Base Matricule Siège'!$B$13:$G$500,6,FALSE)</f>
        <v>Employé</v>
      </c>
      <c r="M22" s="34">
        <f t="shared" si="1"/>
        <v>1607</v>
      </c>
    </row>
    <row r="23" spans="1:13" x14ac:dyDescent="0.25">
      <c r="A23" t="s">
        <v>96</v>
      </c>
      <c r="B23" t="s">
        <v>465</v>
      </c>
      <c r="E23" s="34">
        <v>400000009</v>
      </c>
      <c r="F23" s="34">
        <v>48</v>
      </c>
      <c r="G23" s="34">
        <v>0</v>
      </c>
      <c r="H23">
        <v>0</v>
      </c>
      <c r="I23">
        <v>1</v>
      </c>
      <c r="J23" s="34">
        <f>ROUNDUP((VLOOKUP(E23,'Base Matricule Siège'!$B$13:$AA$500,26,FALSE)),0)</f>
        <v>1481</v>
      </c>
      <c r="K23" s="34">
        <f t="shared" si="0"/>
        <v>1481</v>
      </c>
      <c r="L23" s="34" t="str">
        <f>VLOOKUP(E23,'Base Matricule Siège'!$B$13:$G$500,6,FALSE)</f>
        <v>Employé</v>
      </c>
      <c r="M23" s="34">
        <f t="shared" si="1"/>
        <v>1481</v>
      </c>
    </row>
    <row r="24" spans="1:13" x14ac:dyDescent="0.25">
      <c r="A24" t="s">
        <v>457</v>
      </c>
      <c r="B24" t="s">
        <v>473</v>
      </c>
      <c r="E24" s="34">
        <v>400000010</v>
      </c>
      <c r="F24" s="34">
        <v>27</v>
      </c>
      <c r="G24" s="34">
        <v>0</v>
      </c>
      <c r="H24">
        <v>0</v>
      </c>
      <c r="I24">
        <v>2</v>
      </c>
      <c r="J24" s="34">
        <f>ROUNDUP((VLOOKUP(E24,'Base Matricule Siège'!$B$13:$AA$500,26,FALSE)),0)</f>
        <v>221</v>
      </c>
      <c r="K24" s="34">
        <f t="shared" si="0"/>
        <v>221</v>
      </c>
      <c r="L24" s="34" t="str">
        <f>VLOOKUP(E24,'Base Matricule Siège'!$B$13:$G$500,6,FALSE)</f>
        <v>Cadre</v>
      </c>
      <c r="M24" s="34">
        <f t="shared" si="1"/>
        <v>221</v>
      </c>
    </row>
    <row r="25" spans="1:13" x14ac:dyDescent="0.25">
      <c r="A25" t="s">
        <v>457</v>
      </c>
      <c r="B25" t="s">
        <v>474</v>
      </c>
      <c r="E25" s="34">
        <v>400000014</v>
      </c>
      <c r="F25" s="34">
        <v>30</v>
      </c>
      <c r="G25" s="34">
        <v>0</v>
      </c>
      <c r="H25">
        <v>0</v>
      </c>
      <c r="I25">
        <v>0</v>
      </c>
      <c r="J25" s="34">
        <f>ROUNDUP((VLOOKUP(E25,'Base Matricule Siège'!$B$13:$AA$500,26,FALSE)),0)</f>
        <v>1607</v>
      </c>
      <c r="K25" s="34">
        <f t="shared" si="0"/>
        <v>1607</v>
      </c>
      <c r="L25" s="34" t="str">
        <f>VLOOKUP(E25,'Base Matricule Siège'!$B$13:$G$500,6,FALSE)</f>
        <v>Employé</v>
      </c>
      <c r="M25" s="34">
        <f t="shared" si="1"/>
        <v>1607</v>
      </c>
    </row>
    <row r="26" spans="1:13" x14ac:dyDescent="0.25">
      <c r="A26" t="s">
        <v>457</v>
      </c>
      <c r="B26" t="s">
        <v>184</v>
      </c>
      <c r="E26" s="34">
        <v>400000022</v>
      </c>
      <c r="F26" s="34">
        <v>30</v>
      </c>
      <c r="G26" s="34">
        <v>0</v>
      </c>
      <c r="H26">
        <v>0</v>
      </c>
      <c r="I26">
        <v>0</v>
      </c>
      <c r="J26" s="34">
        <f>ROUNDUP((VLOOKUP(E26,'Base Matricule Siège'!$B$13:$AA$500,26,FALSE)),0)</f>
        <v>1607</v>
      </c>
      <c r="K26" s="34">
        <f t="shared" si="0"/>
        <v>1607</v>
      </c>
      <c r="L26" s="34" t="str">
        <f>VLOOKUP(E26,'Base Matricule Siège'!$B$13:$G$500,6,FALSE)</f>
        <v>Employé</v>
      </c>
      <c r="M26" s="34">
        <f t="shared" si="1"/>
        <v>1607</v>
      </c>
    </row>
    <row r="27" spans="1:13" x14ac:dyDescent="0.25">
      <c r="A27" t="s">
        <v>457</v>
      </c>
      <c r="B27" t="s">
        <v>608</v>
      </c>
      <c r="E27" s="34">
        <v>400000024</v>
      </c>
      <c r="F27" s="34">
        <v>11</v>
      </c>
      <c r="G27" s="34">
        <v>0</v>
      </c>
      <c r="H27">
        <v>0</v>
      </c>
      <c r="I27">
        <v>0</v>
      </c>
      <c r="J27" s="34">
        <f>ROUNDUP((VLOOKUP(E27,'Base Matricule Siège'!$B$13:$AA$500,26,FALSE)),0)</f>
        <v>1740</v>
      </c>
      <c r="K27" s="34">
        <f t="shared" si="0"/>
        <v>1740</v>
      </c>
      <c r="L27" s="34" t="str">
        <f>VLOOKUP(E27,'Base Matricule Siège'!$B$13:$G$500,6,FALSE)</f>
        <v>Employé</v>
      </c>
      <c r="M27" s="34">
        <f t="shared" si="1"/>
        <v>1740</v>
      </c>
    </row>
    <row r="28" spans="1:13" x14ac:dyDescent="0.25">
      <c r="A28" t="s">
        <v>641</v>
      </c>
      <c r="B28" t="s">
        <v>729</v>
      </c>
      <c r="E28" s="34">
        <v>500000001</v>
      </c>
      <c r="F28" s="34">
        <v>30</v>
      </c>
      <c r="G28" s="34">
        <v>0</v>
      </c>
      <c r="H28">
        <v>0</v>
      </c>
      <c r="I28">
        <v>0</v>
      </c>
      <c r="J28" s="34">
        <f>ROUNDUP((VLOOKUP(E28,'Base Matricule Siège'!$B$13:$AA$500,26,FALSE)),0)</f>
        <v>1787</v>
      </c>
      <c r="K28" s="34">
        <f t="shared" si="0"/>
        <v>1787</v>
      </c>
      <c r="L28" s="34" t="str">
        <f>VLOOKUP(E28,'Base Matricule Siège'!$B$13:$G$500,6,FALSE)</f>
        <v>Employé</v>
      </c>
      <c r="M28" s="34">
        <f t="shared" si="1"/>
        <v>1787</v>
      </c>
    </row>
    <row r="29" spans="1:13" x14ac:dyDescent="0.25">
      <c r="E29" s="34">
        <v>500000002</v>
      </c>
      <c r="F29" s="34">
        <v>30</v>
      </c>
      <c r="G29" s="34">
        <v>0</v>
      </c>
      <c r="H29">
        <v>0</v>
      </c>
      <c r="I29">
        <v>3</v>
      </c>
      <c r="J29" s="34">
        <f>ROUNDUP((VLOOKUP(E29,'Base Matricule Siège'!$B$13:$AA$500,26,FALSE)),0)</f>
        <v>643</v>
      </c>
      <c r="K29" s="34">
        <f t="shared" si="0"/>
        <v>643</v>
      </c>
      <c r="L29" s="34" t="str">
        <f>VLOOKUP(E29,'Base Matricule Siège'!$B$13:$G$500,6,FALSE)</f>
        <v>Employé</v>
      </c>
      <c r="M29" s="34">
        <f t="shared" si="1"/>
        <v>643</v>
      </c>
    </row>
    <row r="30" spans="1:13" x14ac:dyDescent="0.25">
      <c r="E30" s="34">
        <v>500000013</v>
      </c>
      <c r="F30" s="34">
        <v>30</v>
      </c>
      <c r="G30" s="34">
        <v>0</v>
      </c>
      <c r="H30">
        <v>0</v>
      </c>
      <c r="I30">
        <v>0</v>
      </c>
      <c r="J30" s="34">
        <f>ROUNDUP((VLOOKUP(E30,'Base Matricule Siège'!$B$13:$AA$500,26,FALSE)),0)</f>
        <v>1607</v>
      </c>
      <c r="K30" s="34">
        <f t="shared" si="0"/>
        <v>1607</v>
      </c>
      <c r="L30" s="34" t="str">
        <f>VLOOKUP(E30,'Base Matricule Siège'!$B$13:$G$500,6,FALSE)</f>
        <v>Employé</v>
      </c>
      <c r="M30" s="34">
        <f t="shared" si="1"/>
        <v>1607</v>
      </c>
    </row>
    <row r="31" spans="1:13" x14ac:dyDescent="0.25">
      <c r="E31" s="34">
        <v>500000019</v>
      </c>
      <c r="F31" s="34">
        <v>30</v>
      </c>
      <c r="G31" s="34">
        <v>0</v>
      </c>
      <c r="H31">
        <v>0</v>
      </c>
      <c r="I31">
        <v>0</v>
      </c>
      <c r="J31" s="34">
        <f>ROUNDUP((VLOOKUP(E31,'Base Matricule Siège'!$B$13:$AA$500,26,FALSE)),0)</f>
        <v>1607</v>
      </c>
      <c r="K31" s="34">
        <f t="shared" si="0"/>
        <v>1607</v>
      </c>
      <c r="L31" s="34" t="str">
        <f>VLOOKUP(E31,'Base Matricule Siège'!$B$13:$G$500,6,FALSE)</f>
        <v>Employé</v>
      </c>
      <c r="M31" s="34">
        <f t="shared" si="1"/>
        <v>1607</v>
      </c>
    </row>
    <row r="32" spans="1:13" x14ac:dyDescent="0.25">
      <c r="E32" s="34">
        <v>500000024</v>
      </c>
      <c r="F32" s="34">
        <v>30</v>
      </c>
      <c r="G32" s="34">
        <v>0</v>
      </c>
      <c r="H32">
        <v>0</v>
      </c>
      <c r="I32">
        <v>0</v>
      </c>
      <c r="J32" s="34">
        <f>ROUNDUP((VLOOKUP(E32,'Base Matricule Siège'!$B$13:$AA$500,26,FALSE)),0)</f>
        <v>1607</v>
      </c>
      <c r="K32" s="34">
        <f t="shared" si="0"/>
        <v>1607</v>
      </c>
      <c r="L32" s="34" t="str">
        <f>VLOOKUP(E32,'Base Matricule Siège'!$B$13:$G$500,6,FALSE)</f>
        <v>Employé</v>
      </c>
      <c r="M32" s="34">
        <f t="shared" si="1"/>
        <v>1607</v>
      </c>
    </row>
    <row r="33" spans="5:13" x14ac:dyDescent="0.25">
      <c r="E33" s="34">
        <v>500000028</v>
      </c>
      <c r="F33" s="34">
        <v>30</v>
      </c>
      <c r="G33" s="34">
        <v>0</v>
      </c>
      <c r="H33">
        <v>0</v>
      </c>
      <c r="I33">
        <v>0</v>
      </c>
      <c r="J33" s="34">
        <f>ROUNDUP((VLOOKUP(E33,'Base Matricule Siège'!$B$13:$AA$500,26,FALSE)),0)</f>
        <v>1607</v>
      </c>
      <c r="K33" s="34">
        <f t="shared" si="0"/>
        <v>1607</v>
      </c>
      <c r="L33" s="34" t="str">
        <f>VLOOKUP(E33,'Base Matricule Siège'!$B$13:$G$500,6,FALSE)</f>
        <v>Employé</v>
      </c>
      <c r="M33" s="34">
        <f t="shared" si="1"/>
        <v>1607</v>
      </c>
    </row>
    <row r="34" spans="5:13" x14ac:dyDescent="0.25">
      <c r="E34" s="34">
        <v>500000030</v>
      </c>
      <c r="F34" s="34">
        <v>30</v>
      </c>
      <c r="G34" s="34">
        <v>0</v>
      </c>
      <c r="H34">
        <v>0</v>
      </c>
      <c r="I34">
        <v>0</v>
      </c>
      <c r="J34" s="34">
        <f>ROUNDUP((VLOOKUP(E34,'Base Matricule Siège'!$B$13:$AA$500,26,FALSE)),0)</f>
        <v>1607</v>
      </c>
      <c r="K34" s="34">
        <f t="shared" si="0"/>
        <v>1607</v>
      </c>
      <c r="L34" s="34" t="str">
        <f>VLOOKUP(E34,'Base Matricule Siège'!$B$13:$G$500,6,FALSE)</f>
        <v>Employé</v>
      </c>
      <c r="M34" s="34">
        <f t="shared" si="1"/>
        <v>1607</v>
      </c>
    </row>
    <row r="35" spans="5:13" x14ac:dyDescent="0.25">
      <c r="E35" s="34">
        <v>600000003</v>
      </c>
      <c r="F35" s="34">
        <v>30</v>
      </c>
      <c r="G35" s="34">
        <v>0</v>
      </c>
      <c r="H35">
        <v>0</v>
      </c>
      <c r="I35">
        <v>0</v>
      </c>
      <c r="J35" s="34">
        <f>ROUNDUP((VLOOKUP(E35,'Base Matricule Siège'!$B$13:$AA$500,26,FALSE)),0)</f>
        <v>1607</v>
      </c>
      <c r="K35" s="34">
        <f t="shared" si="0"/>
        <v>1607</v>
      </c>
      <c r="L35" s="34" t="str">
        <f>VLOOKUP(E35,'Base Matricule Siège'!$B$13:$G$500,6,FALSE)</f>
        <v>Employé</v>
      </c>
      <c r="M35" s="34">
        <f t="shared" si="1"/>
        <v>1607</v>
      </c>
    </row>
    <row r="36" spans="5:13" x14ac:dyDescent="0.25">
      <c r="E36" s="34">
        <v>600000006</v>
      </c>
      <c r="F36" s="34">
        <v>30</v>
      </c>
      <c r="G36" s="34">
        <v>0</v>
      </c>
      <c r="H36">
        <v>0</v>
      </c>
      <c r="I36">
        <v>1</v>
      </c>
      <c r="J36" s="34">
        <f>ROUNDUP((VLOOKUP(E36,'Base Matricule Siège'!$B$13:$AA$500,26,FALSE)),0)</f>
        <v>1787</v>
      </c>
      <c r="K36" s="34">
        <f t="shared" si="0"/>
        <v>1787</v>
      </c>
      <c r="L36" s="34" t="str">
        <f>VLOOKUP(E36,'Base Matricule Siège'!$B$13:$G$500,6,FALSE)</f>
        <v>Employé</v>
      </c>
      <c r="M36" s="34">
        <f t="shared" si="1"/>
        <v>1787</v>
      </c>
    </row>
    <row r="37" spans="5:13" x14ac:dyDescent="0.25">
      <c r="E37" s="34">
        <v>600000007</v>
      </c>
      <c r="F37" s="34">
        <v>30</v>
      </c>
      <c r="G37" s="34">
        <v>0</v>
      </c>
      <c r="H37">
        <v>0</v>
      </c>
      <c r="I37">
        <v>0</v>
      </c>
      <c r="J37" s="34">
        <f>ROUNDUP((VLOOKUP(E37,'Base Matricule Siège'!$B$13:$AA$500,26,FALSE)),0)</f>
        <v>1607</v>
      </c>
      <c r="K37" s="34">
        <f t="shared" si="0"/>
        <v>1607</v>
      </c>
      <c r="L37" s="34" t="str">
        <f>VLOOKUP(E37,'Base Matricule Siège'!$B$13:$G$500,6,FALSE)</f>
        <v>Employé</v>
      </c>
      <c r="M37" s="34">
        <f t="shared" si="1"/>
        <v>1607</v>
      </c>
    </row>
    <row r="38" spans="5:13" x14ac:dyDescent="0.25">
      <c r="E38" s="34">
        <v>600000009</v>
      </c>
      <c r="F38" s="34">
        <v>30</v>
      </c>
      <c r="G38" s="34">
        <v>0</v>
      </c>
      <c r="H38">
        <v>0</v>
      </c>
      <c r="I38">
        <v>0</v>
      </c>
      <c r="J38" s="34">
        <f>ROUNDUP((VLOOKUP(E38,'Base Matricule Siège'!$B$13:$AA$500,26,FALSE)),0)</f>
        <v>1607</v>
      </c>
      <c r="K38" s="34">
        <f t="shared" si="0"/>
        <v>1607</v>
      </c>
      <c r="L38" s="34" t="str">
        <f>VLOOKUP(E38,'Base Matricule Siège'!$B$13:$G$500,6,FALSE)</f>
        <v>Employé</v>
      </c>
      <c r="M38" s="34">
        <f>IF(L38="Cadre",(K38-H38),(K38-G38))</f>
        <v>1607</v>
      </c>
    </row>
    <row r="39" spans="5:13" x14ac:dyDescent="0.25">
      <c r="E39" s="34">
        <v>600000010</v>
      </c>
      <c r="F39" s="34">
        <v>29</v>
      </c>
      <c r="G39" s="34">
        <v>0</v>
      </c>
      <c r="H39">
        <v>0</v>
      </c>
      <c r="I39">
        <v>0</v>
      </c>
      <c r="J39" s="34">
        <f>ROUNDUP((VLOOKUP(E39,'Base Matricule Siège'!$B$13:$AA$500,26,FALSE)),0)</f>
        <v>1614</v>
      </c>
      <c r="K39" s="34">
        <f t="shared" si="0"/>
        <v>1614</v>
      </c>
      <c r="L39" s="34" t="str">
        <f>VLOOKUP(E39,'Base Matricule Siège'!$B$13:$G$500,6,FALSE)</f>
        <v>Employé</v>
      </c>
      <c r="M39" s="34">
        <f t="shared" si="1"/>
        <v>1614</v>
      </c>
    </row>
    <row r="40" spans="5:13" x14ac:dyDescent="0.25">
      <c r="E40" s="34">
        <v>600000012</v>
      </c>
      <c r="F40" s="34">
        <v>30</v>
      </c>
      <c r="G40" s="34">
        <v>0</v>
      </c>
      <c r="H40">
        <v>0</v>
      </c>
      <c r="I40">
        <v>0</v>
      </c>
      <c r="J40" s="34">
        <f>ROUNDUP((VLOOKUP(E40,'Base Matricule Siège'!$B$13:$AA$500,26,FALSE)),0)</f>
        <v>1607</v>
      </c>
      <c r="K40" s="34">
        <f t="shared" si="0"/>
        <v>1607</v>
      </c>
      <c r="L40" s="34" t="str">
        <f>VLOOKUP(E40,'Base Matricule Siège'!$B$13:$G$500,6,FALSE)</f>
        <v>Employé</v>
      </c>
      <c r="M40" s="34">
        <f t="shared" si="1"/>
        <v>1607</v>
      </c>
    </row>
    <row r="41" spans="5:13" x14ac:dyDescent="0.25">
      <c r="E41" s="34">
        <v>600000015</v>
      </c>
      <c r="F41" s="34">
        <v>30</v>
      </c>
      <c r="G41" s="34">
        <v>0</v>
      </c>
      <c r="H41">
        <v>0</v>
      </c>
      <c r="I41">
        <v>0</v>
      </c>
      <c r="J41" s="34">
        <f>ROUNDUP((VLOOKUP(E41,'Base Matricule Siège'!$B$13:$AA$500,26,FALSE)),0)</f>
        <v>1102</v>
      </c>
      <c r="K41" s="34">
        <f t="shared" si="0"/>
        <v>1102</v>
      </c>
      <c r="L41" s="34" t="str">
        <f>VLOOKUP(E41,'Base Matricule Siège'!$B$13:$G$500,6,FALSE)</f>
        <v>Employé</v>
      </c>
      <c r="M41" s="34">
        <f t="shared" si="1"/>
        <v>1102</v>
      </c>
    </row>
    <row r="42" spans="5:13" x14ac:dyDescent="0.25">
      <c r="E42" s="34">
        <v>600000024</v>
      </c>
      <c r="F42" s="34">
        <v>30</v>
      </c>
      <c r="G42" s="34">
        <v>0</v>
      </c>
      <c r="H42">
        <v>0</v>
      </c>
      <c r="I42">
        <v>0</v>
      </c>
      <c r="J42" s="34">
        <f>ROUNDUP((VLOOKUP(E42,'Base Matricule Siège'!$B$13:$AA$500,26,FALSE)),0)</f>
        <v>1607</v>
      </c>
      <c r="K42" s="34">
        <f t="shared" si="0"/>
        <v>1607</v>
      </c>
      <c r="L42" s="34" t="str">
        <f>VLOOKUP(E42,'Base Matricule Siège'!$B$13:$G$500,6,FALSE)</f>
        <v>Employé</v>
      </c>
      <c r="M42" s="34">
        <f t="shared" si="1"/>
        <v>1607</v>
      </c>
    </row>
    <row r="43" spans="5:13" x14ac:dyDescent="0.25">
      <c r="E43" s="34">
        <v>600000032</v>
      </c>
      <c r="F43" s="34">
        <v>0</v>
      </c>
      <c r="G43" s="34">
        <v>0</v>
      </c>
      <c r="H43">
        <v>0</v>
      </c>
      <c r="I43">
        <v>0</v>
      </c>
      <c r="J43" s="34">
        <f>ROUNDUP((VLOOKUP(E43,'Base Matricule Siège'!$B$13:$AA$500,26,FALSE)),0)</f>
        <v>1817</v>
      </c>
      <c r="K43" s="34">
        <f t="shared" si="0"/>
        <v>1817</v>
      </c>
      <c r="L43" s="34" t="str">
        <f>VLOOKUP(E43,'Base Matricule Siège'!$B$13:$G$500,6,FALSE)</f>
        <v>Employé</v>
      </c>
      <c r="M43" s="34">
        <f t="shared" si="1"/>
        <v>1817</v>
      </c>
    </row>
    <row r="44" spans="5:13" x14ac:dyDescent="0.25">
      <c r="E44" s="34">
        <v>600000033</v>
      </c>
      <c r="F44" s="34">
        <v>60</v>
      </c>
      <c r="G44" s="34">
        <v>0</v>
      </c>
      <c r="H44">
        <v>0</v>
      </c>
      <c r="I44">
        <v>0</v>
      </c>
      <c r="J44" s="34">
        <f>ROUNDUP((VLOOKUP(E44,'Base Matricule Siège'!$B$13:$AA$500,26,FALSE)),0)</f>
        <v>188</v>
      </c>
      <c r="K44" s="34">
        <f t="shared" si="0"/>
        <v>188</v>
      </c>
      <c r="L44" s="34" t="str">
        <f>VLOOKUP(E44,'Base Matricule Siège'!$B$13:$G$500,6,FALSE)</f>
        <v>Cadre</v>
      </c>
      <c r="M44" s="34">
        <f t="shared" si="1"/>
        <v>188</v>
      </c>
    </row>
    <row r="45" spans="5:13" x14ac:dyDescent="0.25">
      <c r="E45" s="34">
        <v>700000002</v>
      </c>
      <c r="F45" s="34">
        <v>30</v>
      </c>
      <c r="G45" s="34">
        <v>0</v>
      </c>
      <c r="H45">
        <v>0</v>
      </c>
      <c r="I45">
        <v>0</v>
      </c>
      <c r="J45" s="34">
        <f>ROUNDUP((VLOOKUP(E45,'Base Matricule Siège'!$B$13:$AA$500,26,FALSE)),0)</f>
        <v>1607</v>
      </c>
      <c r="K45" s="34">
        <f t="shared" si="0"/>
        <v>1607</v>
      </c>
      <c r="L45" s="34" t="str">
        <f>VLOOKUP(E45,'Base Matricule Siège'!$B$13:$G$500,6,FALSE)</f>
        <v>Employé</v>
      </c>
      <c r="M45" s="34">
        <f t="shared" si="1"/>
        <v>1607</v>
      </c>
    </row>
    <row r="46" spans="5:13" x14ac:dyDescent="0.25">
      <c r="E46" s="34">
        <v>700000003</v>
      </c>
      <c r="F46" s="34">
        <v>30</v>
      </c>
      <c r="G46" s="34">
        <v>0</v>
      </c>
      <c r="H46">
        <v>0</v>
      </c>
      <c r="I46">
        <v>3</v>
      </c>
      <c r="J46" s="34">
        <f>ROUNDUP((VLOOKUP(E46,'Base Matricule Siège'!$B$13:$AA$500,26,FALSE)),0)</f>
        <v>1607</v>
      </c>
      <c r="K46" s="34">
        <f t="shared" si="0"/>
        <v>1607</v>
      </c>
      <c r="L46" s="34" t="str">
        <f>VLOOKUP(E46,'Base Matricule Siège'!$B$13:$G$500,6,FALSE)</f>
        <v>Employé</v>
      </c>
      <c r="M46" s="34">
        <f t="shared" si="1"/>
        <v>1607</v>
      </c>
    </row>
    <row r="47" spans="5:13" x14ac:dyDescent="0.25">
      <c r="E47" s="34">
        <v>700000004</v>
      </c>
      <c r="F47" s="34">
        <v>30</v>
      </c>
      <c r="G47" s="34">
        <v>0</v>
      </c>
      <c r="H47">
        <v>0</v>
      </c>
      <c r="I47">
        <v>3</v>
      </c>
      <c r="J47" s="34">
        <f>ROUNDUP((VLOOKUP(E47,'Base Matricule Siège'!$B$13:$AA$500,26,FALSE)),0)</f>
        <v>1607</v>
      </c>
      <c r="K47" s="34">
        <f t="shared" si="0"/>
        <v>1607</v>
      </c>
      <c r="L47" s="34" t="str">
        <f>VLOOKUP(E47,'Base Matricule Siège'!$B$13:$G$500,6,FALSE)</f>
        <v>Employé</v>
      </c>
      <c r="M47" s="34">
        <f t="shared" si="1"/>
        <v>1607</v>
      </c>
    </row>
    <row r="48" spans="5:13" x14ac:dyDescent="0.25">
      <c r="E48" s="34">
        <v>700000005</v>
      </c>
      <c r="F48" s="34">
        <v>30</v>
      </c>
      <c r="G48" s="34">
        <v>0</v>
      </c>
      <c r="H48">
        <v>0</v>
      </c>
      <c r="I48">
        <v>3</v>
      </c>
      <c r="J48" s="34">
        <f>ROUNDUP((VLOOKUP(E48,'Base Matricule Siège'!$B$13:$AA$500,26,FALSE)),0)</f>
        <v>1607</v>
      </c>
      <c r="K48" s="34">
        <f t="shared" si="0"/>
        <v>1607</v>
      </c>
      <c r="L48" s="34" t="str">
        <f>VLOOKUP(E48,'Base Matricule Siège'!$B$13:$G$500,6,FALSE)</f>
        <v>Employé</v>
      </c>
      <c r="M48" s="34">
        <f t="shared" si="1"/>
        <v>1607</v>
      </c>
    </row>
    <row r="49" spans="5:13" x14ac:dyDescent="0.25">
      <c r="E49" s="34">
        <v>700000031</v>
      </c>
      <c r="F49" s="34">
        <v>30</v>
      </c>
      <c r="G49" s="34">
        <v>0</v>
      </c>
      <c r="H49">
        <v>0</v>
      </c>
      <c r="I49">
        <v>0</v>
      </c>
      <c r="J49" s="34">
        <f>ROUNDUP((VLOOKUP(E49,'Base Matricule Siège'!$B$13:$AA$500,26,FALSE)),0)</f>
        <v>1607</v>
      </c>
      <c r="K49" s="34">
        <f t="shared" si="0"/>
        <v>1607</v>
      </c>
      <c r="L49" s="34" t="str">
        <f>VLOOKUP(E49,'Base Matricule Siège'!$B$13:$G$500,6,FALSE)</f>
        <v>Employé</v>
      </c>
      <c r="M49" s="34">
        <f t="shared" si="1"/>
        <v>1607</v>
      </c>
    </row>
    <row r="50" spans="5:13" x14ac:dyDescent="0.25">
      <c r="E50" s="34">
        <v>700000033</v>
      </c>
      <c r="F50" s="34">
        <v>30</v>
      </c>
      <c r="G50" s="34">
        <v>0</v>
      </c>
      <c r="H50">
        <v>0</v>
      </c>
      <c r="I50">
        <v>0</v>
      </c>
      <c r="J50" s="34">
        <f>ROUNDUP((VLOOKUP(E50,'Base Matricule Siège'!$B$13:$AA$500,26,FALSE)),0)</f>
        <v>1607</v>
      </c>
      <c r="K50" s="34">
        <f t="shared" si="0"/>
        <v>1607</v>
      </c>
      <c r="L50" s="34" t="str">
        <f>VLOOKUP(E50,'Base Matricule Siège'!$B$13:$G$500,6,FALSE)</f>
        <v>Employé</v>
      </c>
      <c r="M50" s="34">
        <f t="shared" si="1"/>
        <v>1607</v>
      </c>
    </row>
    <row r="51" spans="5:13" x14ac:dyDescent="0.25">
      <c r="E51" s="34">
        <v>700000037</v>
      </c>
      <c r="F51" s="34">
        <v>23</v>
      </c>
      <c r="G51" s="34">
        <v>0</v>
      </c>
      <c r="H51">
        <v>0</v>
      </c>
      <c r="I51">
        <v>0</v>
      </c>
      <c r="J51" s="34" t="e">
        <f>ROUNDUP((VLOOKUP(E51,'Base Matricule Siège'!$B$13:$AA$500,26,FALSE)),0)</f>
        <v>#N/A</v>
      </c>
      <c r="K51" s="34" t="e">
        <f t="shared" si="0"/>
        <v>#N/A</v>
      </c>
      <c r="L51" s="34" t="e">
        <f>VLOOKUP(E51,'Base Matricule Siège'!$B$13:$G$500,6,FALSE)</f>
        <v>#N/A</v>
      </c>
      <c r="M51" s="34" t="e">
        <f t="shared" si="1"/>
        <v>#N/A</v>
      </c>
    </row>
    <row r="52" spans="5:13" x14ac:dyDescent="0.25">
      <c r="E52" s="34">
        <v>700000039</v>
      </c>
      <c r="F52" s="34">
        <v>30</v>
      </c>
      <c r="G52" s="34">
        <v>0</v>
      </c>
      <c r="H52">
        <v>0</v>
      </c>
      <c r="I52">
        <v>0</v>
      </c>
      <c r="J52" s="34">
        <f>ROUNDUP((VLOOKUP(E52,'Base Matricule Siège'!$B$13:$AA$500,26,FALSE)),0)</f>
        <v>1607</v>
      </c>
      <c r="K52" s="34">
        <f t="shared" si="0"/>
        <v>1607</v>
      </c>
      <c r="L52" s="34" t="str">
        <f>VLOOKUP(E52,'Base Matricule Siège'!$B$13:$G$500,6,FALSE)</f>
        <v>Employé</v>
      </c>
      <c r="M52" s="34">
        <f t="shared" si="1"/>
        <v>1607</v>
      </c>
    </row>
    <row r="53" spans="5:13" x14ac:dyDescent="0.25">
      <c r="E53" s="34">
        <v>800000010</v>
      </c>
      <c r="F53" s="34">
        <v>30</v>
      </c>
      <c r="G53" s="34">
        <v>0</v>
      </c>
      <c r="H53">
        <v>0</v>
      </c>
      <c r="I53">
        <v>1</v>
      </c>
      <c r="J53" s="34">
        <f>ROUNDUP((VLOOKUP(E53,'Base Matricule Siège'!$B$13:$AA$500,26,FALSE)),0)</f>
        <v>1745</v>
      </c>
      <c r="K53" s="34">
        <f t="shared" si="0"/>
        <v>1745</v>
      </c>
      <c r="L53" s="34" t="str">
        <f>VLOOKUP(E53,'Base Matricule Siège'!$B$13:$G$500,6,FALSE)</f>
        <v>Employé</v>
      </c>
      <c r="M53" s="34">
        <f t="shared" si="1"/>
        <v>1745</v>
      </c>
    </row>
    <row r="54" spans="5:13" x14ac:dyDescent="0.25">
      <c r="E54" s="34">
        <v>800000013</v>
      </c>
      <c r="F54" s="34">
        <v>30</v>
      </c>
      <c r="G54" s="34">
        <v>0</v>
      </c>
      <c r="H54">
        <v>0</v>
      </c>
      <c r="I54">
        <v>0</v>
      </c>
      <c r="J54" s="34">
        <f>ROUNDUP((VLOOKUP(E54,'Base Matricule Siège'!$B$13:$AA$500,26,FALSE)),0)</f>
        <v>1607</v>
      </c>
      <c r="K54" s="34">
        <f t="shared" si="0"/>
        <v>1607</v>
      </c>
      <c r="L54" s="34" t="str">
        <f>VLOOKUP(E54,'Base Matricule Siège'!$B$13:$G$500,6,FALSE)</f>
        <v>Employé</v>
      </c>
      <c r="M54" s="34">
        <f t="shared" si="1"/>
        <v>1607</v>
      </c>
    </row>
    <row r="55" spans="5:13" x14ac:dyDescent="0.25">
      <c r="E55" s="34">
        <v>800000021</v>
      </c>
      <c r="F55" s="34">
        <v>30</v>
      </c>
      <c r="G55" s="34">
        <v>0</v>
      </c>
      <c r="H55">
        <v>0</v>
      </c>
      <c r="I55">
        <v>0</v>
      </c>
      <c r="J55" s="34">
        <f>ROUNDUP((VLOOKUP(E55,'Base Matricule Siège'!$B$13:$AA$500,26,FALSE)),0)</f>
        <v>1607</v>
      </c>
      <c r="K55" s="34">
        <f t="shared" si="0"/>
        <v>1607</v>
      </c>
      <c r="L55" s="34" t="str">
        <f>VLOOKUP(E55,'Base Matricule Siège'!$B$13:$G$500,6,FALSE)</f>
        <v>Employé</v>
      </c>
      <c r="M55" s="34">
        <f t="shared" si="1"/>
        <v>1607</v>
      </c>
    </row>
    <row r="56" spans="5:13" x14ac:dyDescent="0.25">
      <c r="E56" s="34">
        <v>800000026</v>
      </c>
      <c r="F56" s="34">
        <v>30</v>
      </c>
      <c r="G56" s="34">
        <v>0</v>
      </c>
      <c r="H56">
        <v>0</v>
      </c>
      <c r="I56">
        <v>0</v>
      </c>
      <c r="J56" s="34">
        <f>ROUNDUP((VLOOKUP(E56,'Base Matricule Siège'!$B$13:$AA$500,26,FALSE)),0)</f>
        <v>1745</v>
      </c>
      <c r="K56" s="34">
        <f t="shared" si="0"/>
        <v>1745</v>
      </c>
      <c r="L56" s="34" t="str">
        <f>VLOOKUP(E56,'Base Matricule Siège'!$B$13:$G$500,6,FALSE)</f>
        <v>Employé</v>
      </c>
      <c r="M56" s="34">
        <f t="shared" si="1"/>
        <v>1745</v>
      </c>
    </row>
    <row r="57" spans="5:13" x14ac:dyDescent="0.25">
      <c r="E57" s="34">
        <v>800000027</v>
      </c>
      <c r="F57" s="34">
        <v>30</v>
      </c>
      <c r="G57" s="34">
        <v>0</v>
      </c>
      <c r="H57">
        <v>0</v>
      </c>
      <c r="I57">
        <v>0</v>
      </c>
      <c r="J57" s="34">
        <f>ROUNDUP((VLOOKUP(E57,'Base Matricule Siège'!$B$13:$AA$500,26,FALSE)),0)</f>
        <v>1607</v>
      </c>
      <c r="K57" s="34">
        <f t="shared" si="0"/>
        <v>1607</v>
      </c>
      <c r="L57" s="34" t="str">
        <f>VLOOKUP(E57,'Base Matricule Siège'!$B$13:$G$500,6,FALSE)</f>
        <v>Employé</v>
      </c>
      <c r="M57" s="34">
        <f t="shared" si="1"/>
        <v>1607</v>
      </c>
    </row>
    <row r="58" spans="5:13" x14ac:dyDescent="0.25">
      <c r="E58" s="34">
        <v>800000029</v>
      </c>
      <c r="F58" s="34">
        <v>30</v>
      </c>
      <c r="G58" s="34">
        <v>0</v>
      </c>
      <c r="H58">
        <v>0</v>
      </c>
      <c r="I58">
        <v>0</v>
      </c>
      <c r="J58" s="34">
        <f>ROUNDUP((VLOOKUP(E58,'Base Matricule Siège'!$B$13:$AA$500,26,FALSE)),0)</f>
        <v>1607</v>
      </c>
      <c r="K58" s="34">
        <f t="shared" si="0"/>
        <v>1607</v>
      </c>
      <c r="L58" s="34" t="str">
        <f>VLOOKUP(E58,'Base Matricule Siège'!$B$13:$G$500,6,FALSE)</f>
        <v>Employé</v>
      </c>
      <c r="M58" s="34">
        <f t="shared" si="1"/>
        <v>1607</v>
      </c>
    </row>
    <row r="59" spans="5:13" x14ac:dyDescent="0.25">
      <c r="E59" s="34">
        <v>800000033</v>
      </c>
      <c r="F59" s="34">
        <v>30</v>
      </c>
      <c r="G59" s="34">
        <v>0</v>
      </c>
      <c r="H59">
        <v>0</v>
      </c>
      <c r="I59">
        <v>0</v>
      </c>
      <c r="J59" s="34">
        <f>ROUNDUP((VLOOKUP(E59,'Base Matricule Siège'!$B$13:$AA$500,26,FALSE)),0)</f>
        <v>1607</v>
      </c>
      <c r="K59" s="34">
        <f t="shared" si="0"/>
        <v>1607</v>
      </c>
      <c r="L59" s="34" t="str">
        <f>VLOOKUP(E59,'Base Matricule Siège'!$B$13:$G$500,6,FALSE)</f>
        <v>Employé</v>
      </c>
      <c r="M59" s="34">
        <f t="shared" si="1"/>
        <v>1607</v>
      </c>
    </row>
    <row r="60" spans="5:13" x14ac:dyDescent="0.25">
      <c r="E60" s="34">
        <v>900000001</v>
      </c>
      <c r="F60" s="34">
        <v>30</v>
      </c>
      <c r="G60" s="34">
        <v>0</v>
      </c>
      <c r="H60">
        <v>0</v>
      </c>
      <c r="I60">
        <v>0</v>
      </c>
      <c r="J60" s="34">
        <f>ROUNDUP((VLOOKUP(E60,'Base Matricule Siège'!$B$13:$AA$500,26,FALSE)),0)</f>
        <v>1787</v>
      </c>
      <c r="K60" s="34">
        <f t="shared" si="0"/>
        <v>1787</v>
      </c>
      <c r="L60" s="34" t="str">
        <f>VLOOKUP(E60,'Base Matricule Siège'!$B$13:$G$500,6,FALSE)</f>
        <v>Employé</v>
      </c>
      <c r="M60" s="34">
        <f t="shared" si="1"/>
        <v>1787</v>
      </c>
    </row>
    <row r="61" spans="5:13" x14ac:dyDescent="0.25">
      <c r="E61" s="34">
        <v>900000002</v>
      </c>
      <c r="F61" s="34">
        <v>30</v>
      </c>
      <c r="G61" s="34">
        <v>0</v>
      </c>
      <c r="H61">
        <v>0</v>
      </c>
      <c r="I61">
        <v>0</v>
      </c>
      <c r="J61" s="34">
        <f>ROUNDUP((VLOOKUP(E61,'Base Matricule Siège'!$B$13:$AA$500,26,FALSE)),0)</f>
        <v>1607</v>
      </c>
      <c r="K61" s="34">
        <f t="shared" si="0"/>
        <v>1607</v>
      </c>
      <c r="L61" s="34" t="str">
        <f>VLOOKUP(E61,'Base Matricule Siège'!$B$13:$G$500,6,FALSE)</f>
        <v>Employé</v>
      </c>
      <c r="M61" s="34">
        <f t="shared" si="1"/>
        <v>1607</v>
      </c>
    </row>
    <row r="62" spans="5:13" x14ac:dyDescent="0.25">
      <c r="E62" s="34">
        <v>900000006</v>
      </c>
      <c r="F62" s="34">
        <v>30</v>
      </c>
      <c r="G62" s="34">
        <v>0</v>
      </c>
      <c r="H62">
        <v>0</v>
      </c>
      <c r="I62">
        <v>1</v>
      </c>
      <c r="J62" s="34">
        <f>ROUNDUP((VLOOKUP(E62,'Base Matricule Siège'!$B$13:$AA$500,26,FALSE)),0)</f>
        <v>218</v>
      </c>
      <c r="K62" s="34">
        <f t="shared" si="0"/>
        <v>218</v>
      </c>
      <c r="L62" s="34" t="str">
        <f>VLOOKUP(E62,'Base Matricule Siège'!$B$13:$G$500,6,FALSE)</f>
        <v>Cadre</v>
      </c>
      <c r="M62" s="34">
        <f t="shared" si="1"/>
        <v>218</v>
      </c>
    </row>
    <row r="63" spans="5:13" x14ac:dyDescent="0.25">
      <c r="E63" s="34">
        <v>900000009</v>
      </c>
      <c r="F63" s="34">
        <v>30</v>
      </c>
      <c r="G63" s="34">
        <v>0</v>
      </c>
      <c r="H63">
        <v>0</v>
      </c>
      <c r="I63">
        <v>0</v>
      </c>
      <c r="J63" s="34">
        <f>ROUNDUP((VLOOKUP(E63,'Base Matricule Siège'!$B$13:$AA$500,26,FALSE)),0)</f>
        <v>1607</v>
      </c>
      <c r="K63" s="34">
        <f t="shared" si="0"/>
        <v>1607</v>
      </c>
      <c r="L63" s="34" t="str">
        <f>VLOOKUP(E63,'Base Matricule Siège'!$B$13:$G$500,6,FALSE)</f>
        <v>Employé</v>
      </c>
      <c r="M63" s="34">
        <f t="shared" si="1"/>
        <v>1607</v>
      </c>
    </row>
    <row r="64" spans="5:13" x14ac:dyDescent="0.25">
      <c r="E64" s="34">
        <v>900000023</v>
      </c>
      <c r="F64" s="34">
        <v>29</v>
      </c>
      <c r="G64" s="34">
        <v>0</v>
      </c>
      <c r="H64">
        <v>0</v>
      </c>
      <c r="I64">
        <v>0</v>
      </c>
      <c r="J64" s="34">
        <f>ROUNDUP((VLOOKUP(E64,'Base Matricule Siège'!$B$13:$AA$500,26,FALSE)),0)</f>
        <v>1614</v>
      </c>
      <c r="K64" s="34">
        <f t="shared" si="0"/>
        <v>1614</v>
      </c>
      <c r="L64" s="34" t="str">
        <f>VLOOKUP(E64,'Base Matricule Siège'!$B$13:$G$500,6,FALSE)</f>
        <v>Employé</v>
      </c>
      <c r="M64" s="34">
        <f t="shared" si="1"/>
        <v>1614</v>
      </c>
    </row>
    <row r="65" spans="5:13" x14ac:dyDescent="0.25">
      <c r="E65" s="34">
        <v>1000000001</v>
      </c>
      <c r="F65" s="34">
        <v>29</v>
      </c>
      <c r="G65" s="34">
        <v>0</v>
      </c>
      <c r="H65">
        <v>0</v>
      </c>
      <c r="I65">
        <v>2</v>
      </c>
      <c r="J65" s="34">
        <f>ROUNDUP((VLOOKUP(E65,'Base Matricule Siège'!$B$13:$AA$500,26,FALSE)),0)</f>
        <v>219</v>
      </c>
      <c r="K65" s="34">
        <f t="shared" si="0"/>
        <v>219</v>
      </c>
      <c r="L65" s="34" t="str">
        <f>VLOOKUP(E65,'Base Matricule Siège'!$B$13:$G$500,6,FALSE)</f>
        <v>Cadre</v>
      </c>
      <c r="M65" s="34">
        <f t="shared" si="1"/>
        <v>219</v>
      </c>
    </row>
    <row r="66" spans="5:13" x14ac:dyDescent="0.25">
      <c r="E66" s="34">
        <v>1000000002</v>
      </c>
      <c r="F66" s="34">
        <v>30</v>
      </c>
      <c r="G66" s="34">
        <v>0</v>
      </c>
      <c r="H66">
        <v>0</v>
      </c>
      <c r="I66">
        <v>0</v>
      </c>
      <c r="J66" s="34">
        <f>ROUNDUP((VLOOKUP(E66,'Base Matricule Siège'!$B$13:$AA$500,26,FALSE)),0)</f>
        <v>1286</v>
      </c>
      <c r="K66" s="34">
        <f t="shared" si="0"/>
        <v>1286</v>
      </c>
      <c r="L66" s="34" t="str">
        <f>VLOOKUP(E66,'Base Matricule Siège'!$B$13:$G$500,6,FALSE)</f>
        <v>Employé</v>
      </c>
      <c r="M66" s="34">
        <f t="shared" si="1"/>
        <v>1286</v>
      </c>
    </row>
    <row r="67" spans="5:13" x14ac:dyDescent="0.25">
      <c r="E67" s="34">
        <v>1000000014</v>
      </c>
      <c r="F67" s="34">
        <v>30</v>
      </c>
      <c r="G67" s="34">
        <v>0</v>
      </c>
      <c r="H67">
        <v>0</v>
      </c>
      <c r="I67">
        <v>0</v>
      </c>
      <c r="J67" s="34">
        <f>ROUNDUP((VLOOKUP(E67,'Base Matricule Siège'!$B$13:$AA$500,26,FALSE)),0)</f>
        <v>1607</v>
      </c>
      <c r="K67" s="34">
        <f t="shared" si="0"/>
        <v>1607</v>
      </c>
      <c r="L67" s="34" t="str">
        <f>VLOOKUP(E67,'Base Matricule Siège'!$B$13:$G$500,6,FALSE)</f>
        <v>Employé</v>
      </c>
      <c r="M67" s="34">
        <f t="shared" si="1"/>
        <v>1607</v>
      </c>
    </row>
    <row r="68" spans="5:13" x14ac:dyDescent="0.25">
      <c r="E68" s="34">
        <v>1000000015</v>
      </c>
      <c r="F68" s="34">
        <v>30</v>
      </c>
      <c r="G68" s="34">
        <v>0</v>
      </c>
      <c r="H68">
        <v>0</v>
      </c>
      <c r="I68">
        <v>0</v>
      </c>
      <c r="J68" s="34">
        <f>ROUNDUP((VLOOKUP(E68,'Base Matricule Siège'!$B$13:$AA$500,26,FALSE)),0)</f>
        <v>218</v>
      </c>
      <c r="K68" s="34">
        <f t="shared" ref="K68:K131" si="2">TRUNC(J68,0)</f>
        <v>218</v>
      </c>
      <c r="L68" s="34" t="str">
        <f>VLOOKUP(E68,'Base Matricule Siège'!$B$13:$G$500,6,FALSE)</f>
        <v>Cadre</v>
      </c>
      <c r="M68" s="34">
        <f t="shared" ref="M68:M131" si="3">IF(L68="Cadre",(K68-H68),(K68-G68))</f>
        <v>218</v>
      </c>
    </row>
    <row r="69" spans="5:13" x14ac:dyDescent="0.25">
      <c r="E69" s="34">
        <v>1000000030</v>
      </c>
      <c r="F69" s="34">
        <v>30</v>
      </c>
      <c r="G69" s="34">
        <v>0</v>
      </c>
      <c r="H69">
        <v>0</v>
      </c>
      <c r="I69">
        <v>0</v>
      </c>
      <c r="J69" s="34">
        <f>ROUNDUP((VLOOKUP(E69,'Base Matricule Siège'!$B$13:$AA$500,26,FALSE)),0)</f>
        <v>1607</v>
      </c>
      <c r="K69" s="34">
        <f t="shared" si="2"/>
        <v>1607</v>
      </c>
      <c r="L69" s="34" t="str">
        <f>VLOOKUP(E69,'Base Matricule Siège'!$B$13:$G$500,6,FALSE)</f>
        <v>Employé</v>
      </c>
      <c r="M69" s="34">
        <f t="shared" si="3"/>
        <v>1607</v>
      </c>
    </row>
    <row r="70" spans="5:13" x14ac:dyDescent="0.25">
      <c r="E70" s="34">
        <v>1100000004</v>
      </c>
      <c r="F70" s="34">
        <v>30</v>
      </c>
      <c r="G70" s="34">
        <v>0</v>
      </c>
      <c r="H70">
        <v>0</v>
      </c>
      <c r="I70">
        <v>2</v>
      </c>
      <c r="J70" s="34">
        <f>ROUNDUP((VLOOKUP(E70,'Base Matricule Siège'!$B$13:$AA$500,26,FALSE)),0)</f>
        <v>218</v>
      </c>
      <c r="K70" s="34">
        <f t="shared" si="2"/>
        <v>218</v>
      </c>
      <c r="L70" s="34" t="str">
        <f>VLOOKUP(E70,'Base Matricule Siège'!$B$13:$G$500,6,FALSE)</f>
        <v>Cadre</v>
      </c>
      <c r="M70" s="34">
        <f t="shared" si="3"/>
        <v>218</v>
      </c>
    </row>
    <row r="71" spans="5:13" x14ac:dyDescent="0.25">
      <c r="E71" s="34">
        <v>1100000005</v>
      </c>
      <c r="F71" s="34">
        <v>30</v>
      </c>
      <c r="G71" s="34">
        <v>0</v>
      </c>
      <c r="H71">
        <v>0</v>
      </c>
      <c r="I71">
        <v>2</v>
      </c>
      <c r="J71" s="34">
        <f>ROUNDUP((VLOOKUP(E71,'Base Matricule Siège'!$B$13:$AA$500,26,FALSE)),0)</f>
        <v>919</v>
      </c>
      <c r="K71" s="34">
        <f t="shared" si="2"/>
        <v>919</v>
      </c>
      <c r="L71" s="34" t="str">
        <f>VLOOKUP(E71,'Base Matricule Siège'!$B$13:$G$500,6,FALSE)</f>
        <v>Employé</v>
      </c>
      <c r="M71" s="34">
        <f t="shared" si="3"/>
        <v>919</v>
      </c>
    </row>
    <row r="72" spans="5:13" x14ac:dyDescent="0.25">
      <c r="E72" s="34">
        <v>1100000018</v>
      </c>
      <c r="F72" s="34">
        <v>0</v>
      </c>
      <c r="G72" s="34">
        <v>0</v>
      </c>
      <c r="H72">
        <v>0</v>
      </c>
      <c r="I72">
        <v>0</v>
      </c>
      <c r="J72" s="34">
        <f>ROUNDUP((VLOOKUP(E72,'Base Matricule Siège'!$B$13:$AA$500,26,FALSE)),0)</f>
        <v>1817</v>
      </c>
      <c r="K72" s="34">
        <f t="shared" si="2"/>
        <v>1817</v>
      </c>
      <c r="L72" s="34" t="str">
        <f>VLOOKUP(E72,'Base Matricule Siège'!$B$13:$G$500,6,FALSE)</f>
        <v>Employé</v>
      </c>
      <c r="M72" s="34">
        <f t="shared" si="3"/>
        <v>1817</v>
      </c>
    </row>
    <row r="73" spans="5:13" x14ac:dyDescent="0.25">
      <c r="E73" s="34">
        <v>1100000020</v>
      </c>
      <c r="F73" s="34">
        <v>30</v>
      </c>
      <c r="G73" s="34">
        <v>0</v>
      </c>
      <c r="H73">
        <v>0</v>
      </c>
      <c r="I73">
        <v>0</v>
      </c>
      <c r="J73" s="34">
        <f>ROUNDUP((VLOOKUP(E73,'Base Matricule Siège'!$B$13:$AA$500,26,FALSE)),0)</f>
        <v>1607</v>
      </c>
      <c r="K73" s="34">
        <f t="shared" si="2"/>
        <v>1607</v>
      </c>
      <c r="L73" s="34" t="str">
        <f>VLOOKUP(E73,'Base Matricule Siège'!$B$13:$G$500,6,FALSE)</f>
        <v>Employé</v>
      </c>
      <c r="M73" s="34">
        <f t="shared" si="3"/>
        <v>1607</v>
      </c>
    </row>
    <row r="74" spans="5:13" x14ac:dyDescent="0.25">
      <c r="E74" s="34">
        <v>1100000040</v>
      </c>
      <c r="F74" s="34">
        <v>30</v>
      </c>
      <c r="G74" s="34">
        <v>0</v>
      </c>
      <c r="H74">
        <v>0</v>
      </c>
      <c r="I74">
        <v>0</v>
      </c>
      <c r="J74" s="34">
        <f>ROUNDUP((VLOOKUP(E74,'Base Matricule Siège'!$B$13:$AA$500,26,FALSE)),0)</f>
        <v>1607</v>
      </c>
      <c r="K74" s="34">
        <f t="shared" si="2"/>
        <v>1607</v>
      </c>
      <c r="L74" s="34" t="str">
        <f>VLOOKUP(E74,'Base Matricule Siège'!$B$13:$G$500,6,FALSE)</f>
        <v>Employé</v>
      </c>
      <c r="M74" s="34">
        <f t="shared" si="3"/>
        <v>1607</v>
      </c>
    </row>
    <row r="75" spans="5:13" x14ac:dyDescent="0.25">
      <c r="E75" s="34">
        <v>1100000042</v>
      </c>
      <c r="F75" s="34">
        <v>30</v>
      </c>
      <c r="G75" s="34">
        <v>0</v>
      </c>
      <c r="H75">
        <v>0</v>
      </c>
      <c r="I75">
        <v>0</v>
      </c>
      <c r="J75" s="34">
        <f>ROUNDUP((VLOOKUP(E75,'Base Matricule Siège'!$B$13:$AA$500,26,FALSE)),0)</f>
        <v>1607</v>
      </c>
      <c r="K75" s="34">
        <f t="shared" si="2"/>
        <v>1607</v>
      </c>
      <c r="L75" s="34" t="str">
        <f>VLOOKUP(E75,'Base Matricule Siège'!$B$13:$G$500,6,FALSE)</f>
        <v>Employé</v>
      </c>
      <c r="M75" s="34">
        <f t="shared" si="3"/>
        <v>1607</v>
      </c>
    </row>
    <row r="76" spans="5:13" x14ac:dyDescent="0.25">
      <c r="E76" s="34">
        <v>1200000005</v>
      </c>
      <c r="F76" s="34">
        <v>30</v>
      </c>
      <c r="G76" s="34">
        <v>0</v>
      </c>
      <c r="H76">
        <v>0</v>
      </c>
      <c r="I76">
        <v>2</v>
      </c>
      <c r="J76" s="34">
        <f>ROUNDUP((VLOOKUP(E76,'Base Matricule Siège'!$B$13:$AA$500,26,FALSE)),0)</f>
        <v>218</v>
      </c>
      <c r="K76" s="34">
        <f t="shared" si="2"/>
        <v>218</v>
      </c>
      <c r="L76" s="34" t="str">
        <f>VLOOKUP(E76,'Base Matricule Siège'!$B$13:$G$500,6,FALSE)</f>
        <v>Cadre</v>
      </c>
      <c r="M76" s="34">
        <f t="shared" si="3"/>
        <v>218</v>
      </c>
    </row>
    <row r="77" spans="5:13" x14ac:dyDescent="0.25">
      <c r="E77" s="34">
        <v>1200000015</v>
      </c>
      <c r="F77" s="34">
        <v>30</v>
      </c>
      <c r="G77" s="34">
        <v>0</v>
      </c>
      <c r="H77">
        <v>0</v>
      </c>
      <c r="I77">
        <v>0</v>
      </c>
      <c r="J77" s="34">
        <f>ROUNDUP((VLOOKUP(E77,'Base Matricule Siège'!$B$13:$AA$500,26,FALSE)),0)</f>
        <v>1607</v>
      </c>
      <c r="K77" s="34">
        <f t="shared" si="2"/>
        <v>1607</v>
      </c>
      <c r="L77" s="34" t="str">
        <f>VLOOKUP(E77,'Base Matricule Siège'!$B$13:$G$500,6,FALSE)</f>
        <v>Employé</v>
      </c>
      <c r="M77" s="34">
        <f t="shared" si="3"/>
        <v>1607</v>
      </c>
    </row>
    <row r="78" spans="5:13" x14ac:dyDescent="0.25">
      <c r="E78" s="34">
        <v>1200000016</v>
      </c>
      <c r="F78" s="34">
        <v>30</v>
      </c>
      <c r="G78" s="34">
        <v>0</v>
      </c>
      <c r="H78">
        <v>0</v>
      </c>
      <c r="I78">
        <v>0</v>
      </c>
      <c r="J78" s="34">
        <f>ROUNDUP((VLOOKUP(E78,'Base Matricule Siège'!$B$13:$AA$500,26,FALSE)),0)</f>
        <v>1607</v>
      </c>
      <c r="K78" s="34">
        <f t="shared" si="2"/>
        <v>1607</v>
      </c>
      <c r="L78" s="34" t="str">
        <f>VLOOKUP(E78,'Base Matricule Siège'!$B$13:$G$500,6,FALSE)</f>
        <v>Employé</v>
      </c>
      <c r="M78" s="34">
        <f t="shared" si="3"/>
        <v>1607</v>
      </c>
    </row>
    <row r="79" spans="5:13" x14ac:dyDescent="0.25">
      <c r="E79" s="34">
        <v>1200000031</v>
      </c>
      <c r="F79" s="34">
        <v>30</v>
      </c>
      <c r="G79" s="34">
        <v>0</v>
      </c>
      <c r="H79">
        <v>0</v>
      </c>
      <c r="I79">
        <v>0</v>
      </c>
      <c r="J79" s="34">
        <f>ROUNDUP((VLOOKUP(E79,'Base Matricule Siège'!$B$13:$AA$500,26,FALSE)),0)</f>
        <v>1607</v>
      </c>
      <c r="K79" s="34">
        <f t="shared" si="2"/>
        <v>1607</v>
      </c>
      <c r="L79" s="34" t="str">
        <f>VLOOKUP(E79,'Base Matricule Siège'!$B$13:$G$500,6,FALSE)</f>
        <v>Employé</v>
      </c>
      <c r="M79" s="34">
        <f t="shared" si="3"/>
        <v>1607</v>
      </c>
    </row>
    <row r="80" spans="5:13" x14ac:dyDescent="0.25">
      <c r="E80" s="34">
        <v>1200000035</v>
      </c>
      <c r="F80" s="34">
        <v>42</v>
      </c>
      <c r="G80" s="34">
        <v>0</v>
      </c>
      <c r="H80">
        <v>0</v>
      </c>
      <c r="I80">
        <v>0</v>
      </c>
      <c r="J80" s="34">
        <f>ROUNDUP((VLOOKUP(E80,'Base Matricule Siège'!$B$13:$AA$500,26,FALSE)),0)</f>
        <v>206</v>
      </c>
      <c r="K80" s="34">
        <f t="shared" si="2"/>
        <v>206</v>
      </c>
      <c r="L80" s="34" t="str">
        <f>VLOOKUP(E80,'Base Matricule Siège'!$B$13:$G$500,6,FALSE)</f>
        <v>Cadre</v>
      </c>
      <c r="M80" s="34">
        <f t="shared" si="3"/>
        <v>206</v>
      </c>
    </row>
    <row r="81" spans="5:13" x14ac:dyDescent="0.25">
      <c r="E81" s="34">
        <v>1200000039</v>
      </c>
      <c r="F81" s="34">
        <v>30</v>
      </c>
      <c r="G81" s="34">
        <v>0</v>
      </c>
      <c r="H81">
        <v>0</v>
      </c>
      <c r="I81">
        <v>0</v>
      </c>
      <c r="J81" s="34">
        <f>ROUNDUP((VLOOKUP(E81,'Base Matricule Siège'!$B$13:$AA$500,26,FALSE)),0)</f>
        <v>1787</v>
      </c>
      <c r="K81" s="34">
        <f t="shared" si="2"/>
        <v>1787</v>
      </c>
      <c r="L81" s="34" t="str">
        <f>VLOOKUP(E81,'Base Matricule Siège'!$B$13:$G$500,6,FALSE)</f>
        <v>Employé</v>
      </c>
      <c r="M81" s="34">
        <f t="shared" si="3"/>
        <v>1787</v>
      </c>
    </row>
    <row r="82" spans="5:13" x14ac:dyDescent="0.25">
      <c r="E82" s="34">
        <v>1200000048</v>
      </c>
      <c r="F82" s="34">
        <v>48</v>
      </c>
      <c r="G82" s="34">
        <v>0</v>
      </c>
      <c r="H82">
        <v>0</v>
      </c>
      <c r="I82">
        <v>0</v>
      </c>
      <c r="J82" s="34">
        <f>ROUNDUP((VLOOKUP(E82,'Base Matricule Siège'!$B$13:$AA$500,26,FALSE)),0)</f>
        <v>1481</v>
      </c>
      <c r="K82" s="34">
        <f t="shared" si="2"/>
        <v>1481</v>
      </c>
      <c r="L82" s="34" t="str">
        <f>VLOOKUP(E82,'Base Matricule Siège'!$B$13:$G$500,6,FALSE)</f>
        <v>Employé</v>
      </c>
      <c r="M82" s="34">
        <f t="shared" si="3"/>
        <v>1481</v>
      </c>
    </row>
    <row r="83" spans="5:13" x14ac:dyDescent="0.25">
      <c r="E83" s="34">
        <v>1300000002</v>
      </c>
      <c r="F83" s="34">
        <v>30</v>
      </c>
      <c r="G83" s="34">
        <v>0</v>
      </c>
      <c r="H83">
        <v>0</v>
      </c>
      <c r="I83">
        <v>1</v>
      </c>
      <c r="J83" s="34">
        <f>ROUNDUP((VLOOKUP(E83,'Base Matricule Siège'!$B$13:$AA$500,26,FALSE)),0)</f>
        <v>1837</v>
      </c>
      <c r="K83" s="34">
        <f t="shared" si="2"/>
        <v>1837</v>
      </c>
      <c r="L83" s="34" t="str">
        <f>VLOOKUP(E83,'Base Matricule Siège'!$B$13:$G$500,6,FALSE)</f>
        <v>Employé</v>
      </c>
      <c r="M83" s="34">
        <f t="shared" si="3"/>
        <v>1837</v>
      </c>
    </row>
    <row r="84" spans="5:13" x14ac:dyDescent="0.25">
      <c r="E84" s="34">
        <v>1300000004</v>
      </c>
      <c r="F84" s="34">
        <v>30</v>
      </c>
      <c r="G84" s="34">
        <v>0</v>
      </c>
      <c r="H84">
        <v>0</v>
      </c>
      <c r="I84">
        <v>1</v>
      </c>
      <c r="J84" s="34">
        <f>ROUNDUP((VLOOKUP(E84,'Base Matricule Siège'!$B$13:$AA$500,26,FALSE)),0)</f>
        <v>1607</v>
      </c>
      <c r="K84" s="34">
        <f t="shared" si="2"/>
        <v>1607</v>
      </c>
      <c r="L84" s="34" t="str">
        <f>VLOOKUP(E84,'Base Matricule Siège'!$B$13:$G$500,6,FALSE)</f>
        <v>Employé</v>
      </c>
      <c r="M84" s="34">
        <f t="shared" si="3"/>
        <v>1607</v>
      </c>
    </row>
    <row r="85" spans="5:13" x14ac:dyDescent="0.25">
      <c r="E85" s="34">
        <v>1300000006</v>
      </c>
      <c r="F85" s="34">
        <v>70</v>
      </c>
      <c r="G85" s="34">
        <v>0</v>
      </c>
      <c r="H85">
        <v>0</v>
      </c>
      <c r="I85">
        <v>0</v>
      </c>
      <c r="J85" s="34">
        <f>ROUNDUP((VLOOKUP(E85,'Base Matricule Siège'!$B$13:$AA$500,26,FALSE)),0)</f>
        <v>1327</v>
      </c>
      <c r="K85" s="34">
        <f t="shared" si="2"/>
        <v>1327</v>
      </c>
      <c r="L85" s="34" t="str">
        <f>VLOOKUP(E85,'Base Matricule Siège'!$B$13:$G$500,6,FALSE)</f>
        <v>Employé</v>
      </c>
      <c r="M85" s="34">
        <f t="shared" si="3"/>
        <v>1327</v>
      </c>
    </row>
    <row r="86" spans="5:13" x14ac:dyDescent="0.25">
      <c r="E86" s="34">
        <v>1300000010</v>
      </c>
      <c r="F86" s="34">
        <v>30</v>
      </c>
      <c r="G86" s="34">
        <v>0</v>
      </c>
      <c r="H86">
        <v>0</v>
      </c>
      <c r="I86">
        <v>0</v>
      </c>
      <c r="J86" s="34">
        <f>ROUNDUP((VLOOKUP(E86,'Base Matricule Siège'!$B$13:$AA$500,26,FALSE)),0)</f>
        <v>1607</v>
      </c>
      <c r="K86" s="34">
        <f t="shared" si="2"/>
        <v>1607</v>
      </c>
      <c r="L86" s="34" t="str">
        <f>VLOOKUP(E86,'Base Matricule Siège'!$B$13:$G$500,6,FALSE)</f>
        <v>Employé</v>
      </c>
      <c r="M86" s="34">
        <f t="shared" si="3"/>
        <v>1607</v>
      </c>
    </row>
    <row r="87" spans="5:13" x14ac:dyDescent="0.25">
      <c r="E87" s="34">
        <v>1300000020</v>
      </c>
      <c r="F87" s="34">
        <v>34</v>
      </c>
      <c r="G87" s="34">
        <v>0</v>
      </c>
      <c r="H87">
        <v>0</v>
      </c>
      <c r="I87">
        <v>0</v>
      </c>
      <c r="J87" s="34">
        <f>ROUNDUP((VLOOKUP(E87,'Base Matricule Siège'!$B$13:$AA$500,26,FALSE)),0)</f>
        <v>1579</v>
      </c>
      <c r="K87" s="34">
        <f t="shared" si="2"/>
        <v>1579</v>
      </c>
      <c r="L87" s="34" t="str">
        <f>VLOOKUP(E87,'Base Matricule Siège'!$B$13:$G$500,6,FALSE)</f>
        <v>Employé</v>
      </c>
      <c r="M87" s="34">
        <f t="shared" si="3"/>
        <v>1579</v>
      </c>
    </row>
    <row r="88" spans="5:13" x14ac:dyDescent="0.25">
      <c r="E88" s="34">
        <v>1300000022</v>
      </c>
      <c r="F88" s="34">
        <v>29</v>
      </c>
      <c r="G88" s="34">
        <v>0</v>
      </c>
      <c r="H88">
        <v>0</v>
      </c>
      <c r="I88">
        <v>0</v>
      </c>
      <c r="J88" s="34">
        <f>ROUNDUP((VLOOKUP(E88,'Base Matricule Siège'!$B$13:$AA$500,26,FALSE)),0)</f>
        <v>219</v>
      </c>
      <c r="K88" s="34">
        <f t="shared" si="2"/>
        <v>219</v>
      </c>
      <c r="L88" s="34" t="str">
        <f>VLOOKUP(E88,'Base Matricule Siège'!$B$13:$G$500,6,FALSE)</f>
        <v>Cadre</v>
      </c>
      <c r="M88" s="34">
        <f t="shared" si="3"/>
        <v>219</v>
      </c>
    </row>
    <row r="89" spans="5:13" x14ac:dyDescent="0.25">
      <c r="E89" s="34">
        <v>1900000002</v>
      </c>
      <c r="F89" s="34">
        <v>58</v>
      </c>
      <c r="G89" s="34">
        <v>0</v>
      </c>
      <c r="H89">
        <v>0</v>
      </c>
      <c r="I89">
        <v>0</v>
      </c>
      <c r="J89" s="34">
        <f>ROUNDUP((VLOOKUP(E89,'Base Matricule Siège'!$B$13:$AA$500,26,FALSE)),0)</f>
        <v>1569</v>
      </c>
      <c r="K89" s="34">
        <f t="shared" si="2"/>
        <v>1569</v>
      </c>
      <c r="L89" s="34" t="str">
        <f>VLOOKUP(E89,'Base Matricule Siège'!$B$13:$G$500,6,FALSE)</f>
        <v>Employé</v>
      </c>
      <c r="M89" s="34">
        <f t="shared" si="3"/>
        <v>1569</v>
      </c>
    </row>
    <row r="90" spans="5:13" x14ac:dyDescent="0.25">
      <c r="E90" s="34">
        <v>2000000006</v>
      </c>
      <c r="F90" s="34">
        <v>30</v>
      </c>
      <c r="G90" s="34">
        <v>0</v>
      </c>
      <c r="H90">
        <v>0</v>
      </c>
      <c r="I90">
        <v>0</v>
      </c>
      <c r="J90" s="34">
        <f>ROUNDUP((VLOOKUP(E90,'Base Matricule Siège'!$B$13:$AA$500,26,FALSE)),0)</f>
        <v>1607</v>
      </c>
      <c r="K90" s="34">
        <f t="shared" si="2"/>
        <v>1607</v>
      </c>
      <c r="L90" s="34" t="str">
        <f>VLOOKUP(E90,'Base Matricule Siège'!$B$13:$G$500,6,FALSE)</f>
        <v>Employé</v>
      </c>
      <c r="M90" s="34">
        <f t="shared" si="3"/>
        <v>1607</v>
      </c>
    </row>
    <row r="91" spans="5:13" x14ac:dyDescent="0.25">
      <c r="E91" s="34">
        <v>2100000001</v>
      </c>
      <c r="F91" s="34">
        <v>30</v>
      </c>
      <c r="G91" s="34">
        <v>0</v>
      </c>
      <c r="H91">
        <v>0</v>
      </c>
      <c r="I91">
        <v>0</v>
      </c>
      <c r="J91" s="34">
        <f>ROUNDUP((VLOOKUP(E91,'Base Matricule Siège'!$B$13:$AA$500,26,FALSE)),0)</f>
        <v>1607</v>
      </c>
      <c r="K91" s="34">
        <f t="shared" si="2"/>
        <v>1607</v>
      </c>
      <c r="L91" s="34" t="str">
        <f>VLOOKUP(E91,'Base Matricule Siège'!$B$13:$G$500,6,FALSE)</f>
        <v>Employé</v>
      </c>
      <c r="M91" s="34">
        <f t="shared" si="3"/>
        <v>1607</v>
      </c>
    </row>
    <row r="92" spans="5:13" x14ac:dyDescent="0.25">
      <c r="E92" s="34">
        <v>2100000003</v>
      </c>
      <c r="F92" s="34">
        <v>30</v>
      </c>
      <c r="G92" s="34">
        <v>0</v>
      </c>
      <c r="H92">
        <v>0</v>
      </c>
      <c r="I92">
        <v>0</v>
      </c>
      <c r="J92" s="34">
        <f>ROUNDUP((VLOOKUP(E92,'Base Matricule Siège'!$B$13:$AA$500,26,FALSE)),0)</f>
        <v>218</v>
      </c>
      <c r="K92" s="34">
        <f t="shared" si="2"/>
        <v>218</v>
      </c>
      <c r="L92" s="34" t="str">
        <f>VLOOKUP(E92,'Base Matricule Siège'!$B$13:$G$500,6,FALSE)</f>
        <v>Cadre</v>
      </c>
      <c r="M92" s="34">
        <f t="shared" si="3"/>
        <v>218</v>
      </c>
    </row>
    <row r="93" spans="5:13" x14ac:dyDescent="0.25">
      <c r="E93" s="34">
        <v>2100000004</v>
      </c>
      <c r="F93" s="34">
        <v>30</v>
      </c>
      <c r="G93" s="34">
        <v>0</v>
      </c>
      <c r="H93">
        <v>0</v>
      </c>
      <c r="I93">
        <v>0</v>
      </c>
      <c r="J93" s="34">
        <f>ROUNDUP((VLOOKUP(E93,'Base Matricule Siège'!$B$13:$AA$500,26,FALSE)),0)</f>
        <v>1787</v>
      </c>
      <c r="K93" s="34">
        <f t="shared" si="2"/>
        <v>1787</v>
      </c>
      <c r="L93" s="34" t="str">
        <f>VLOOKUP(E93,'Base Matricule Siège'!$B$13:$G$500,6,FALSE)</f>
        <v>Employé</v>
      </c>
      <c r="M93" s="34">
        <f t="shared" si="3"/>
        <v>1787</v>
      </c>
    </row>
    <row r="94" spans="5:13" x14ac:dyDescent="0.25">
      <c r="E94" s="34">
        <v>2100000006</v>
      </c>
      <c r="F94" s="34">
        <v>30</v>
      </c>
      <c r="G94" s="34">
        <v>0</v>
      </c>
      <c r="H94">
        <v>0</v>
      </c>
      <c r="I94">
        <v>0</v>
      </c>
      <c r="J94" s="34">
        <f>ROUNDUP((VLOOKUP(E94,'Base Matricule Siège'!$B$13:$AA$500,26,FALSE)),0)</f>
        <v>1607</v>
      </c>
      <c r="K94" s="34">
        <f t="shared" si="2"/>
        <v>1607</v>
      </c>
      <c r="L94" s="34" t="str">
        <f>VLOOKUP(E94,'Base Matricule Siège'!$B$13:$G$500,6,FALSE)</f>
        <v>Employé</v>
      </c>
      <c r="M94" s="34">
        <f t="shared" si="3"/>
        <v>1607</v>
      </c>
    </row>
    <row r="95" spans="5:13" x14ac:dyDescent="0.25">
      <c r="E95" s="34">
        <v>2100000019</v>
      </c>
      <c r="F95" s="34">
        <v>29</v>
      </c>
      <c r="G95" s="34">
        <v>0</v>
      </c>
      <c r="H95">
        <v>0</v>
      </c>
      <c r="I95">
        <v>0</v>
      </c>
      <c r="J95" s="34">
        <f>ROUNDUP((VLOOKUP(E95,'Base Matricule Siège'!$B$13:$AA$500,26,FALSE)),0)</f>
        <v>1614</v>
      </c>
      <c r="K95" s="34">
        <f t="shared" si="2"/>
        <v>1614</v>
      </c>
      <c r="L95" s="34" t="str">
        <f>VLOOKUP(E95,'Base Matricule Siège'!$B$13:$G$500,6,FALSE)</f>
        <v>Employé</v>
      </c>
      <c r="M95" s="34">
        <f t="shared" si="3"/>
        <v>1614</v>
      </c>
    </row>
    <row r="96" spans="5:13" x14ac:dyDescent="0.25">
      <c r="E96" s="34">
        <v>3000000002</v>
      </c>
      <c r="F96" s="34">
        <v>30</v>
      </c>
      <c r="G96" s="34">
        <v>0</v>
      </c>
      <c r="H96">
        <v>0</v>
      </c>
      <c r="I96">
        <v>2</v>
      </c>
      <c r="J96" s="34">
        <f>ROUNDUP((VLOOKUP(E96,'Base Matricule Siège'!$B$13:$AA$500,26,FALSE)),0)</f>
        <v>218</v>
      </c>
      <c r="K96" s="34">
        <f t="shared" si="2"/>
        <v>218</v>
      </c>
      <c r="L96" s="34" t="str">
        <f>VLOOKUP(E96,'Base Matricule Siège'!$B$13:$G$500,6,FALSE)</f>
        <v>Cadre</v>
      </c>
      <c r="M96" s="34">
        <f t="shared" si="3"/>
        <v>218</v>
      </c>
    </row>
    <row r="97" spans="5:13" x14ac:dyDescent="0.25">
      <c r="E97" s="34">
        <v>3000000007</v>
      </c>
      <c r="F97" s="34">
        <v>30</v>
      </c>
      <c r="G97" s="34">
        <v>0</v>
      </c>
      <c r="H97">
        <v>0</v>
      </c>
      <c r="I97">
        <v>0</v>
      </c>
      <c r="J97" s="34">
        <f>ROUNDUP((VLOOKUP(E97,'Base Matricule Siège'!$B$13:$AA$500,26,FALSE)),0)</f>
        <v>1607</v>
      </c>
      <c r="K97" s="34">
        <f t="shared" si="2"/>
        <v>1607</v>
      </c>
      <c r="L97" s="34" t="str">
        <f>VLOOKUP(E97,'Base Matricule Siège'!$B$13:$G$500,6,FALSE)</f>
        <v>Employé</v>
      </c>
      <c r="M97" s="34">
        <f t="shared" si="3"/>
        <v>1607</v>
      </c>
    </row>
    <row r="98" spans="5:13" x14ac:dyDescent="0.25">
      <c r="E98" s="34">
        <v>3000000028</v>
      </c>
      <c r="F98" s="34">
        <v>24</v>
      </c>
      <c r="G98" s="34">
        <v>0</v>
      </c>
      <c r="H98">
        <v>0</v>
      </c>
      <c r="I98">
        <v>0</v>
      </c>
      <c r="J98" s="34">
        <f>ROUNDUP((VLOOKUP(E98,'Base Matricule Siège'!$B$13:$AA$500,26,FALSE)),0)</f>
        <v>1649</v>
      </c>
      <c r="K98" s="34">
        <f t="shared" si="2"/>
        <v>1649</v>
      </c>
      <c r="L98" s="34" t="str">
        <f>VLOOKUP(E98,'Base Matricule Siège'!$B$13:$G$500,6,FALSE)</f>
        <v>Employé</v>
      </c>
      <c r="M98" s="34">
        <f t="shared" si="3"/>
        <v>1649</v>
      </c>
    </row>
    <row r="99" spans="5:13" x14ac:dyDescent="0.25">
      <c r="E99" s="34">
        <v>3000000042</v>
      </c>
      <c r="F99" s="34">
        <v>30</v>
      </c>
      <c r="G99" s="34">
        <v>0</v>
      </c>
      <c r="H99">
        <v>0</v>
      </c>
      <c r="I99">
        <v>0</v>
      </c>
      <c r="J99" s="34">
        <f>ROUNDUP((VLOOKUP(E99,'Base Matricule Siège'!$B$13:$AA$500,26,FALSE)),0)</f>
        <v>1607</v>
      </c>
      <c r="K99" s="34">
        <f t="shared" si="2"/>
        <v>1607</v>
      </c>
      <c r="L99" s="34" t="str">
        <f>VLOOKUP(E99,'Base Matricule Siège'!$B$13:$G$500,6,FALSE)</f>
        <v>Employé</v>
      </c>
      <c r="M99" s="34">
        <f t="shared" si="3"/>
        <v>1607</v>
      </c>
    </row>
    <row r="100" spans="5:13" x14ac:dyDescent="0.25">
      <c r="E100" s="34">
        <v>3000000048</v>
      </c>
      <c r="F100" s="34">
        <v>30</v>
      </c>
      <c r="G100" s="34">
        <v>0</v>
      </c>
      <c r="H100">
        <v>0</v>
      </c>
      <c r="I100">
        <v>0</v>
      </c>
      <c r="J100" s="34">
        <f>ROUNDUP((VLOOKUP(E100,'Base Matricule Siège'!$B$13:$AA$500,26,FALSE)),0)</f>
        <v>1787</v>
      </c>
      <c r="K100" s="34">
        <f t="shared" si="2"/>
        <v>1787</v>
      </c>
      <c r="L100" s="34" t="str">
        <f>VLOOKUP(E100,'Base Matricule Siège'!$B$13:$G$500,6,FALSE)</f>
        <v>Employé</v>
      </c>
      <c r="M100" s="34">
        <f t="shared" si="3"/>
        <v>1787</v>
      </c>
    </row>
    <row r="101" spans="5:13" x14ac:dyDescent="0.25">
      <c r="E101" s="34">
        <v>3000000050</v>
      </c>
      <c r="F101" s="34">
        <v>20</v>
      </c>
      <c r="G101" s="34">
        <v>0</v>
      </c>
      <c r="H101">
        <v>0</v>
      </c>
      <c r="I101">
        <v>0</v>
      </c>
      <c r="J101" s="34">
        <f>ROUNDUP((VLOOKUP(E101,'Base Matricule Siège'!$B$13:$AA$500,26,FALSE)),0)</f>
        <v>1677</v>
      </c>
      <c r="K101" s="34">
        <f t="shared" si="2"/>
        <v>1677</v>
      </c>
      <c r="L101" s="34" t="str">
        <f>VLOOKUP(E101,'Base Matricule Siège'!$B$13:$G$500,6,FALSE)</f>
        <v>Employé</v>
      </c>
      <c r="M101" s="34">
        <f t="shared" si="3"/>
        <v>1677</v>
      </c>
    </row>
    <row r="102" spans="5:13" x14ac:dyDescent="0.25">
      <c r="E102" s="34">
        <v>3000000054</v>
      </c>
      <c r="F102" s="34">
        <v>17</v>
      </c>
      <c r="G102" s="34">
        <v>0</v>
      </c>
      <c r="H102">
        <v>0</v>
      </c>
      <c r="I102">
        <v>0</v>
      </c>
      <c r="J102" s="34">
        <f>ROUNDUP((VLOOKUP(E102,'Base Matricule Siège'!$B$13:$AA$500,26,FALSE)),0)</f>
        <v>1698</v>
      </c>
      <c r="K102" s="34">
        <f t="shared" si="2"/>
        <v>1698</v>
      </c>
      <c r="L102" s="34" t="str">
        <f>VLOOKUP(E102,'Base Matricule Siège'!$B$13:$G$500,6,FALSE)</f>
        <v>Employé</v>
      </c>
      <c r="M102" s="34">
        <f t="shared" si="3"/>
        <v>1698</v>
      </c>
    </row>
    <row r="103" spans="5:13" x14ac:dyDescent="0.25">
      <c r="E103" s="34">
        <v>4000000001</v>
      </c>
      <c r="F103" s="34">
        <v>30</v>
      </c>
      <c r="G103" s="34">
        <v>0</v>
      </c>
      <c r="H103">
        <v>0</v>
      </c>
      <c r="I103">
        <v>0</v>
      </c>
      <c r="J103" s="34">
        <f>ROUNDUP((VLOOKUP(E103,'Base Matricule Siège'!$B$13:$AA$500,26,FALSE)),0)</f>
        <v>218</v>
      </c>
      <c r="K103" s="34">
        <f t="shared" si="2"/>
        <v>218</v>
      </c>
      <c r="L103" s="34" t="str">
        <f>VLOOKUP(E103,'Base Matricule Siège'!$B$13:$G$500,6,FALSE)</f>
        <v>Cadre</v>
      </c>
      <c r="M103" s="34">
        <f t="shared" si="3"/>
        <v>218</v>
      </c>
    </row>
    <row r="104" spans="5:13" x14ac:dyDescent="0.25">
      <c r="E104" s="34">
        <v>4000000002</v>
      </c>
      <c r="F104" s="34">
        <v>30</v>
      </c>
      <c r="G104" s="34">
        <v>0</v>
      </c>
      <c r="H104">
        <v>0</v>
      </c>
      <c r="I104">
        <v>0</v>
      </c>
      <c r="J104" s="34">
        <f>ROUNDUP((VLOOKUP(E104,'Base Matricule Siège'!$B$13:$AA$500,26,FALSE)),0)</f>
        <v>218</v>
      </c>
      <c r="K104" s="34">
        <f t="shared" si="2"/>
        <v>218</v>
      </c>
      <c r="L104" s="34" t="str">
        <f>VLOOKUP(E104,'Base Matricule Siège'!$B$13:$G$500,6,FALSE)</f>
        <v>Cadre</v>
      </c>
      <c r="M104" s="34">
        <f t="shared" si="3"/>
        <v>218</v>
      </c>
    </row>
    <row r="105" spans="5:13" x14ac:dyDescent="0.25">
      <c r="E105" s="34">
        <v>5000000002</v>
      </c>
      <c r="F105" s="34">
        <v>29</v>
      </c>
      <c r="G105" s="34">
        <v>0</v>
      </c>
      <c r="H105">
        <v>0</v>
      </c>
      <c r="I105">
        <v>0</v>
      </c>
      <c r="J105" s="34">
        <f>ROUNDUP((VLOOKUP(E105,'Base Matricule Siège'!$B$13:$AA$500,26,FALSE)),0)</f>
        <v>219</v>
      </c>
      <c r="K105" s="34">
        <f t="shared" si="2"/>
        <v>219</v>
      </c>
      <c r="L105" s="34" t="str">
        <f>VLOOKUP(E105,'Base Matricule Siège'!$B$13:$G$500,6,FALSE)</f>
        <v>Cadre</v>
      </c>
      <c r="M105" s="34">
        <f t="shared" si="3"/>
        <v>219</v>
      </c>
    </row>
    <row r="106" spans="5:13" x14ac:dyDescent="0.25">
      <c r="E106" s="34">
        <v>5000000005</v>
      </c>
      <c r="F106" s="34">
        <v>30</v>
      </c>
      <c r="G106" s="34">
        <v>0</v>
      </c>
      <c r="H106">
        <v>0</v>
      </c>
      <c r="I106">
        <v>0</v>
      </c>
      <c r="J106" s="34">
        <f>ROUNDUP((VLOOKUP(E106,'Base Matricule Siège'!$B$13:$AA$500,26,FALSE)),0)</f>
        <v>218</v>
      </c>
      <c r="K106" s="34">
        <f t="shared" si="2"/>
        <v>218</v>
      </c>
      <c r="L106" s="34" t="str">
        <f>VLOOKUP(E106,'Base Matricule Siège'!$B$13:$G$500,6,FALSE)</f>
        <v>Cadre</v>
      </c>
      <c r="M106" s="34">
        <f t="shared" si="3"/>
        <v>218</v>
      </c>
    </row>
    <row r="107" spans="5:13" x14ac:dyDescent="0.25">
      <c r="E107" s="34">
        <v>5000000033</v>
      </c>
      <c r="F107" s="34">
        <v>26.5</v>
      </c>
      <c r="G107" s="34">
        <v>0</v>
      </c>
      <c r="H107">
        <v>0</v>
      </c>
      <c r="I107">
        <v>0</v>
      </c>
      <c r="J107" s="34">
        <f>ROUNDUP((VLOOKUP(E107,'Base Matricule Siège'!$B$13:$AA$500,26,FALSE)),0)</f>
        <v>1632</v>
      </c>
      <c r="K107" s="34">
        <f t="shared" si="2"/>
        <v>1632</v>
      </c>
      <c r="L107" s="34" t="str">
        <f>VLOOKUP(E107,'Base Matricule Siège'!$B$13:$G$500,6,FALSE)</f>
        <v>Employé</v>
      </c>
      <c r="M107" s="34">
        <f t="shared" si="3"/>
        <v>1632</v>
      </c>
    </row>
    <row r="108" spans="5:13" x14ac:dyDescent="0.25">
      <c r="E108" s="34">
        <v>5000000035</v>
      </c>
      <c r="F108" s="34">
        <v>30</v>
      </c>
      <c r="G108" s="34">
        <v>0</v>
      </c>
      <c r="H108">
        <v>0</v>
      </c>
      <c r="I108">
        <v>0</v>
      </c>
      <c r="J108" s="34">
        <f>ROUNDUP((VLOOKUP(E108,'Base Matricule Siège'!$B$13:$AA$500,26,FALSE)),0)</f>
        <v>1607</v>
      </c>
      <c r="K108" s="34">
        <f t="shared" si="2"/>
        <v>1607</v>
      </c>
      <c r="L108" s="34" t="str">
        <f>VLOOKUP(E108,'Base Matricule Siège'!$B$13:$G$500,6,FALSE)</f>
        <v>Employé</v>
      </c>
      <c r="M108" s="34">
        <f t="shared" si="3"/>
        <v>1607</v>
      </c>
    </row>
    <row r="109" spans="5:13" x14ac:dyDescent="0.25">
      <c r="E109" s="34">
        <v>6000000002</v>
      </c>
      <c r="F109" s="34">
        <v>30</v>
      </c>
      <c r="G109" s="34">
        <v>0</v>
      </c>
      <c r="H109">
        <v>0</v>
      </c>
      <c r="I109">
        <v>0</v>
      </c>
      <c r="J109" s="34">
        <f>ROUNDUP((VLOOKUP(E109,'Base Matricule Siège'!$B$13:$AA$500,26,FALSE)),0)</f>
        <v>218</v>
      </c>
      <c r="K109" s="34">
        <f t="shared" si="2"/>
        <v>218</v>
      </c>
      <c r="L109" s="34" t="str">
        <f>VLOOKUP(E109,'Base Matricule Siège'!$B$13:$G$500,6,FALSE)</f>
        <v>Cadre</v>
      </c>
      <c r="M109" s="34">
        <f t="shared" si="3"/>
        <v>218</v>
      </c>
    </row>
    <row r="110" spans="5:13" x14ac:dyDescent="0.25">
      <c r="E110" s="34">
        <v>6000000017</v>
      </c>
      <c r="F110" s="34">
        <v>30</v>
      </c>
      <c r="G110" s="34">
        <v>0</v>
      </c>
      <c r="H110">
        <v>0</v>
      </c>
      <c r="I110">
        <v>0</v>
      </c>
      <c r="J110" s="34">
        <f>ROUNDUP((VLOOKUP(E110,'Base Matricule Siège'!$B$13:$AA$500,26,FALSE)),0)</f>
        <v>1607</v>
      </c>
      <c r="K110" s="34">
        <f t="shared" si="2"/>
        <v>1607</v>
      </c>
      <c r="L110" s="34" t="str">
        <f>VLOOKUP(E110,'Base Matricule Siège'!$B$13:$G$500,6,FALSE)</f>
        <v>Employé</v>
      </c>
      <c r="M110" s="34">
        <f t="shared" si="3"/>
        <v>1607</v>
      </c>
    </row>
    <row r="111" spans="5:13" x14ac:dyDescent="0.25">
      <c r="E111" s="34">
        <v>6000000020</v>
      </c>
      <c r="F111" s="34">
        <v>30</v>
      </c>
      <c r="G111" s="34">
        <v>0</v>
      </c>
      <c r="H111">
        <v>0</v>
      </c>
      <c r="I111">
        <v>0</v>
      </c>
      <c r="J111" s="34">
        <f>ROUNDUP((VLOOKUP(E111,'Base Matricule Siège'!$B$13:$AA$500,26,FALSE)),0)</f>
        <v>218</v>
      </c>
      <c r="K111" s="34">
        <f t="shared" si="2"/>
        <v>218</v>
      </c>
      <c r="L111" s="34" t="str">
        <f>VLOOKUP(E111,'Base Matricule Siège'!$B$13:$G$500,6,FALSE)</f>
        <v>Cadre</v>
      </c>
      <c r="M111" s="34">
        <f t="shared" si="3"/>
        <v>218</v>
      </c>
    </row>
    <row r="112" spans="5:13" x14ac:dyDescent="0.25">
      <c r="E112" s="34">
        <v>7000000001</v>
      </c>
      <c r="F112" s="34">
        <v>30</v>
      </c>
      <c r="G112" s="34">
        <v>0</v>
      </c>
      <c r="H112">
        <v>0</v>
      </c>
      <c r="I112">
        <v>0</v>
      </c>
      <c r="J112" s="34">
        <f>ROUNDUP((VLOOKUP(E112,'Base Matricule Siège'!$B$13:$AA$500,26,FALSE)),0)</f>
        <v>218</v>
      </c>
      <c r="K112" s="34">
        <f t="shared" si="2"/>
        <v>218</v>
      </c>
      <c r="L112" s="34" t="str">
        <f>VLOOKUP(E112,'Base Matricule Siège'!$B$13:$G$500,6,FALSE)</f>
        <v>Cadre</v>
      </c>
      <c r="M112" s="34">
        <f t="shared" si="3"/>
        <v>218</v>
      </c>
    </row>
    <row r="113" spans="5:13" x14ac:dyDescent="0.25">
      <c r="E113" s="34">
        <v>7000000024</v>
      </c>
      <c r="F113" s="34">
        <v>30</v>
      </c>
      <c r="G113" s="34">
        <v>0</v>
      </c>
      <c r="H113">
        <v>0</v>
      </c>
      <c r="I113">
        <v>0</v>
      </c>
      <c r="J113" s="34">
        <f>ROUNDUP((VLOOKUP(E113,'Base Matricule Siège'!$B$13:$AA$500,26,FALSE)),0)</f>
        <v>218</v>
      </c>
      <c r="K113" s="34">
        <f t="shared" si="2"/>
        <v>218</v>
      </c>
      <c r="L113" s="34" t="str">
        <f>VLOOKUP(E113,'Base Matricule Siège'!$B$13:$G$500,6,FALSE)</f>
        <v>Cadre</v>
      </c>
      <c r="M113" s="34">
        <f t="shared" si="3"/>
        <v>218</v>
      </c>
    </row>
    <row r="114" spans="5:13" x14ac:dyDescent="0.25">
      <c r="E114" s="34">
        <v>7000000037</v>
      </c>
      <c r="F114" s="34">
        <v>30</v>
      </c>
      <c r="G114" s="34">
        <v>0</v>
      </c>
      <c r="H114">
        <v>0</v>
      </c>
      <c r="I114">
        <v>0</v>
      </c>
      <c r="J114" s="34">
        <f>ROUNDUP((VLOOKUP(E114,'Base Matricule Siège'!$B$13:$AA$500,26,FALSE)),0)</f>
        <v>218</v>
      </c>
      <c r="K114" s="34">
        <f t="shared" si="2"/>
        <v>218</v>
      </c>
      <c r="L114" s="34" t="str">
        <f>VLOOKUP(E114,'Base Matricule Siège'!$B$13:$G$500,6,FALSE)</f>
        <v>Cadre</v>
      </c>
      <c r="M114" s="34">
        <f t="shared" si="3"/>
        <v>218</v>
      </c>
    </row>
    <row r="115" spans="5:13" x14ac:dyDescent="0.25">
      <c r="E115" s="34">
        <v>8000000002</v>
      </c>
      <c r="F115" s="34">
        <v>29</v>
      </c>
      <c r="G115" s="34">
        <v>0</v>
      </c>
      <c r="H115">
        <v>0</v>
      </c>
      <c r="I115">
        <v>0</v>
      </c>
      <c r="J115" s="34">
        <f>ROUNDUP((VLOOKUP(E115,'Base Matricule Siège'!$B$13:$AA$500,26,FALSE)),0)</f>
        <v>219</v>
      </c>
      <c r="K115" s="34">
        <f t="shared" si="2"/>
        <v>219</v>
      </c>
      <c r="L115" s="34" t="str">
        <f>VLOOKUP(E115,'Base Matricule Siège'!$B$13:$G$500,6,FALSE)</f>
        <v>Cadre</v>
      </c>
      <c r="M115" s="34">
        <f t="shared" si="3"/>
        <v>219</v>
      </c>
    </row>
    <row r="116" spans="5:13" x14ac:dyDescent="0.25">
      <c r="E116" s="34">
        <v>8000000012</v>
      </c>
      <c r="F116" s="34">
        <v>0</v>
      </c>
      <c r="G116" s="34">
        <v>0</v>
      </c>
      <c r="H116">
        <v>0</v>
      </c>
      <c r="I116">
        <v>0</v>
      </c>
      <c r="J116" s="34" t="e">
        <f>ROUNDUP((VLOOKUP(E116,'Base Matricule Siège'!$B$13:$AA$500,26,FALSE)),0)</f>
        <v>#N/A</v>
      </c>
      <c r="K116" s="34" t="e">
        <f t="shared" si="2"/>
        <v>#N/A</v>
      </c>
      <c r="L116" s="34" t="e">
        <f>VLOOKUP(E116,'Base Matricule Siège'!$B$13:$G$500,6,FALSE)</f>
        <v>#N/A</v>
      </c>
      <c r="M116" s="34" t="e">
        <f t="shared" si="3"/>
        <v>#N/A</v>
      </c>
    </row>
    <row r="117" spans="5:13" x14ac:dyDescent="0.25">
      <c r="E117" s="34">
        <v>8000000013</v>
      </c>
      <c r="F117" s="34">
        <v>25</v>
      </c>
      <c r="G117" s="34">
        <v>0</v>
      </c>
      <c r="H117">
        <v>0</v>
      </c>
      <c r="I117">
        <v>0</v>
      </c>
      <c r="J117" s="34">
        <f>ROUNDUP((VLOOKUP(E117,'Base Matricule Siège'!$B$13:$AA$500,26,FALSE)),0)</f>
        <v>223</v>
      </c>
      <c r="K117" s="34">
        <f t="shared" si="2"/>
        <v>223</v>
      </c>
      <c r="L117" s="34" t="str">
        <f>VLOOKUP(E117,'Base Matricule Siège'!$B$13:$G$500,6,FALSE)</f>
        <v>Cadre</v>
      </c>
      <c r="M117" s="34">
        <f t="shared" si="3"/>
        <v>223</v>
      </c>
    </row>
    <row r="118" spans="5:13" x14ac:dyDescent="0.25">
      <c r="E118" s="34">
        <v>9000000005</v>
      </c>
      <c r="F118" s="34">
        <v>30</v>
      </c>
      <c r="G118" s="34">
        <v>0</v>
      </c>
      <c r="H118">
        <v>0</v>
      </c>
      <c r="I118">
        <v>0</v>
      </c>
      <c r="J118" s="34">
        <f>ROUNDUP((VLOOKUP(E118,'Base Matricule Siège'!$B$13:$AA$500,26,FALSE)),0)</f>
        <v>1607</v>
      </c>
      <c r="K118" s="34">
        <f t="shared" si="2"/>
        <v>1607</v>
      </c>
      <c r="L118" s="34" t="str">
        <f>VLOOKUP(E118,'Base Matricule Siège'!$B$13:$G$500,6,FALSE)</f>
        <v>Employé</v>
      </c>
      <c r="M118" s="34">
        <f t="shared" si="3"/>
        <v>1607</v>
      </c>
    </row>
    <row r="119" spans="5:13" x14ac:dyDescent="0.25">
      <c r="E119" s="34" t="s">
        <v>740</v>
      </c>
      <c r="F119" s="34">
        <v>0</v>
      </c>
      <c r="G119" s="34">
        <v>0</v>
      </c>
      <c r="H119">
        <v>0</v>
      </c>
      <c r="I119">
        <v>0</v>
      </c>
      <c r="J119" s="34" t="e">
        <f>ROUNDUP((VLOOKUP(E119,'Base Matricule Siège'!$B$13:$AA$500,26,FALSE)),0)</f>
        <v>#N/A</v>
      </c>
      <c r="K119" s="34" t="e">
        <f t="shared" si="2"/>
        <v>#N/A</v>
      </c>
      <c r="L119" s="34" t="e">
        <f>VLOOKUP(E119,'Base Matricule Siège'!$B$13:$G$500,6,FALSE)</f>
        <v>#N/A</v>
      </c>
      <c r="M119" s="34" t="e">
        <f t="shared" si="3"/>
        <v>#N/A</v>
      </c>
    </row>
    <row r="120" spans="5:13" x14ac:dyDescent="0.25">
      <c r="E120" s="34">
        <v>800000036</v>
      </c>
      <c r="F120" s="34">
        <v>28</v>
      </c>
      <c r="G120" s="34">
        <v>0</v>
      </c>
      <c r="H120">
        <v>0</v>
      </c>
      <c r="I120">
        <v>0</v>
      </c>
      <c r="J120" s="34">
        <f>ROUNDUP((VLOOKUP(E120,'Base Matricule Siège'!$B$13:$AA$500,26,FALSE)),0)</f>
        <v>1621</v>
      </c>
      <c r="K120" s="34">
        <f t="shared" si="2"/>
        <v>1621</v>
      </c>
      <c r="L120" s="34" t="str">
        <f>VLOOKUP(E120,'Base Matricule Siège'!$B$13:$G$500,6,FALSE)</f>
        <v>Employé</v>
      </c>
      <c r="M120" s="34">
        <f t="shared" si="3"/>
        <v>1621</v>
      </c>
    </row>
    <row r="121" spans="5:13" x14ac:dyDescent="0.25">
      <c r="E121" s="34">
        <v>500000032</v>
      </c>
      <c r="F121" s="34">
        <v>30</v>
      </c>
      <c r="G121" s="34">
        <v>0</v>
      </c>
      <c r="H121">
        <v>0</v>
      </c>
      <c r="I121">
        <v>0</v>
      </c>
      <c r="J121" s="34">
        <f>ROUNDUP((VLOOKUP(E121,'Base Matricule Siège'!$B$13:$AA$500,26,FALSE)),0)</f>
        <v>1607</v>
      </c>
      <c r="K121" s="34">
        <f t="shared" si="2"/>
        <v>1607</v>
      </c>
      <c r="L121" s="34" t="str">
        <f>VLOOKUP(E121,'Base Matricule Siège'!$B$13:$G$500,6,FALSE)</f>
        <v>Employé</v>
      </c>
      <c r="M121" s="34">
        <f t="shared" si="3"/>
        <v>1607</v>
      </c>
    </row>
    <row r="122" spans="5:13" x14ac:dyDescent="0.25">
      <c r="E122" s="34">
        <v>200000039</v>
      </c>
      <c r="F122" s="34">
        <v>30</v>
      </c>
      <c r="G122" s="34">
        <v>0</v>
      </c>
      <c r="H122">
        <v>0</v>
      </c>
      <c r="I122">
        <v>0</v>
      </c>
      <c r="J122" s="34">
        <f>ROUNDUP((VLOOKUP(E122,'Base Matricule Siège'!$B$13:$AA$500,26,FALSE)),0)</f>
        <v>1607</v>
      </c>
      <c r="K122" s="34">
        <f t="shared" si="2"/>
        <v>1607</v>
      </c>
      <c r="L122" s="34" t="str">
        <f>VLOOKUP(E122,'Base Matricule Siège'!$B$13:$G$500,6,FALSE)</f>
        <v>Employé</v>
      </c>
      <c r="M122" s="34">
        <f t="shared" si="3"/>
        <v>1607</v>
      </c>
    </row>
    <row r="123" spans="5:13" x14ac:dyDescent="0.25">
      <c r="E123" s="34">
        <v>600000035</v>
      </c>
      <c r="F123" s="34">
        <v>30</v>
      </c>
      <c r="G123" s="34">
        <v>0</v>
      </c>
      <c r="H123">
        <v>0</v>
      </c>
      <c r="I123">
        <v>0</v>
      </c>
      <c r="J123" s="34">
        <f>ROUNDUP((VLOOKUP(E123,'Base Matricule Siège'!$B$13:$AA$500,26,FALSE)),0)</f>
        <v>1147</v>
      </c>
      <c r="K123" s="34">
        <f t="shared" si="2"/>
        <v>1147</v>
      </c>
      <c r="L123" s="34" t="str">
        <f>VLOOKUP(E123,'Base Matricule Siège'!$B$13:$G$500,6,FALSE)</f>
        <v>Employé</v>
      </c>
      <c r="M123" s="34">
        <f t="shared" si="3"/>
        <v>1147</v>
      </c>
    </row>
    <row r="124" spans="5:13" x14ac:dyDescent="0.25">
      <c r="E124" s="34">
        <v>2000000022</v>
      </c>
      <c r="F124" s="34">
        <v>28</v>
      </c>
      <c r="G124" s="34">
        <v>0</v>
      </c>
      <c r="H124">
        <v>0</v>
      </c>
      <c r="I124">
        <v>0</v>
      </c>
      <c r="J124" s="34">
        <f>ROUNDUP((VLOOKUP(E124,'Base Matricule Siège'!$B$13:$AA$500,26,FALSE)),0)</f>
        <v>1621</v>
      </c>
      <c r="K124" s="34">
        <f t="shared" si="2"/>
        <v>1621</v>
      </c>
      <c r="L124" s="34" t="str">
        <f>VLOOKUP(E124,'Base Matricule Siège'!$B$13:$G$500,6,FALSE)</f>
        <v>Employé</v>
      </c>
      <c r="M124" s="34">
        <f t="shared" si="3"/>
        <v>1621</v>
      </c>
    </row>
    <row r="125" spans="5:13" x14ac:dyDescent="0.25">
      <c r="E125" s="34">
        <v>500000031</v>
      </c>
      <c r="F125" s="34">
        <v>28.5</v>
      </c>
      <c r="G125" s="34">
        <v>0</v>
      </c>
      <c r="H125">
        <v>0</v>
      </c>
      <c r="I125">
        <v>0</v>
      </c>
      <c r="J125" s="34">
        <f>ROUNDUP((VLOOKUP(E125,'Base Matricule Siège'!$B$13:$AA$500,26,FALSE)),0)</f>
        <v>220</v>
      </c>
      <c r="K125" s="34">
        <f t="shared" si="2"/>
        <v>220</v>
      </c>
      <c r="L125" s="34" t="str">
        <f>VLOOKUP(E125,'Base Matricule Siège'!$B$13:$G$500,6,FALSE)</f>
        <v>Cadre</v>
      </c>
      <c r="M125" s="34">
        <f t="shared" si="3"/>
        <v>220</v>
      </c>
    </row>
    <row r="126" spans="5:13" x14ac:dyDescent="0.25">
      <c r="E126" s="34">
        <v>600000028</v>
      </c>
      <c r="F126" s="34">
        <v>29</v>
      </c>
      <c r="G126" s="34">
        <v>0</v>
      </c>
      <c r="H126">
        <v>0</v>
      </c>
      <c r="I126">
        <v>0</v>
      </c>
      <c r="J126" s="34">
        <f>ROUNDUP((VLOOKUP(E126,'Base Matricule Siège'!$B$13:$AA$500,26,FALSE)),0)</f>
        <v>1614</v>
      </c>
      <c r="K126" s="34">
        <f t="shared" si="2"/>
        <v>1614</v>
      </c>
      <c r="L126" s="34" t="str">
        <f>VLOOKUP(E126,'Base Matricule Siège'!$B$13:$G$500,6,FALSE)</f>
        <v>Employé</v>
      </c>
      <c r="M126" s="34">
        <f t="shared" si="3"/>
        <v>1614</v>
      </c>
    </row>
    <row r="127" spans="5:13" x14ac:dyDescent="0.25">
      <c r="E127" s="34">
        <v>7000000046</v>
      </c>
      <c r="F127" s="34">
        <v>28</v>
      </c>
      <c r="G127" s="34">
        <v>0</v>
      </c>
      <c r="H127">
        <v>0</v>
      </c>
      <c r="I127">
        <v>0</v>
      </c>
      <c r="J127" s="34">
        <f>ROUNDUP((VLOOKUP(E127,'Base Matricule Siège'!$B$13:$AA$500,26,FALSE)),0)</f>
        <v>1621</v>
      </c>
      <c r="K127" s="34">
        <f t="shared" si="2"/>
        <v>1621</v>
      </c>
      <c r="L127" s="34" t="str">
        <f>VLOOKUP(E127,'Base Matricule Siège'!$B$13:$G$500,6,FALSE)</f>
        <v>Employé</v>
      </c>
      <c r="M127" s="34">
        <f t="shared" si="3"/>
        <v>1621</v>
      </c>
    </row>
    <row r="128" spans="5:13" x14ac:dyDescent="0.25">
      <c r="E128" s="34">
        <v>5000000039</v>
      </c>
      <c r="F128" s="34">
        <v>20</v>
      </c>
      <c r="G128" s="34">
        <v>0</v>
      </c>
      <c r="H128">
        <v>0</v>
      </c>
      <c r="I128">
        <v>0</v>
      </c>
      <c r="J128" s="34">
        <f>ROUNDUP((VLOOKUP(E128,'Base Matricule Siège'!$B$13:$AA$500,26,FALSE)),0)</f>
        <v>1677</v>
      </c>
      <c r="K128" s="34">
        <f t="shared" si="2"/>
        <v>1677</v>
      </c>
      <c r="L128" s="34" t="str">
        <f>VLOOKUP(E128,'Base Matricule Siège'!$B$13:$G$500,6,FALSE)</f>
        <v>Employé</v>
      </c>
      <c r="M128" s="34">
        <f t="shared" si="3"/>
        <v>1677</v>
      </c>
    </row>
    <row r="129" spans="5:13" x14ac:dyDescent="0.25">
      <c r="E129" s="34">
        <v>2000000033</v>
      </c>
      <c r="F129" s="34">
        <v>26</v>
      </c>
      <c r="G129" s="34">
        <v>0</v>
      </c>
      <c r="H129">
        <v>0</v>
      </c>
      <c r="I129">
        <v>0</v>
      </c>
      <c r="J129" s="34">
        <f>ROUNDUP((VLOOKUP(E129,'Base Matricule Siège'!$B$13:$AA$500,26,FALSE)),0)</f>
        <v>1635</v>
      </c>
      <c r="K129" s="34">
        <f t="shared" si="2"/>
        <v>1635</v>
      </c>
      <c r="L129" s="34" t="str">
        <f>VLOOKUP(E129,'Base Matricule Siège'!$B$13:$G$500,6,FALSE)</f>
        <v>Employé</v>
      </c>
      <c r="M129" s="34">
        <f t="shared" si="3"/>
        <v>1635</v>
      </c>
    </row>
    <row r="130" spans="5:13" x14ac:dyDescent="0.25">
      <c r="E130" s="34">
        <v>1000000065</v>
      </c>
      <c r="F130" s="34">
        <v>30</v>
      </c>
      <c r="G130" s="34">
        <v>0</v>
      </c>
      <c r="H130">
        <v>0</v>
      </c>
      <c r="I130">
        <v>0</v>
      </c>
      <c r="J130" s="34">
        <f>ROUNDUP((VLOOKUP(E130,'Base Matricule Siège'!$B$13:$AA$500,26,FALSE)),0)</f>
        <v>1607</v>
      </c>
      <c r="K130" s="34">
        <f t="shared" si="2"/>
        <v>1607</v>
      </c>
      <c r="L130" s="34" t="str">
        <f>VLOOKUP(E130,'Base Matricule Siège'!$B$13:$G$500,6,FALSE)</f>
        <v>Employé</v>
      </c>
      <c r="M130" s="34">
        <f t="shared" si="3"/>
        <v>1607</v>
      </c>
    </row>
    <row r="131" spans="5:13" x14ac:dyDescent="0.25">
      <c r="E131" s="34">
        <v>1300000035</v>
      </c>
      <c r="F131" s="34">
        <v>30</v>
      </c>
      <c r="G131" s="34">
        <v>0</v>
      </c>
      <c r="H131">
        <v>0</v>
      </c>
      <c r="I131">
        <v>0</v>
      </c>
      <c r="J131" s="34">
        <f>ROUNDUP((VLOOKUP(E131,'Base Matricule Siège'!$B$13:$AA$500,26,FALSE)),0)</f>
        <v>1607</v>
      </c>
      <c r="K131" s="34">
        <f t="shared" si="2"/>
        <v>1607</v>
      </c>
      <c r="L131" s="34" t="str">
        <f>VLOOKUP(E131,'Base Matricule Siège'!$B$13:$G$500,6,FALSE)</f>
        <v>Employé</v>
      </c>
      <c r="M131" s="34">
        <f t="shared" si="3"/>
        <v>1607</v>
      </c>
    </row>
    <row r="132" spans="5:13" x14ac:dyDescent="0.25">
      <c r="E132" s="34">
        <v>1300000037</v>
      </c>
      <c r="F132" s="34">
        <v>30</v>
      </c>
      <c r="G132" s="34">
        <v>0</v>
      </c>
      <c r="H132">
        <v>0</v>
      </c>
      <c r="I132">
        <v>0</v>
      </c>
      <c r="J132" s="34">
        <f>ROUNDUP((VLOOKUP(E132,'Base Matricule Siège'!$B$13:$AA$500,26,FALSE)),0)</f>
        <v>1607</v>
      </c>
      <c r="K132" s="34">
        <f t="shared" ref="K132:K168" si="4">TRUNC(J132,0)</f>
        <v>1607</v>
      </c>
      <c r="L132" s="34" t="str">
        <f>VLOOKUP(E132,'Base Matricule Siège'!$B$13:$G$500,6,FALSE)</f>
        <v>Employé</v>
      </c>
      <c r="M132" s="34">
        <f t="shared" ref="M132:M168" si="5">IF(L132="Cadre",(K132-H132),(K132-G132))</f>
        <v>1607</v>
      </c>
    </row>
    <row r="133" spans="5:13" x14ac:dyDescent="0.25">
      <c r="E133" s="34">
        <v>800000037</v>
      </c>
      <c r="F133" s="34">
        <v>30</v>
      </c>
      <c r="G133" s="34">
        <v>0</v>
      </c>
      <c r="H133">
        <v>0</v>
      </c>
      <c r="I133">
        <v>0</v>
      </c>
      <c r="J133" s="34">
        <f>ROUNDUP((VLOOKUP(E133,'Base Matricule Siège'!$B$13:$AA$500,26,FALSE)),0)</f>
        <v>1607</v>
      </c>
      <c r="K133" s="34">
        <f t="shared" si="4"/>
        <v>1607</v>
      </c>
      <c r="L133" s="34" t="str">
        <f>VLOOKUP(E133,'Base Matricule Siège'!$B$13:$G$500,6,FALSE)</f>
        <v>Employé</v>
      </c>
      <c r="M133" s="34">
        <f t="shared" si="5"/>
        <v>1607</v>
      </c>
    </row>
    <row r="134" spans="5:13" x14ac:dyDescent="0.25">
      <c r="E134" s="34">
        <v>800000038</v>
      </c>
      <c r="F134" s="34">
        <v>30</v>
      </c>
      <c r="G134" s="34">
        <v>0</v>
      </c>
      <c r="H134">
        <v>0</v>
      </c>
      <c r="I134">
        <v>0</v>
      </c>
      <c r="J134" s="34">
        <f>ROUNDUP((VLOOKUP(E134,'Base Matricule Siège'!$B$13:$AA$500,26,FALSE)),0)</f>
        <v>1607</v>
      </c>
      <c r="K134" s="34">
        <f t="shared" si="4"/>
        <v>1607</v>
      </c>
      <c r="L134" s="34" t="str">
        <f>VLOOKUP(E134,'Base Matricule Siège'!$B$13:$G$500,6,FALSE)</f>
        <v>Employé</v>
      </c>
      <c r="M134" s="34">
        <f t="shared" si="5"/>
        <v>1607</v>
      </c>
    </row>
    <row r="135" spans="5:13" x14ac:dyDescent="0.25">
      <c r="E135" s="34">
        <v>2000000031</v>
      </c>
      <c r="F135" s="34">
        <v>30</v>
      </c>
      <c r="G135" s="34">
        <v>0</v>
      </c>
      <c r="H135">
        <v>0</v>
      </c>
      <c r="I135">
        <v>0</v>
      </c>
      <c r="J135" s="34">
        <f>ROUNDUP((VLOOKUP(E135,'Base Matricule Siège'!$B$13:$AA$500,26,FALSE)),0)</f>
        <v>1607</v>
      </c>
      <c r="K135" s="34">
        <f t="shared" si="4"/>
        <v>1607</v>
      </c>
      <c r="L135" s="34" t="str">
        <f>VLOOKUP(E135,'Base Matricule Siège'!$B$13:$G$500,6,FALSE)</f>
        <v>Employé</v>
      </c>
      <c r="M135" s="34">
        <f t="shared" si="5"/>
        <v>1607</v>
      </c>
    </row>
    <row r="136" spans="5:13" x14ac:dyDescent="0.25">
      <c r="E136" s="34">
        <v>1000000061</v>
      </c>
      <c r="F136" s="34">
        <v>30</v>
      </c>
      <c r="G136" s="34">
        <v>0</v>
      </c>
      <c r="H136">
        <v>0</v>
      </c>
      <c r="I136">
        <v>0</v>
      </c>
      <c r="J136" s="34">
        <f>ROUNDUP((VLOOKUP(E136,'Base Matricule Siège'!$B$13:$AA$500,26,FALSE)),0)</f>
        <v>1607</v>
      </c>
      <c r="K136" s="34">
        <f t="shared" si="4"/>
        <v>1607</v>
      </c>
      <c r="L136" s="34" t="str">
        <f>VLOOKUP(E136,'Base Matricule Siège'!$B$13:$G$500,6,FALSE)</f>
        <v>Employé</v>
      </c>
      <c r="M136" s="34">
        <f t="shared" si="5"/>
        <v>1607</v>
      </c>
    </row>
    <row r="137" spans="5:13" x14ac:dyDescent="0.25">
      <c r="E137" s="34">
        <v>600000034</v>
      </c>
      <c r="F137" s="34">
        <v>30</v>
      </c>
      <c r="G137" s="34">
        <v>0</v>
      </c>
      <c r="H137">
        <v>0</v>
      </c>
      <c r="I137">
        <v>0</v>
      </c>
      <c r="J137" s="34">
        <f>ROUNDUP((VLOOKUP(E137,'Base Matricule Siège'!$B$13:$AA$500,26,FALSE)),0)</f>
        <v>1607</v>
      </c>
      <c r="K137" s="34">
        <f t="shared" si="4"/>
        <v>1607</v>
      </c>
      <c r="L137" s="34" t="str">
        <f>VLOOKUP(E137,'Base Matricule Siège'!$B$13:$G$500,6,FALSE)</f>
        <v>Employé</v>
      </c>
      <c r="M137" s="34">
        <f t="shared" si="5"/>
        <v>1607</v>
      </c>
    </row>
    <row r="138" spans="5:13" x14ac:dyDescent="0.25">
      <c r="E138" s="34">
        <v>2000000026</v>
      </c>
      <c r="F138" s="34">
        <v>30</v>
      </c>
      <c r="G138" s="34">
        <v>0</v>
      </c>
      <c r="H138">
        <v>0</v>
      </c>
      <c r="I138">
        <v>0</v>
      </c>
      <c r="J138" s="34">
        <f>ROUNDUP((VLOOKUP(E138,'Base Matricule Siège'!$B$13:$AA$500,26,FALSE)),0)</f>
        <v>1607</v>
      </c>
      <c r="K138" s="34">
        <f t="shared" si="4"/>
        <v>1607</v>
      </c>
      <c r="L138" s="34" t="str">
        <f>VLOOKUP(E138,'Base Matricule Siège'!$B$13:$G$500,6,FALSE)</f>
        <v>Employé</v>
      </c>
      <c r="M138" s="34">
        <f t="shared" si="5"/>
        <v>1607</v>
      </c>
    </row>
    <row r="139" spans="5:13" x14ac:dyDescent="0.25">
      <c r="E139" s="34">
        <v>1100000045</v>
      </c>
      <c r="F139" s="34">
        <v>30</v>
      </c>
      <c r="G139" s="34">
        <v>0</v>
      </c>
      <c r="H139">
        <v>0</v>
      </c>
      <c r="I139">
        <v>0</v>
      </c>
      <c r="J139" s="34">
        <f>ROUNDUP((VLOOKUP(E139,'Base Matricule Siège'!$B$13:$AA$500,26,FALSE)),0)</f>
        <v>1607</v>
      </c>
      <c r="K139" s="34">
        <f t="shared" si="4"/>
        <v>1607</v>
      </c>
      <c r="L139" s="34" t="str">
        <f>VLOOKUP(E139,'Base Matricule Siège'!$B$13:$G$500,6,FALSE)</f>
        <v>Employé</v>
      </c>
      <c r="M139" s="34">
        <f t="shared" si="5"/>
        <v>1607</v>
      </c>
    </row>
    <row r="140" spans="5:13" x14ac:dyDescent="0.25">
      <c r="E140" s="34">
        <v>1100000048</v>
      </c>
      <c r="F140" s="34">
        <v>0</v>
      </c>
      <c r="G140" s="34">
        <v>0</v>
      </c>
      <c r="H140">
        <v>0</v>
      </c>
      <c r="I140">
        <v>0</v>
      </c>
      <c r="J140" s="34">
        <f>ROUNDUP((VLOOKUP(E140,'Base Matricule Siège'!$B$13:$AA$500,26,FALSE)),0)</f>
        <v>1246</v>
      </c>
      <c r="K140" s="34">
        <f t="shared" si="4"/>
        <v>1246</v>
      </c>
      <c r="L140" s="34" t="str">
        <f>VLOOKUP(E140,'Base Matricule Siège'!$B$13:$G$500,6,FALSE)</f>
        <v>Employé</v>
      </c>
      <c r="M140" s="34">
        <f t="shared" si="5"/>
        <v>1246</v>
      </c>
    </row>
    <row r="141" spans="5:13" x14ac:dyDescent="0.25">
      <c r="E141" s="34">
        <v>8000000024</v>
      </c>
      <c r="F141" s="34">
        <v>22</v>
      </c>
      <c r="G141" s="34">
        <v>0</v>
      </c>
      <c r="H141">
        <v>0</v>
      </c>
      <c r="I141">
        <v>0</v>
      </c>
      <c r="J141" s="34">
        <f>ROUNDUP((VLOOKUP(E141,'Base Matricule Siège'!$B$13:$AA$500,26,FALSE)),0)</f>
        <v>1663</v>
      </c>
      <c r="K141" s="34">
        <f t="shared" si="4"/>
        <v>1663</v>
      </c>
      <c r="L141" s="34" t="str">
        <f>VLOOKUP(E141,'Base Matricule Siège'!$B$13:$G$500,6,FALSE)</f>
        <v>Employé</v>
      </c>
      <c r="M141" s="34">
        <f t="shared" si="5"/>
        <v>1663</v>
      </c>
    </row>
    <row r="142" spans="5:13" x14ac:dyDescent="0.25">
      <c r="E142" s="34">
        <v>8000000023</v>
      </c>
      <c r="F142" s="34">
        <v>30</v>
      </c>
      <c r="G142" s="34">
        <v>0</v>
      </c>
      <c r="H142">
        <v>0</v>
      </c>
      <c r="I142">
        <v>0</v>
      </c>
      <c r="J142" s="34">
        <f>ROUNDUP((VLOOKUP(E142,'Base Matricule Siège'!$B$13:$AA$500,26,FALSE)),0)</f>
        <v>1607</v>
      </c>
      <c r="K142" s="34">
        <f t="shared" si="4"/>
        <v>1607</v>
      </c>
      <c r="L142" s="34" t="str">
        <f>VLOOKUP(E142,'Base Matricule Siège'!$B$13:$G$500,6,FALSE)</f>
        <v>Employé</v>
      </c>
      <c r="M142" s="34">
        <f t="shared" si="5"/>
        <v>1607</v>
      </c>
    </row>
    <row r="143" spans="5:13" x14ac:dyDescent="0.25">
      <c r="E143" s="34">
        <v>5000000036</v>
      </c>
      <c r="F143" s="34">
        <v>30</v>
      </c>
      <c r="G143" s="34">
        <v>0</v>
      </c>
      <c r="H143">
        <v>0</v>
      </c>
      <c r="I143">
        <v>0</v>
      </c>
      <c r="J143" s="34">
        <f>ROUNDUP((VLOOKUP(E143,'Base Matricule Siège'!$B$13:$AA$500,26,FALSE)),0)</f>
        <v>1607</v>
      </c>
      <c r="K143" s="34">
        <f t="shared" si="4"/>
        <v>1607</v>
      </c>
      <c r="L143" s="34" t="str">
        <f>VLOOKUP(E143,'Base Matricule Siège'!$B$13:$G$500,6,FALSE)</f>
        <v>Employé</v>
      </c>
      <c r="M143" s="34">
        <f t="shared" si="5"/>
        <v>1607</v>
      </c>
    </row>
    <row r="144" spans="5:13" x14ac:dyDescent="0.25">
      <c r="E144" s="34">
        <v>1100000047</v>
      </c>
      <c r="F144" s="34">
        <v>28</v>
      </c>
      <c r="G144" s="34">
        <v>0</v>
      </c>
      <c r="H144">
        <v>0</v>
      </c>
      <c r="I144">
        <v>0</v>
      </c>
      <c r="J144" s="34">
        <f>ROUNDUP((VLOOKUP(E144,'Base Matricule Siège'!$B$13:$AA$500,26,FALSE)),0)</f>
        <v>1621</v>
      </c>
      <c r="K144" s="34">
        <f t="shared" si="4"/>
        <v>1621</v>
      </c>
      <c r="L144" s="34" t="str">
        <f>VLOOKUP(E144,'Base Matricule Siège'!$B$13:$G$500,6,FALSE)</f>
        <v>Employé</v>
      </c>
      <c r="M144" s="34">
        <f t="shared" si="5"/>
        <v>1621</v>
      </c>
    </row>
    <row r="145" spans="5:13" x14ac:dyDescent="0.25">
      <c r="E145" s="34">
        <v>5000000040</v>
      </c>
      <c r="F145" s="34">
        <v>30</v>
      </c>
      <c r="G145" s="34">
        <v>0</v>
      </c>
      <c r="H145">
        <v>0</v>
      </c>
      <c r="I145">
        <v>0</v>
      </c>
      <c r="J145" s="34">
        <f>ROUNDUP((VLOOKUP(E145,'Base Matricule Siège'!$B$13:$AA$500,26,FALSE)),0)</f>
        <v>1607</v>
      </c>
      <c r="K145" s="34">
        <f t="shared" si="4"/>
        <v>1607</v>
      </c>
      <c r="L145" s="34" t="str">
        <f>VLOOKUP(E145,'Base Matricule Siège'!$B$13:$G$500,6,FALSE)</f>
        <v>Employé</v>
      </c>
      <c r="M145" s="34">
        <f t="shared" si="5"/>
        <v>1607</v>
      </c>
    </row>
    <row r="146" spans="5:13" x14ac:dyDescent="0.25">
      <c r="E146" s="34">
        <v>4000000010</v>
      </c>
      <c r="F146" s="34">
        <v>30</v>
      </c>
      <c r="G146" s="34">
        <v>0</v>
      </c>
      <c r="H146">
        <v>0</v>
      </c>
      <c r="I146">
        <v>0</v>
      </c>
      <c r="J146" s="34">
        <f>ROUNDUP((VLOOKUP(E146,'Base Matricule Siège'!$B$13:$AA$500,26,FALSE)),0)</f>
        <v>1607</v>
      </c>
      <c r="K146" s="34">
        <f t="shared" si="4"/>
        <v>1607</v>
      </c>
      <c r="L146" s="34" t="str">
        <f>VLOOKUP(E146,'Base Matricule Siège'!$B$13:$G$500,6,FALSE)</f>
        <v>Employé</v>
      </c>
      <c r="M146" s="34">
        <f t="shared" si="5"/>
        <v>1607</v>
      </c>
    </row>
    <row r="147" spans="5:13" x14ac:dyDescent="0.25">
      <c r="E147" s="34">
        <v>300000043</v>
      </c>
      <c r="F147" s="34">
        <v>28</v>
      </c>
      <c r="G147" s="34">
        <v>0</v>
      </c>
      <c r="H147">
        <v>0</v>
      </c>
      <c r="I147">
        <v>0</v>
      </c>
      <c r="J147" s="34">
        <f>ROUNDUP((VLOOKUP(E147,'Base Matricule Siège'!$B$13:$AA$500,26,FALSE)),0)</f>
        <v>1621</v>
      </c>
      <c r="K147" s="34">
        <f t="shared" si="4"/>
        <v>1621</v>
      </c>
      <c r="L147" s="34" t="str">
        <f>VLOOKUP(E147,'Base Matricule Siège'!$B$13:$G$500,6,FALSE)</f>
        <v>Employé</v>
      </c>
      <c r="M147" s="34">
        <f t="shared" si="5"/>
        <v>1621</v>
      </c>
    </row>
    <row r="148" spans="5:13" x14ac:dyDescent="0.25">
      <c r="E148" s="34">
        <v>400000025</v>
      </c>
      <c r="F148" s="34">
        <v>25</v>
      </c>
      <c r="G148" s="34">
        <v>0</v>
      </c>
      <c r="H148">
        <v>0</v>
      </c>
      <c r="I148">
        <v>0</v>
      </c>
      <c r="J148" s="34">
        <f>ROUNDUP((VLOOKUP(E148,'Base Matricule Siège'!$B$13:$AA$500,26,FALSE)),0)</f>
        <v>1642</v>
      </c>
      <c r="K148" s="34">
        <f t="shared" si="4"/>
        <v>1642</v>
      </c>
      <c r="L148" s="34" t="str">
        <f>VLOOKUP(E148,'Base Matricule Siège'!$B$13:$G$500,6,FALSE)</f>
        <v>Employé</v>
      </c>
      <c r="M148" s="34">
        <f t="shared" si="5"/>
        <v>1642</v>
      </c>
    </row>
    <row r="149" spans="5:13" x14ac:dyDescent="0.25">
      <c r="E149" s="34">
        <v>4000000011</v>
      </c>
      <c r="F149" s="34">
        <v>24</v>
      </c>
      <c r="G149" s="34">
        <v>0</v>
      </c>
      <c r="H149">
        <v>0</v>
      </c>
      <c r="I149">
        <v>0</v>
      </c>
      <c r="J149" s="34">
        <f>ROUNDUP((VLOOKUP(E149,'Base Matricule Siège'!$B$13:$AA$500,26,FALSE)),0)</f>
        <v>1649</v>
      </c>
      <c r="K149" s="34">
        <f t="shared" si="4"/>
        <v>1649</v>
      </c>
      <c r="L149" s="34" t="str">
        <f>VLOOKUP(E149,'Base Matricule Siège'!$B$13:$G$500,6,FALSE)</f>
        <v>Employé</v>
      </c>
      <c r="M149" s="34">
        <f t="shared" si="5"/>
        <v>1649</v>
      </c>
    </row>
    <row r="150" spans="5:13" x14ac:dyDescent="0.25">
      <c r="E150" s="34">
        <v>1200000053</v>
      </c>
      <c r="F150" s="34">
        <v>16</v>
      </c>
      <c r="G150" s="34">
        <v>0</v>
      </c>
      <c r="H150">
        <v>0</v>
      </c>
      <c r="I150">
        <v>0</v>
      </c>
      <c r="J150" s="34">
        <f>ROUNDUP((VLOOKUP(E150,'Base Matricule Siège'!$B$13:$AA$500,26,FALSE)),0)</f>
        <v>1705</v>
      </c>
      <c r="K150" s="34">
        <f t="shared" si="4"/>
        <v>1705</v>
      </c>
      <c r="L150" s="34" t="str">
        <f>VLOOKUP(E150,'Base Matricule Siège'!$B$13:$G$500,6,FALSE)</f>
        <v>Employé</v>
      </c>
      <c r="M150" s="34">
        <f t="shared" si="5"/>
        <v>1705</v>
      </c>
    </row>
    <row r="151" spans="5:13" x14ac:dyDescent="0.25">
      <c r="E151" s="34">
        <v>100000044</v>
      </c>
      <c r="F151" s="34">
        <v>20</v>
      </c>
      <c r="G151" s="34">
        <v>0</v>
      </c>
      <c r="H151">
        <v>0</v>
      </c>
      <c r="I151">
        <v>0</v>
      </c>
      <c r="J151" s="34">
        <f>ROUNDUP((VLOOKUP(E151,'Base Matricule Siège'!$B$13:$AA$500,26,FALSE)),0)</f>
        <v>1677</v>
      </c>
      <c r="K151" s="34">
        <f t="shared" si="4"/>
        <v>1677</v>
      </c>
      <c r="L151" s="34" t="str">
        <f>VLOOKUP(E151,'Base Matricule Siège'!$B$13:$G$500,6,FALSE)</f>
        <v>Employé</v>
      </c>
      <c r="M151" s="34">
        <f t="shared" si="5"/>
        <v>1677</v>
      </c>
    </row>
    <row r="152" spans="5:13" x14ac:dyDescent="0.25">
      <c r="E152" s="34">
        <v>8000000026</v>
      </c>
      <c r="F152" s="34">
        <v>0</v>
      </c>
      <c r="G152" s="34">
        <v>0</v>
      </c>
      <c r="H152">
        <v>0</v>
      </c>
      <c r="I152">
        <v>0</v>
      </c>
      <c r="J152" s="34">
        <f>ROUNDUP((VLOOKUP(E152,'Base Matricule Siège'!$B$13:$AA$500,26,FALSE)),0)</f>
        <v>1817</v>
      </c>
      <c r="K152" s="34">
        <f t="shared" si="4"/>
        <v>1817</v>
      </c>
      <c r="L152" s="34" t="str">
        <f>VLOOKUP(E152,'Base Matricule Siège'!$B$13:$G$500,6,FALSE)</f>
        <v>Employé</v>
      </c>
      <c r="M152" s="34">
        <f t="shared" si="5"/>
        <v>1817</v>
      </c>
    </row>
    <row r="153" spans="5:13" x14ac:dyDescent="0.25">
      <c r="E153" s="34">
        <v>5000000041</v>
      </c>
      <c r="F153" s="34">
        <v>23</v>
      </c>
      <c r="G153" s="34">
        <v>0</v>
      </c>
      <c r="H153">
        <v>0</v>
      </c>
      <c r="I153">
        <v>0</v>
      </c>
      <c r="J153" s="34">
        <f>ROUNDUP((VLOOKUP(E153,'Base Matricule Siège'!$B$13:$AA$500,26,FALSE)),0)</f>
        <v>1656</v>
      </c>
      <c r="K153" s="34">
        <f t="shared" si="4"/>
        <v>1656</v>
      </c>
      <c r="L153" s="34" t="str">
        <f>VLOOKUP(E153,'Base Matricule Siège'!$B$13:$G$500,6,FALSE)</f>
        <v>Employé</v>
      </c>
      <c r="M153" s="34">
        <f t="shared" si="5"/>
        <v>1656</v>
      </c>
    </row>
    <row r="154" spans="5:13" x14ac:dyDescent="0.25">
      <c r="E154" s="34">
        <v>700000040</v>
      </c>
      <c r="F154" s="34">
        <v>23</v>
      </c>
      <c r="G154" s="34">
        <v>0</v>
      </c>
      <c r="H154">
        <v>0</v>
      </c>
      <c r="I154">
        <v>0</v>
      </c>
      <c r="J154" s="34">
        <f>ROUNDUP((VLOOKUP(E154,'Base Matricule Siège'!$B$13:$AA$500,26,FALSE)),0)</f>
        <v>1656</v>
      </c>
      <c r="K154" s="34">
        <f t="shared" si="4"/>
        <v>1656</v>
      </c>
      <c r="L154" s="34" t="str">
        <f>VLOOKUP(E154,'Base Matricule Siège'!$B$13:$G$500,6,FALSE)</f>
        <v>Employé</v>
      </c>
      <c r="M154" s="34">
        <f t="shared" si="5"/>
        <v>1656</v>
      </c>
    </row>
    <row r="155" spans="5:13" x14ac:dyDescent="0.25">
      <c r="E155" s="34">
        <v>400000026</v>
      </c>
      <c r="F155" s="34">
        <v>23</v>
      </c>
      <c r="G155" s="34">
        <v>0</v>
      </c>
      <c r="H155">
        <v>0</v>
      </c>
      <c r="I155">
        <v>0</v>
      </c>
      <c r="J155" s="34">
        <f>ROUNDUP((VLOOKUP(E155,'Base Matricule Siège'!$B$13:$AA$500,26,FALSE)),0)</f>
        <v>1656</v>
      </c>
      <c r="K155" s="34">
        <f t="shared" si="4"/>
        <v>1656</v>
      </c>
      <c r="L155" s="34" t="str">
        <f>VLOOKUP(E155,'Base Matricule Siège'!$B$13:$G$500,6,FALSE)</f>
        <v>Employé</v>
      </c>
      <c r="M155" s="34">
        <f t="shared" si="5"/>
        <v>1656</v>
      </c>
    </row>
    <row r="156" spans="5:13" x14ac:dyDescent="0.25">
      <c r="E156" s="34">
        <v>1200000054</v>
      </c>
      <c r="F156" s="34">
        <v>22</v>
      </c>
      <c r="G156" s="34">
        <v>0</v>
      </c>
      <c r="H156">
        <v>0</v>
      </c>
      <c r="I156">
        <v>0</v>
      </c>
      <c r="J156" s="34">
        <f>ROUNDUP((VLOOKUP(E156,'Base Matricule Siège'!$B$13:$AA$500,26,FALSE)),0)</f>
        <v>1850</v>
      </c>
      <c r="K156" s="34">
        <f t="shared" si="4"/>
        <v>1850</v>
      </c>
      <c r="L156" s="34" t="str">
        <f>VLOOKUP(E156,'Base Matricule Siège'!$B$13:$G$500,6,FALSE)</f>
        <v>Employé</v>
      </c>
      <c r="M156" s="34">
        <f t="shared" si="5"/>
        <v>1850</v>
      </c>
    </row>
    <row r="157" spans="5:13" x14ac:dyDescent="0.25">
      <c r="E157" s="34">
        <v>100000046</v>
      </c>
      <c r="F157" s="34">
        <v>18</v>
      </c>
      <c r="G157" s="34">
        <v>0</v>
      </c>
      <c r="H157">
        <v>0</v>
      </c>
      <c r="I157">
        <v>0</v>
      </c>
      <c r="J157" s="34">
        <f>ROUNDUP((VLOOKUP(E157,'Base Matricule Siège'!$B$13:$AA$500,26,FALSE)),0)</f>
        <v>1691</v>
      </c>
      <c r="K157" s="34">
        <f t="shared" si="4"/>
        <v>1691</v>
      </c>
      <c r="L157" s="34" t="str">
        <f>VLOOKUP(E157,'Base Matricule Siège'!$B$13:$G$500,6,FALSE)</f>
        <v>Employé</v>
      </c>
      <c r="M157" s="34">
        <f t="shared" si="5"/>
        <v>1691</v>
      </c>
    </row>
    <row r="158" spans="5:13" x14ac:dyDescent="0.25">
      <c r="E158" s="34">
        <v>1200000057</v>
      </c>
      <c r="F158" s="34">
        <v>11</v>
      </c>
      <c r="G158" s="34">
        <v>0</v>
      </c>
      <c r="H158">
        <v>0</v>
      </c>
      <c r="I158">
        <v>0</v>
      </c>
      <c r="J158" s="34">
        <f>ROUNDUP((VLOOKUP(E158,'Base Matricule Siège'!$B$13:$AA$500,26,FALSE)),0)</f>
        <v>1740</v>
      </c>
      <c r="K158" s="34">
        <f t="shared" si="4"/>
        <v>1740</v>
      </c>
      <c r="L158" s="34" t="str">
        <f>VLOOKUP(E158,'Base Matricule Siège'!$B$13:$G$500,6,FALSE)</f>
        <v>Employé</v>
      </c>
      <c r="M158" s="34">
        <f t="shared" si="5"/>
        <v>1740</v>
      </c>
    </row>
    <row r="159" spans="5:13" x14ac:dyDescent="0.25">
      <c r="E159" s="34">
        <v>2100000028</v>
      </c>
      <c r="F159" s="34">
        <v>19</v>
      </c>
      <c r="G159" s="34">
        <v>0</v>
      </c>
      <c r="H159">
        <v>0</v>
      </c>
      <c r="I159">
        <v>0</v>
      </c>
      <c r="J159" s="34">
        <f>ROUNDUP((VLOOKUP(E159,'Base Matricule Siège'!$B$13:$AA$500,26,FALSE)),0)</f>
        <v>1684</v>
      </c>
      <c r="K159" s="34">
        <f t="shared" si="4"/>
        <v>1684</v>
      </c>
      <c r="L159" s="34" t="str">
        <f>VLOOKUP(E159,'Base Matricule Siège'!$B$13:$G$500,6,FALSE)</f>
        <v>Employé</v>
      </c>
      <c r="M159" s="34">
        <f t="shared" si="5"/>
        <v>1684</v>
      </c>
    </row>
    <row r="160" spans="5:13" x14ac:dyDescent="0.25">
      <c r="E160" s="34">
        <v>100000047</v>
      </c>
      <c r="F160" s="34">
        <v>18</v>
      </c>
      <c r="G160" s="34">
        <v>0</v>
      </c>
      <c r="H160">
        <v>0</v>
      </c>
      <c r="I160">
        <v>0</v>
      </c>
      <c r="J160" s="34">
        <f>ROUNDUP((VLOOKUP(E160,'Base Matricule Siège'!$B$13:$AA$500,26,FALSE)),0)</f>
        <v>1691</v>
      </c>
      <c r="K160" s="34">
        <f t="shared" si="4"/>
        <v>1691</v>
      </c>
      <c r="L160" s="34" t="str">
        <f>VLOOKUP(E160,'Base Matricule Siège'!$B$13:$G$500,6,FALSE)</f>
        <v>Employé</v>
      </c>
      <c r="M160" s="34">
        <f t="shared" si="5"/>
        <v>1691</v>
      </c>
    </row>
    <row r="161" spans="5:20" x14ac:dyDescent="0.25">
      <c r="E161" s="34">
        <v>100000045</v>
      </c>
      <c r="F161" s="34">
        <v>5</v>
      </c>
      <c r="G161" s="34">
        <v>0</v>
      </c>
      <c r="H161">
        <v>0</v>
      </c>
      <c r="I161">
        <v>0</v>
      </c>
      <c r="J161" s="34">
        <f>ROUNDUP((VLOOKUP(E161,'Base Matricule Siège'!$B$13:$AA$500,26,FALSE)),0)</f>
        <v>1782</v>
      </c>
      <c r="K161" s="34">
        <f t="shared" si="4"/>
        <v>1782</v>
      </c>
      <c r="L161" s="34" t="str">
        <f>VLOOKUP(E161,'Base Matricule Siège'!$B$13:$G$500,6,FALSE)</f>
        <v>Employé</v>
      </c>
      <c r="M161" s="34">
        <f t="shared" si="5"/>
        <v>1782</v>
      </c>
    </row>
    <row r="162" spans="5:20" x14ac:dyDescent="0.25">
      <c r="E162" s="34">
        <v>1200000058</v>
      </c>
      <c r="F162" s="34">
        <v>17</v>
      </c>
      <c r="G162" s="34">
        <v>0</v>
      </c>
      <c r="H162">
        <v>0</v>
      </c>
      <c r="I162">
        <v>0</v>
      </c>
      <c r="J162" s="34">
        <f>ROUNDUP((VLOOKUP(E162,'Base Matricule Siège'!$B$13:$AA$500,26,FALSE)),0)</f>
        <v>1698</v>
      </c>
      <c r="K162" s="34">
        <f t="shared" si="4"/>
        <v>1698</v>
      </c>
      <c r="L162" s="34" t="str">
        <f>VLOOKUP(E162,'Base Matricule Siège'!$B$13:$G$500,6,FALSE)</f>
        <v>Employé</v>
      </c>
      <c r="M162" s="34">
        <f t="shared" si="5"/>
        <v>1698</v>
      </c>
    </row>
    <row r="163" spans="5:20" x14ac:dyDescent="0.25">
      <c r="E163" s="34">
        <v>200000045</v>
      </c>
      <c r="F163" s="34">
        <v>15</v>
      </c>
      <c r="G163" s="34">
        <v>0</v>
      </c>
      <c r="H163">
        <v>0</v>
      </c>
      <c r="I163">
        <v>0</v>
      </c>
      <c r="J163" s="34">
        <f>ROUNDUP((VLOOKUP(E163,'Base Matricule Siège'!$B$13:$AA$500,26,FALSE)),0)</f>
        <v>1712</v>
      </c>
      <c r="K163" s="34">
        <f t="shared" si="4"/>
        <v>1712</v>
      </c>
      <c r="L163" s="34" t="str">
        <f>VLOOKUP(E163,'Base Matricule Siège'!$B$13:$G$500,6,FALSE)</f>
        <v>Employé</v>
      </c>
      <c r="M163" s="34">
        <f t="shared" si="5"/>
        <v>1712</v>
      </c>
    </row>
    <row r="164" spans="5:20" x14ac:dyDescent="0.25">
      <c r="E164" s="34">
        <v>3000000071</v>
      </c>
      <c r="F164" s="34">
        <v>12</v>
      </c>
      <c r="G164" s="34">
        <v>0</v>
      </c>
      <c r="H164">
        <v>0</v>
      </c>
      <c r="I164">
        <v>0</v>
      </c>
      <c r="J164" s="34">
        <f>ROUNDUP((VLOOKUP(E164,'Base Matricule Siège'!$B$13:$AA$500,26,FALSE)),0)</f>
        <v>1733</v>
      </c>
      <c r="K164" s="34">
        <f t="shared" si="4"/>
        <v>1733</v>
      </c>
      <c r="L164" s="34" t="str">
        <f>VLOOKUP(E164,'Base Matricule Siège'!$B$13:$G$500,6,FALSE)</f>
        <v>Employé</v>
      </c>
      <c r="M164" s="34">
        <f t="shared" si="5"/>
        <v>1733</v>
      </c>
    </row>
    <row r="165" spans="5:20" x14ac:dyDescent="0.25">
      <c r="E165" s="34">
        <v>9000000023</v>
      </c>
      <c r="F165" s="34">
        <v>0</v>
      </c>
      <c r="G165" s="34">
        <v>0</v>
      </c>
      <c r="H165">
        <v>0</v>
      </c>
      <c r="I165">
        <v>0</v>
      </c>
      <c r="J165" s="34">
        <f>ROUNDUP((VLOOKUP(E165,'Base Matricule Siège'!$B$13:$AA$500,26,FALSE)),0)</f>
        <v>1817</v>
      </c>
      <c r="K165" s="34">
        <f t="shared" si="4"/>
        <v>1817</v>
      </c>
      <c r="L165" s="34" t="str">
        <f>VLOOKUP(E165,'Base Matricule Siège'!$B$13:$G$500,6,FALSE)</f>
        <v>Employé</v>
      </c>
      <c r="M165" s="34">
        <f t="shared" si="5"/>
        <v>1817</v>
      </c>
    </row>
    <row r="166" spans="5:20" x14ac:dyDescent="0.25">
      <c r="E166" s="34">
        <v>1000000068</v>
      </c>
      <c r="F166" s="34">
        <v>12</v>
      </c>
      <c r="G166" s="34">
        <v>0</v>
      </c>
      <c r="H166">
        <v>0</v>
      </c>
      <c r="I166">
        <v>0</v>
      </c>
      <c r="J166" s="34">
        <f>ROUNDUP((VLOOKUP(E166,'Base Matricule Siège'!$B$13:$AA$500,26,FALSE)),0)</f>
        <v>1733</v>
      </c>
      <c r="K166" s="34">
        <f t="shared" si="4"/>
        <v>1733</v>
      </c>
      <c r="L166" s="34" t="str">
        <f>VLOOKUP(E166,'Base Matricule Siège'!$B$13:$G$500,6,FALSE)</f>
        <v>Employé</v>
      </c>
      <c r="M166" s="34">
        <f t="shared" si="5"/>
        <v>1733</v>
      </c>
    </row>
    <row r="167" spans="5:20" x14ac:dyDescent="0.25">
      <c r="E167" s="34">
        <v>1200000059</v>
      </c>
      <c r="F167" s="34">
        <v>12</v>
      </c>
      <c r="G167" s="34">
        <v>0</v>
      </c>
      <c r="H167">
        <v>0</v>
      </c>
      <c r="I167">
        <v>0</v>
      </c>
      <c r="J167" s="34">
        <f>ROUNDUP((VLOOKUP(E167,'Base Matricule Siège'!$B$13:$AA$500,26,FALSE)),0)</f>
        <v>1733</v>
      </c>
      <c r="K167" s="34">
        <f t="shared" si="4"/>
        <v>1733</v>
      </c>
      <c r="L167" s="34" t="str">
        <f>VLOOKUP(E167,'Base Matricule Siège'!$B$13:$G$500,6,FALSE)</f>
        <v>Employé</v>
      </c>
      <c r="M167" s="34">
        <f t="shared" si="5"/>
        <v>1733</v>
      </c>
    </row>
    <row r="168" spans="5:20" x14ac:dyDescent="0.25">
      <c r="E168" s="34">
        <v>2000000035</v>
      </c>
      <c r="F168" s="34">
        <v>13</v>
      </c>
      <c r="G168" s="34">
        <v>0</v>
      </c>
      <c r="H168">
        <v>0</v>
      </c>
      <c r="I168">
        <v>0</v>
      </c>
      <c r="J168" s="34">
        <f>ROUNDUP((VLOOKUP(E168,'Base Matricule Siège'!$B$13:$AA$500,26,FALSE)),0)</f>
        <v>1726</v>
      </c>
      <c r="K168" s="34">
        <f t="shared" si="4"/>
        <v>1726</v>
      </c>
      <c r="L168" s="34" t="str">
        <f>VLOOKUP(E168,'Base Matricule Siège'!$B$13:$G$500,6,FALSE)</f>
        <v>Employé</v>
      </c>
      <c r="M168" s="34">
        <f t="shared" si="5"/>
        <v>1726</v>
      </c>
    </row>
    <row r="169" spans="5:20" x14ac:dyDescent="0.25">
      <c r="E169" s="34">
        <v>1200000061</v>
      </c>
      <c r="F169" s="34">
        <v>8</v>
      </c>
      <c r="G169" s="34">
        <v>0</v>
      </c>
      <c r="H169" s="34">
        <v>0</v>
      </c>
      <c r="I169" s="34">
        <v>0</v>
      </c>
      <c r="J169" s="34">
        <f>ROUNDUP((VLOOKUP(E169,'Base Matricule Siège'!$B$13:$AA$500,26,FALSE)),0)</f>
        <v>1761</v>
      </c>
      <c r="K169" s="34">
        <f t="shared" ref="K169:K186" si="6">TRUNC(J169,0)</f>
        <v>1761</v>
      </c>
      <c r="L169" s="34" t="str">
        <f>VLOOKUP(E169,'Base Matricule Siège'!$B$13:$G$500,6,FALSE)</f>
        <v>Employé</v>
      </c>
      <c r="M169" s="34">
        <f t="shared" ref="M169:M186" si="7">IF(L169="Cadre",(K169-H169),(K169-G169))</f>
        <v>1761</v>
      </c>
      <c r="N169" s="34"/>
      <c r="O169" s="34"/>
      <c r="P169" s="34"/>
      <c r="Q169" s="34"/>
      <c r="R169" s="34"/>
      <c r="S169" s="34"/>
      <c r="T169" s="34"/>
    </row>
    <row r="170" spans="5:20" x14ac:dyDescent="0.25">
      <c r="E170" s="34">
        <v>6000000027</v>
      </c>
      <c r="F170" s="34">
        <v>10</v>
      </c>
      <c r="G170" s="34">
        <v>0</v>
      </c>
      <c r="H170" s="34">
        <v>0</v>
      </c>
      <c r="I170" s="34">
        <v>0</v>
      </c>
      <c r="J170" s="34">
        <f>ROUNDUP((VLOOKUP(E170,'Base Matricule Siège'!$B$13:$AA$500,26,FALSE)),0)</f>
        <v>1747</v>
      </c>
      <c r="K170" s="34">
        <f t="shared" si="6"/>
        <v>1747</v>
      </c>
      <c r="L170" s="34" t="str">
        <f>VLOOKUP(E170,'Base Matricule Siège'!$B$13:$G$500,6,FALSE)</f>
        <v>Employé</v>
      </c>
      <c r="M170" s="34">
        <f t="shared" si="7"/>
        <v>1747</v>
      </c>
      <c r="N170" s="34"/>
      <c r="O170" s="34"/>
      <c r="P170" s="34"/>
      <c r="Q170" s="34"/>
      <c r="R170" s="34"/>
      <c r="S170" s="34"/>
      <c r="T170" s="34"/>
    </row>
    <row r="171" spans="5:20" x14ac:dyDescent="0.25">
      <c r="E171" s="34">
        <v>5000000034</v>
      </c>
      <c r="F171" s="34">
        <v>0</v>
      </c>
      <c r="G171" s="34">
        <v>0</v>
      </c>
      <c r="H171">
        <v>0</v>
      </c>
      <c r="I171">
        <v>0</v>
      </c>
      <c r="J171" s="34">
        <f>ROUNDUP((VLOOKUP(E171,'Base Matricule Siège'!$B$13:$AA$500,26,FALSE)),0)</f>
        <v>1817</v>
      </c>
      <c r="K171" s="34">
        <f t="shared" si="6"/>
        <v>1817</v>
      </c>
      <c r="L171" s="34" t="str">
        <f>VLOOKUP(E171,'Base Matricule Siège'!$B$13:$G$500,6,FALSE)</f>
        <v>Employé</v>
      </c>
      <c r="M171" s="34">
        <f t="shared" si="7"/>
        <v>1817</v>
      </c>
    </row>
    <row r="172" spans="5:20" x14ac:dyDescent="0.25">
      <c r="E172" s="34">
        <v>7000000049</v>
      </c>
      <c r="F172" s="34">
        <v>7</v>
      </c>
      <c r="G172" s="34">
        <v>0</v>
      </c>
      <c r="H172" s="34">
        <v>0</v>
      </c>
      <c r="I172" s="34">
        <v>0</v>
      </c>
      <c r="J172" s="34">
        <f>ROUNDUP((VLOOKUP(E172,'Base Matricule Siège'!$B$13:$AA$500,26,FALSE)),0)</f>
        <v>1768</v>
      </c>
      <c r="K172" s="34">
        <f t="shared" si="6"/>
        <v>1768</v>
      </c>
      <c r="L172" s="34" t="str">
        <f>VLOOKUP(E172,'Base Matricule Siège'!$B$13:$G$500,6,FALSE)</f>
        <v>Employé</v>
      </c>
      <c r="M172" s="34">
        <f t="shared" si="7"/>
        <v>1768</v>
      </c>
      <c r="N172" s="34"/>
      <c r="O172" s="34"/>
      <c r="P172" s="34"/>
      <c r="Q172" s="34"/>
      <c r="R172" s="34"/>
      <c r="S172" s="34"/>
      <c r="T172" s="34"/>
    </row>
    <row r="173" spans="5:20" x14ac:dyDescent="0.25">
      <c r="E173">
        <v>600000040</v>
      </c>
      <c r="F173">
        <v>7</v>
      </c>
      <c r="G173">
        <v>0</v>
      </c>
      <c r="H173">
        <v>0</v>
      </c>
      <c r="I173">
        <v>0</v>
      </c>
      <c r="J173" s="34">
        <f>ROUNDUP((VLOOKUP(E173,'Base Matricule Siège'!$B$13:$AA$500,26,FALSE)),0)</f>
        <v>251</v>
      </c>
      <c r="K173" s="34">
        <f t="shared" si="6"/>
        <v>251</v>
      </c>
      <c r="L173" s="34" t="str">
        <f>VLOOKUP(E173,'Base Matricule Siège'!$B$13:$G$500,6,FALSE)</f>
        <v>Cadre</v>
      </c>
      <c r="M173" s="34">
        <f t="shared" si="7"/>
        <v>251</v>
      </c>
    </row>
    <row r="174" spans="5:20" x14ac:dyDescent="0.25">
      <c r="E174">
        <v>7000000052</v>
      </c>
      <c r="F174">
        <v>4</v>
      </c>
      <c r="G174">
        <v>0</v>
      </c>
      <c r="H174">
        <v>0</v>
      </c>
      <c r="I174">
        <v>0</v>
      </c>
      <c r="J174" s="34">
        <f>ROUNDUP((VLOOKUP(E174,'Base Matricule Siège'!$B$13:$AA$500,26,FALSE)),0)</f>
        <v>1789</v>
      </c>
      <c r="K174" s="34">
        <f t="shared" si="6"/>
        <v>1789</v>
      </c>
      <c r="L174" s="34" t="str">
        <f>VLOOKUP(E174,'Base Matricule Siège'!$B$13:$G$500,6,FALSE)</f>
        <v>Employé</v>
      </c>
      <c r="M174" s="34">
        <f t="shared" si="7"/>
        <v>1789</v>
      </c>
    </row>
    <row r="175" spans="5:20" x14ac:dyDescent="0.25">
      <c r="E175">
        <v>9000000024</v>
      </c>
      <c r="F175">
        <v>4</v>
      </c>
      <c r="G175">
        <v>0</v>
      </c>
      <c r="H175">
        <v>0</v>
      </c>
      <c r="I175">
        <v>0</v>
      </c>
      <c r="J175" s="34">
        <f>ROUNDUP((VLOOKUP(E175,'Base Matricule Siège'!$B$13:$AA$500,26,FALSE)),0)</f>
        <v>1789</v>
      </c>
      <c r="K175" s="34">
        <f t="shared" si="6"/>
        <v>1789</v>
      </c>
      <c r="L175" s="34" t="str">
        <f>VLOOKUP(E175,'Base Matricule Siège'!$B$13:$G$500,6,FALSE)</f>
        <v>Employé</v>
      </c>
      <c r="M175" s="34">
        <f t="shared" si="7"/>
        <v>1789</v>
      </c>
    </row>
    <row r="176" spans="5:20" x14ac:dyDescent="0.25">
      <c r="E176">
        <v>900000032</v>
      </c>
      <c r="F176">
        <v>3</v>
      </c>
      <c r="G176">
        <v>0</v>
      </c>
      <c r="H176">
        <v>0</v>
      </c>
      <c r="I176">
        <v>0</v>
      </c>
      <c r="J176" s="34">
        <f>ROUNDUP((VLOOKUP(E176,'Base Matricule Siège'!$B$13:$AA$500,26,FALSE)),0)</f>
        <v>1796</v>
      </c>
      <c r="K176" s="34">
        <f t="shared" si="6"/>
        <v>1796</v>
      </c>
      <c r="L176" s="34" t="str">
        <f>VLOOKUP(E176,'Base Matricule Siège'!$B$13:$G$500,6,FALSE)</f>
        <v>Employé</v>
      </c>
      <c r="M176" s="34">
        <f t="shared" si="7"/>
        <v>1796</v>
      </c>
    </row>
    <row r="177" spans="5:13" x14ac:dyDescent="0.25">
      <c r="E177">
        <v>8000000029</v>
      </c>
      <c r="F177">
        <v>0</v>
      </c>
      <c r="G177">
        <v>0</v>
      </c>
      <c r="H177">
        <v>0</v>
      </c>
      <c r="I177">
        <v>0</v>
      </c>
      <c r="J177" s="34">
        <f>ROUNDUP((VLOOKUP(E177,'Base Matricule Siège'!$B$13:$AA$500,26,FALSE)),0)</f>
        <v>1297</v>
      </c>
      <c r="K177" s="34">
        <f t="shared" si="6"/>
        <v>1297</v>
      </c>
      <c r="L177" s="34" t="str">
        <f>VLOOKUP(E177,'Base Matricule Siège'!$B$13:$G$500,6,FALSE)</f>
        <v>Employé</v>
      </c>
      <c r="M177" s="34">
        <f t="shared" si="7"/>
        <v>1297</v>
      </c>
    </row>
    <row r="178" spans="5:13" x14ac:dyDescent="0.25">
      <c r="E178">
        <v>7000000053</v>
      </c>
      <c r="F178">
        <v>3</v>
      </c>
      <c r="G178">
        <v>0</v>
      </c>
      <c r="H178">
        <v>0</v>
      </c>
      <c r="I178">
        <v>0</v>
      </c>
      <c r="J178" s="34">
        <f>ROUNDUP((VLOOKUP(E178,'Base Matricule Siège'!$B$13:$AA$500,26,FALSE)),0)</f>
        <v>1796</v>
      </c>
      <c r="K178" s="34">
        <f t="shared" si="6"/>
        <v>1796</v>
      </c>
      <c r="L178" s="34" t="str">
        <f>VLOOKUP(E178,'Base Matricule Siège'!$B$13:$G$500,6,FALSE)</f>
        <v>Employé</v>
      </c>
      <c r="M178" s="34">
        <f t="shared" si="7"/>
        <v>1796</v>
      </c>
    </row>
    <row r="179" spans="5:13" x14ac:dyDescent="0.25">
      <c r="E179">
        <v>3000000072</v>
      </c>
      <c r="F179">
        <v>5</v>
      </c>
      <c r="G179">
        <v>0</v>
      </c>
      <c r="H179">
        <v>0</v>
      </c>
      <c r="I179">
        <v>0</v>
      </c>
      <c r="J179" s="34">
        <f>ROUNDUP((VLOOKUP(E179,'Base Matricule Siège'!$B$13:$AA$500,26,FALSE)),0)</f>
        <v>1782</v>
      </c>
      <c r="K179" s="34">
        <f t="shared" si="6"/>
        <v>1782</v>
      </c>
      <c r="L179" s="34" t="str">
        <f>VLOOKUP(E179,'Base Matricule Siège'!$B$13:$G$500,6,FALSE)</f>
        <v>Employé</v>
      </c>
      <c r="M179" s="34">
        <f t="shared" si="7"/>
        <v>1782</v>
      </c>
    </row>
    <row r="180" spans="5:13" x14ac:dyDescent="0.25">
      <c r="E180">
        <v>200000046</v>
      </c>
      <c r="F180">
        <v>4</v>
      </c>
      <c r="G180">
        <v>0</v>
      </c>
      <c r="H180">
        <v>0</v>
      </c>
      <c r="I180">
        <v>0</v>
      </c>
      <c r="J180" s="34">
        <f>ROUNDUP((VLOOKUP(E180,'Base Matricule Siège'!$B$13:$AA$500,26,FALSE)),0)</f>
        <v>1789</v>
      </c>
      <c r="K180" s="34">
        <f t="shared" si="6"/>
        <v>1789</v>
      </c>
      <c r="L180" s="34" t="str">
        <f>VLOOKUP(E180,'Base Matricule Siège'!$B$13:$G$500,6,FALSE)</f>
        <v>Employé</v>
      </c>
      <c r="M180" s="34">
        <f t="shared" si="7"/>
        <v>1789</v>
      </c>
    </row>
    <row r="181" spans="5:13" x14ac:dyDescent="0.25">
      <c r="E181">
        <v>3000000074</v>
      </c>
      <c r="F181">
        <v>3</v>
      </c>
      <c r="G181">
        <v>0</v>
      </c>
      <c r="H181">
        <v>0</v>
      </c>
      <c r="I181">
        <v>0</v>
      </c>
      <c r="J181" s="34">
        <f>ROUNDUP((VLOOKUP(E181,'Base Matricule Siège'!$B$13:$AA$500,26,FALSE)),0)</f>
        <v>1796</v>
      </c>
      <c r="K181" s="34">
        <f t="shared" si="6"/>
        <v>1796</v>
      </c>
      <c r="L181" s="34" t="str">
        <f>VLOOKUP(E181,'Base Matricule Siège'!$B$13:$G$500,6,FALSE)</f>
        <v>Employé</v>
      </c>
      <c r="M181" s="34">
        <f t="shared" si="7"/>
        <v>1796</v>
      </c>
    </row>
    <row r="182" spans="5:13" x14ac:dyDescent="0.25">
      <c r="E182">
        <v>3000000073</v>
      </c>
      <c r="F182">
        <v>4</v>
      </c>
      <c r="G182">
        <v>0</v>
      </c>
      <c r="H182">
        <v>0</v>
      </c>
      <c r="I182">
        <v>0</v>
      </c>
      <c r="J182" s="34">
        <f>ROUNDUP((VLOOKUP(E182,'Base Matricule Siège'!$B$13:$AA$500,26,FALSE)),0)</f>
        <v>1789</v>
      </c>
      <c r="K182" s="34">
        <f t="shared" si="6"/>
        <v>1789</v>
      </c>
      <c r="L182" s="34" t="str">
        <f>VLOOKUP(E182,'Base Matricule Siège'!$B$13:$G$500,6,FALSE)</f>
        <v>Employé</v>
      </c>
      <c r="M182" s="34">
        <f t="shared" si="7"/>
        <v>1789</v>
      </c>
    </row>
    <row r="183" spans="5:13" x14ac:dyDescent="0.25">
      <c r="E183">
        <v>400000028</v>
      </c>
      <c r="F183">
        <v>1</v>
      </c>
      <c r="G183">
        <v>0</v>
      </c>
      <c r="H183">
        <v>0</v>
      </c>
      <c r="I183">
        <v>0</v>
      </c>
      <c r="J183" s="34">
        <f>ROUNDUP((VLOOKUP(E183,'Base Matricule Siège'!$B$13:$AA$500,26,FALSE)),0)</f>
        <v>1782</v>
      </c>
      <c r="K183" s="34">
        <f t="shared" si="6"/>
        <v>1782</v>
      </c>
      <c r="L183" s="34" t="str">
        <f>VLOOKUP(E183,'Base Matricule Siège'!$B$13:$G$500,6,FALSE)</f>
        <v>Employé</v>
      </c>
      <c r="M183" s="34">
        <f t="shared" si="7"/>
        <v>1782</v>
      </c>
    </row>
    <row r="184" spans="5:13" x14ac:dyDescent="0.25">
      <c r="E184">
        <v>1300000038</v>
      </c>
      <c r="F184">
        <v>1</v>
      </c>
      <c r="G184">
        <v>0</v>
      </c>
      <c r="H184">
        <v>0</v>
      </c>
      <c r="I184">
        <v>0</v>
      </c>
      <c r="J184" s="34">
        <f>ROUNDUP((VLOOKUP(E184,'Base Matricule Siège'!$B$13:$AA$500,26,FALSE)),0)</f>
        <v>1810</v>
      </c>
      <c r="K184" s="34">
        <f t="shared" si="6"/>
        <v>1810</v>
      </c>
      <c r="L184" s="34" t="str">
        <f>VLOOKUP(E184,'Base Matricule Siège'!$B$13:$G$500,6,FALSE)</f>
        <v>Employé</v>
      </c>
      <c r="M184" s="34">
        <f t="shared" si="7"/>
        <v>1810</v>
      </c>
    </row>
    <row r="185" spans="5:13" x14ac:dyDescent="0.25">
      <c r="E185">
        <v>7000000054</v>
      </c>
      <c r="F185">
        <v>3</v>
      </c>
      <c r="G185">
        <v>0</v>
      </c>
      <c r="H185">
        <v>0</v>
      </c>
      <c r="I185">
        <v>0</v>
      </c>
      <c r="J185" s="34">
        <f>ROUNDUP((VLOOKUP(E185,'Base Matricule Siège'!$B$13:$AA$500,26,FALSE)),0)</f>
        <v>1796</v>
      </c>
      <c r="K185" s="34">
        <f t="shared" si="6"/>
        <v>1796</v>
      </c>
      <c r="L185" s="34" t="str">
        <f>VLOOKUP(E185,'Base Matricule Siège'!$B$13:$G$500,6,FALSE)</f>
        <v>Employé</v>
      </c>
      <c r="M185" s="34">
        <f t="shared" si="7"/>
        <v>1796</v>
      </c>
    </row>
    <row r="186" spans="5:13" x14ac:dyDescent="0.25">
      <c r="E186">
        <v>500000033</v>
      </c>
      <c r="F186">
        <v>2</v>
      </c>
      <c r="G186">
        <v>0</v>
      </c>
      <c r="H186">
        <v>0</v>
      </c>
      <c r="I186">
        <v>0</v>
      </c>
      <c r="J186" s="34">
        <f>ROUNDUP((VLOOKUP(E186,'Base Matricule Siège'!$B$13:$AA$500,26,FALSE)),0)</f>
        <v>1803</v>
      </c>
      <c r="K186" s="34">
        <f t="shared" si="6"/>
        <v>1803</v>
      </c>
      <c r="L186" s="34" t="str">
        <f>VLOOKUP(E186,'Base Matricule Siège'!$B$13:$G$500,6,FALSE)</f>
        <v>Employé</v>
      </c>
      <c r="M186" s="34">
        <f t="shared" si="7"/>
        <v>1803</v>
      </c>
    </row>
    <row r="187" spans="5:13" x14ac:dyDescent="0.25">
      <c r="E187">
        <v>0</v>
      </c>
      <c r="F187">
        <v>0</v>
      </c>
      <c r="G187" t="e">
        <v>#N/A</v>
      </c>
      <c r="H187" t="e">
        <v>#N/A</v>
      </c>
      <c r="I187">
        <v>0</v>
      </c>
      <c r="J187" s="34" t="e">
        <f>ROUNDUP((VLOOKUP(E187,'Base Matricule Siège'!$B$13:$AA$500,26,FALSE)),0)</f>
        <v>#N/A</v>
      </c>
      <c r="K187" s="34" t="e">
        <f t="shared" ref="K187:K191" si="8">TRUNC(J187,0)</f>
        <v>#N/A</v>
      </c>
      <c r="L187" s="34" t="e">
        <f>VLOOKUP(E187,'Base Matricule Siège'!$B$13:$G$500,6,FALSE)</f>
        <v>#N/A</v>
      </c>
      <c r="M187" s="34" t="e">
        <f t="shared" ref="M187:M191" si="9">IF(L187="Cadre",(K187-H187),(K187-G187))</f>
        <v>#N/A</v>
      </c>
    </row>
    <row r="188" spans="5:13" x14ac:dyDescent="0.25">
      <c r="E188">
        <v>0</v>
      </c>
      <c r="F188">
        <v>0</v>
      </c>
      <c r="G188" t="e">
        <v>#N/A</v>
      </c>
      <c r="H188" t="e">
        <v>#N/A</v>
      </c>
      <c r="I188">
        <v>0</v>
      </c>
      <c r="J188" s="34" t="e">
        <f>ROUNDUP((VLOOKUP(E188,'Base Matricule Siège'!$B$13:$AA$500,26,FALSE)),0)</f>
        <v>#N/A</v>
      </c>
      <c r="K188" s="34" t="e">
        <f t="shared" si="8"/>
        <v>#N/A</v>
      </c>
      <c r="L188" s="34" t="e">
        <f>VLOOKUP(E188,'Base Matricule Siège'!$B$13:$G$500,6,FALSE)</f>
        <v>#N/A</v>
      </c>
      <c r="M188" s="34" t="e">
        <f t="shared" si="9"/>
        <v>#N/A</v>
      </c>
    </row>
    <row r="189" spans="5:13" x14ac:dyDescent="0.25">
      <c r="E189">
        <v>0</v>
      </c>
      <c r="F189">
        <v>0</v>
      </c>
      <c r="G189" t="e">
        <v>#N/A</v>
      </c>
      <c r="H189" t="e">
        <v>#N/A</v>
      </c>
      <c r="I189">
        <v>0</v>
      </c>
      <c r="J189" s="34" t="e">
        <f>ROUNDUP((VLOOKUP(E189,'Base Matricule Siège'!$B$13:$AA$500,26,FALSE)),0)</f>
        <v>#N/A</v>
      </c>
      <c r="K189" s="34" t="e">
        <f t="shared" si="8"/>
        <v>#N/A</v>
      </c>
      <c r="L189" s="34" t="e">
        <f>VLOOKUP(E189,'Base Matricule Siège'!$B$13:$G$500,6,FALSE)</f>
        <v>#N/A</v>
      </c>
      <c r="M189" s="34" t="e">
        <f t="shared" si="9"/>
        <v>#N/A</v>
      </c>
    </row>
    <row r="190" spans="5:13" x14ac:dyDescent="0.25">
      <c r="E190">
        <v>0</v>
      </c>
      <c r="F190">
        <v>0</v>
      </c>
      <c r="G190" t="e">
        <v>#N/A</v>
      </c>
      <c r="H190" t="e">
        <v>#N/A</v>
      </c>
      <c r="I190">
        <v>0</v>
      </c>
      <c r="J190" s="34" t="e">
        <f>ROUNDUP((VLOOKUP(E190,'Base Matricule Siège'!$B$13:$AA$500,26,FALSE)),0)</f>
        <v>#N/A</v>
      </c>
      <c r="K190" s="34" t="e">
        <f t="shared" si="8"/>
        <v>#N/A</v>
      </c>
      <c r="L190" s="34" t="e">
        <f>VLOOKUP(E190,'Base Matricule Siège'!$B$13:$G$500,6,FALSE)</f>
        <v>#N/A</v>
      </c>
      <c r="M190" s="34" t="e">
        <f t="shared" si="9"/>
        <v>#N/A</v>
      </c>
    </row>
    <row r="191" spans="5:13" x14ac:dyDescent="0.25">
      <c r="E191">
        <v>0</v>
      </c>
      <c r="F191">
        <v>0</v>
      </c>
      <c r="G191" t="e">
        <v>#N/A</v>
      </c>
      <c r="H191" t="e">
        <v>#N/A</v>
      </c>
      <c r="I191">
        <v>0</v>
      </c>
      <c r="J191" s="34" t="e">
        <f>ROUNDUP((VLOOKUP(E191,'Base Matricule Siège'!$B$13:$AA$500,26,FALSE)),0)</f>
        <v>#N/A</v>
      </c>
      <c r="K191" s="34" t="e">
        <f t="shared" si="8"/>
        <v>#N/A</v>
      </c>
      <c r="L191" s="34" t="e">
        <f>VLOOKUP(E191,'Base Matricule Siège'!$B$13:$G$500,6,FALSE)</f>
        <v>#N/A</v>
      </c>
      <c r="M191" s="34" t="e">
        <f t="shared" si="9"/>
        <v>#N/A</v>
      </c>
    </row>
    <row r="192" spans="5:13" x14ac:dyDescent="0.25">
      <c r="E192">
        <v>0</v>
      </c>
      <c r="F192">
        <v>0</v>
      </c>
      <c r="G192" t="e">
        <v>#N/A</v>
      </c>
      <c r="H192" t="e">
        <v>#N/A</v>
      </c>
      <c r="I192">
        <v>0</v>
      </c>
      <c r="J192" s="34" t="e">
        <f>ROUNDUP((VLOOKUP(E192,'Base Matricule Siège'!$B$13:$AA$500,26,FALSE)),0)</f>
        <v>#N/A</v>
      </c>
      <c r="K192" s="34" t="e">
        <f t="shared" ref="K192:K205" si="10">TRUNC(J192,0)</f>
        <v>#N/A</v>
      </c>
      <c r="L192" s="34" t="e">
        <f>VLOOKUP(E192,'Base Matricule Siège'!$B$13:$G$500,6,FALSE)</f>
        <v>#N/A</v>
      </c>
      <c r="M192" s="34" t="e">
        <f t="shared" ref="M192:M205" si="11">IF(L192="Cadre",(K192-H192),(K192-G192))</f>
        <v>#N/A</v>
      </c>
    </row>
    <row r="193" spans="5:13" x14ac:dyDescent="0.25">
      <c r="E193">
        <v>0</v>
      </c>
      <c r="F193">
        <v>0</v>
      </c>
      <c r="G193" t="e">
        <v>#N/A</v>
      </c>
      <c r="H193" t="e">
        <v>#N/A</v>
      </c>
      <c r="I193">
        <v>0</v>
      </c>
      <c r="J193" s="34" t="e">
        <f>ROUNDUP((VLOOKUP(E193,'Base Matricule Siège'!$B$13:$AA$500,26,FALSE)),0)</f>
        <v>#N/A</v>
      </c>
      <c r="K193" s="34" t="e">
        <f t="shared" si="10"/>
        <v>#N/A</v>
      </c>
      <c r="L193" s="34" t="e">
        <f>VLOOKUP(E193,'Base Matricule Siège'!$B$13:$G$500,6,FALSE)</f>
        <v>#N/A</v>
      </c>
      <c r="M193" s="34" t="e">
        <f t="shared" si="11"/>
        <v>#N/A</v>
      </c>
    </row>
    <row r="194" spans="5:13" x14ac:dyDescent="0.25">
      <c r="E194">
        <v>0</v>
      </c>
      <c r="F194">
        <v>0</v>
      </c>
      <c r="G194" t="e">
        <v>#N/A</v>
      </c>
      <c r="H194" t="e">
        <v>#N/A</v>
      </c>
      <c r="I194">
        <v>0</v>
      </c>
      <c r="J194" s="34" t="e">
        <f>ROUNDUP((VLOOKUP(E194,'Base Matricule Siège'!$B$13:$AA$500,26,FALSE)),0)</f>
        <v>#N/A</v>
      </c>
      <c r="K194" s="34" t="e">
        <f t="shared" si="10"/>
        <v>#N/A</v>
      </c>
      <c r="L194" s="34" t="e">
        <f>VLOOKUP(E194,'Base Matricule Siège'!$B$13:$G$500,6,FALSE)</f>
        <v>#N/A</v>
      </c>
      <c r="M194" s="34" t="e">
        <f t="shared" si="11"/>
        <v>#N/A</v>
      </c>
    </row>
    <row r="195" spans="5:13" x14ac:dyDescent="0.25">
      <c r="E195">
        <v>0</v>
      </c>
      <c r="F195">
        <v>0</v>
      </c>
      <c r="G195" t="e">
        <v>#N/A</v>
      </c>
      <c r="H195" t="e">
        <v>#N/A</v>
      </c>
      <c r="I195">
        <v>0</v>
      </c>
      <c r="J195" s="34" t="e">
        <f>ROUNDUP((VLOOKUP(E195,'Base Matricule Siège'!$B$13:$AA$500,26,FALSE)),0)</f>
        <v>#N/A</v>
      </c>
      <c r="K195" s="34" t="e">
        <f t="shared" si="10"/>
        <v>#N/A</v>
      </c>
      <c r="L195" s="34" t="e">
        <f>VLOOKUP(E195,'Base Matricule Siège'!$B$13:$G$500,6,FALSE)</f>
        <v>#N/A</v>
      </c>
      <c r="M195" s="34" t="e">
        <f t="shared" si="11"/>
        <v>#N/A</v>
      </c>
    </row>
    <row r="196" spans="5:13" x14ac:dyDescent="0.25">
      <c r="E196">
        <v>0</v>
      </c>
      <c r="F196">
        <v>0</v>
      </c>
      <c r="G196" t="e">
        <v>#N/A</v>
      </c>
      <c r="H196" t="e">
        <v>#N/A</v>
      </c>
      <c r="I196">
        <v>0</v>
      </c>
      <c r="J196" s="34" t="e">
        <f>ROUNDUP((VLOOKUP(E196,'Base Matricule Siège'!$B$13:$AA$500,26,FALSE)),0)</f>
        <v>#N/A</v>
      </c>
      <c r="K196" s="34" t="e">
        <f t="shared" si="10"/>
        <v>#N/A</v>
      </c>
      <c r="L196" s="34" t="e">
        <f>VLOOKUP(E196,'Base Matricule Siège'!$B$13:$G$500,6,FALSE)</f>
        <v>#N/A</v>
      </c>
      <c r="M196" s="34" t="e">
        <f t="shared" si="11"/>
        <v>#N/A</v>
      </c>
    </row>
    <row r="197" spans="5:13" x14ac:dyDescent="0.25">
      <c r="E197">
        <v>0</v>
      </c>
      <c r="F197">
        <v>0</v>
      </c>
      <c r="G197" t="e">
        <v>#N/A</v>
      </c>
      <c r="H197" t="e">
        <v>#N/A</v>
      </c>
      <c r="I197">
        <v>0</v>
      </c>
      <c r="J197" s="34" t="e">
        <f>ROUNDUP((VLOOKUP(E197,'Base Matricule Siège'!$B$13:$AA$500,26,FALSE)),0)</f>
        <v>#N/A</v>
      </c>
      <c r="K197" s="34" t="e">
        <f t="shared" si="10"/>
        <v>#N/A</v>
      </c>
      <c r="L197" s="34" t="e">
        <f>VLOOKUP(E197,'Base Matricule Siège'!$B$13:$G$500,6,FALSE)</f>
        <v>#N/A</v>
      </c>
      <c r="M197" s="34" t="e">
        <f t="shared" si="11"/>
        <v>#N/A</v>
      </c>
    </row>
    <row r="198" spans="5:13" x14ac:dyDescent="0.25">
      <c r="E198">
        <v>0</v>
      </c>
      <c r="F198">
        <v>0</v>
      </c>
      <c r="G198" t="e">
        <v>#N/A</v>
      </c>
      <c r="H198" t="e">
        <v>#N/A</v>
      </c>
      <c r="I198">
        <v>0</v>
      </c>
      <c r="J198" s="34" t="e">
        <f>ROUNDUP((VLOOKUP(E198,'Base Matricule Siège'!$B$13:$AA$500,26,FALSE)),0)</f>
        <v>#N/A</v>
      </c>
      <c r="K198" s="34" t="e">
        <f t="shared" si="10"/>
        <v>#N/A</v>
      </c>
      <c r="L198" s="34" t="e">
        <f>VLOOKUP(E198,'Base Matricule Siège'!$B$13:$G$500,6,FALSE)</f>
        <v>#N/A</v>
      </c>
      <c r="M198" s="34" t="e">
        <f t="shared" si="11"/>
        <v>#N/A</v>
      </c>
    </row>
    <row r="199" spans="5:13" x14ac:dyDescent="0.25">
      <c r="E199">
        <v>0</v>
      </c>
      <c r="F199">
        <v>0</v>
      </c>
      <c r="G199" t="e">
        <v>#N/A</v>
      </c>
      <c r="H199" t="e">
        <v>#N/A</v>
      </c>
      <c r="I199">
        <v>0</v>
      </c>
      <c r="J199" s="34" t="e">
        <f>ROUNDUP((VLOOKUP(E199,'Base Matricule Siège'!$B$13:$AA$500,26,FALSE)),0)</f>
        <v>#N/A</v>
      </c>
      <c r="K199" s="34" t="e">
        <f t="shared" si="10"/>
        <v>#N/A</v>
      </c>
      <c r="L199" s="34" t="e">
        <f>VLOOKUP(E199,'Base Matricule Siège'!$B$13:$G$500,6,FALSE)</f>
        <v>#N/A</v>
      </c>
      <c r="M199" s="34" t="e">
        <f t="shared" si="11"/>
        <v>#N/A</v>
      </c>
    </row>
    <row r="200" spans="5:13" x14ac:dyDescent="0.25">
      <c r="E200">
        <v>0</v>
      </c>
      <c r="F200">
        <v>0</v>
      </c>
      <c r="G200" t="e">
        <v>#N/A</v>
      </c>
      <c r="H200" t="e">
        <v>#N/A</v>
      </c>
      <c r="I200">
        <v>0</v>
      </c>
      <c r="J200" s="34" t="e">
        <f>ROUNDUP((VLOOKUP(E200,'Base Matricule Siège'!$B$13:$AA$500,26,FALSE)),0)</f>
        <v>#N/A</v>
      </c>
      <c r="K200" s="34" t="e">
        <f t="shared" si="10"/>
        <v>#N/A</v>
      </c>
      <c r="L200" s="34" t="e">
        <f>VLOOKUP(E200,'Base Matricule Siège'!$B$13:$G$500,6,FALSE)</f>
        <v>#N/A</v>
      </c>
      <c r="M200" s="34" t="e">
        <f t="shared" si="11"/>
        <v>#N/A</v>
      </c>
    </row>
    <row r="201" spans="5:13" x14ac:dyDescent="0.25">
      <c r="E201">
        <v>0</v>
      </c>
      <c r="F201">
        <v>0</v>
      </c>
      <c r="G201" t="e">
        <v>#N/A</v>
      </c>
      <c r="H201" t="e">
        <v>#N/A</v>
      </c>
      <c r="I201">
        <v>0</v>
      </c>
      <c r="J201" s="34" t="e">
        <f>ROUNDUP((VLOOKUP(E201,'Base Matricule Siège'!$B$13:$AA$500,26,FALSE)),0)</f>
        <v>#N/A</v>
      </c>
      <c r="K201" s="34" t="e">
        <f t="shared" si="10"/>
        <v>#N/A</v>
      </c>
      <c r="L201" s="34" t="e">
        <f>VLOOKUP(E201,'Base Matricule Siège'!$B$13:$G$500,6,FALSE)</f>
        <v>#N/A</v>
      </c>
      <c r="M201" s="34" t="e">
        <f t="shared" si="11"/>
        <v>#N/A</v>
      </c>
    </row>
    <row r="202" spans="5:13" x14ac:dyDescent="0.25">
      <c r="E202">
        <v>0</v>
      </c>
      <c r="F202">
        <v>0</v>
      </c>
      <c r="G202" t="e">
        <v>#N/A</v>
      </c>
      <c r="H202" t="e">
        <v>#N/A</v>
      </c>
      <c r="I202">
        <v>0</v>
      </c>
      <c r="J202" s="34" t="e">
        <f>ROUNDUP((VLOOKUP(E202,'Base Matricule Siège'!$B$13:$AA$500,26,FALSE)),0)</f>
        <v>#N/A</v>
      </c>
      <c r="K202" s="34" t="e">
        <f t="shared" si="10"/>
        <v>#N/A</v>
      </c>
      <c r="L202" s="34" t="e">
        <f>VLOOKUP(E202,'Base Matricule Siège'!$B$13:$G$500,6,FALSE)</f>
        <v>#N/A</v>
      </c>
      <c r="M202" s="34" t="e">
        <f t="shared" si="11"/>
        <v>#N/A</v>
      </c>
    </row>
    <row r="203" spans="5:13" x14ac:dyDescent="0.25">
      <c r="E203">
        <v>0</v>
      </c>
      <c r="F203">
        <v>0</v>
      </c>
      <c r="G203" t="e">
        <v>#N/A</v>
      </c>
      <c r="H203" t="e">
        <v>#N/A</v>
      </c>
      <c r="I203">
        <v>0</v>
      </c>
      <c r="J203" s="34" t="e">
        <f>ROUNDUP((VLOOKUP(E203,'Base Matricule Siège'!$B$13:$AA$500,26,FALSE)),0)</f>
        <v>#N/A</v>
      </c>
      <c r="K203" s="34" t="e">
        <f t="shared" si="10"/>
        <v>#N/A</v>
      </c>
      <c r="L203" s="34" t="e">
        <f>VLOOKUP(E203,'Base Matricule Siège'!$B$13:$G$500,6,FALSE)</f>
        <v>#N/A</v>
      </c>
      <c r="M203" s="34" t="e">
        <f t="shared" si="11"/>
        <v>#N/A</v>
      </c>
    </row>
    <row r="204" spans="5:13" x14ac:dyDescent="0.25">
      <c r="E204">
        <v>0</v>
      </c>
      <c r="F204">
        <v>0</v>
      </c>
      <c r="G204" t="e">
        <v>#N/A</v>
      </c>
      <c r="H204" t="e">
        <v>#N/A</v>
      </c>
      <c r="I204">
        <v>0</v>
      </c>
      <c r="J204" s="34" t="e">
        <f>ROUNDUP((VLOOKUP(E204,'Base Matricule Siège'!$B$13:$AA$500,26,FALSE)),0)</f>
        <v>#N/A</v>
      </c>
      <c r="K204" s="34" t="e">
        <f t="shared" si="10"/>
        <v>#N/A</v>
      </c>
      <c r="L204" s="34" t="e">
        <f>VLOOKUP(E204,'Base Matricule Siège'!$B$13:$G$500,6,FALSE)</f>
        <v>#N/A</v>
      </c>
      <c r="M204" s="34" t="e">
        <f t="shared" si="11"/>
        <v>#N/A</v>
      </c>
    </row>
    <row r="205" spans="5:13" x14ac:dyDescent="0.25">
      <c r="E205">
        <v>0</v>
      </c>
      <c r="F205">
        <v>0</v>
      </c>
      <c r="G205" t="e">
        <v>#N/A</v>
      </c>
      <c r="H205" t="e">
        <v>#N/A</v>
      </c>
      <c r="I205">
        <v>0</v>
      </c>
      <c r="J205" s="34" t="e">
        <f>ROUNDUP((VLOOKUP(E205,'Base Matricule Siège'!$B$13:$AA$500,26,FALSE)),0)</f>
        <v>#N/A</v>
      </c>
      <c r="K205" s="34" t="e">
        <f t="shared" si="10"/>
        <v>#N/A</v>
      </c>
      <c r="L205" s="34" t="e">
        <f>VLOOKUP(E205,'Base Matricule Siège'!$B$13:$G$500,6,FALSE)</f>
        <v>#N/A</v>
      </c>
      <c r="M205" s="34" t="e">
        <f t="shared" si="11"/>
        <v>#N/A</v>
      </c>
    </row>
    <row r="206" spans="5:13" x14ac:dyDescent="0.25">
      <c r="E206">
        <v>0</v>
      </c>
      <c r="F206">
        <v>0</v>
      </c>
      <c r="G206" t="e">
        <v>#N/A</v>
      </c>
      <c r="H206" t="e">
        <v>#N/A</v>
      </c>
      <c r="I206">
        <v>0</v>
      </c>
      <c r="J206" s="34" t="e">
        <f>ROUNDUP((VLOOKUP(E206,'Base Matricule Siège'!$B$13:$AA$500,26,FALSE)),0)</f>
        <v>#N/A</v>
      </c>
      <c r="K206" s="34" t="e">
        <f t="shared" ref="K206:K212" si="12">TRUNC(J206,0)</f>
        <v>#N/A</v>
      </c>
      <c r="L206" s="34" t="e">
        <f>VLOOKUP(E206,'Base Matricule Siège'!$B$13:$G$500,6,FALSE)</f>
        <v>#N/A</v>
      </c>
      <c r="M206" s="34" t="e">
        <f t="shared" ref="M206:M212" si="13">IF(L206="Cadre",(K206-H206),(K206-G206))</f>
        <v>#N/A</v>
      </c>
    </row>
    <row r="207" spans="5:13" x14ac:dyDescent="0.25">
      <c r="E207">
        <v>0</v>
      </c>
      <c r="F207">
        <v>0</v>
      </c>
      <c r="G207" t="e">
        <v>#N/A</v>
      </c>
      <c r="H207" t="e">
        <v>#N/A</v>
      </c>
      <c r="I207">
        <v>0</v>
      </c>
      <c r="J207" s="34" t="e">
        <f>ROUNDUP((VLOOKUP(E207,'Base Matricule Siège'!$B$13:$AA$500,26,FALSE)),0)</f>
        <v>#N/A</v>
      </c>
      <c r="K207" s="34" t="e">
        <f t="shared" si="12"/>
        <v>#N/A</v>
      </c>
      <c r="L207" s="34" t="e">
        <f>VLOOKUP(E207,'Base Matricule Siège'!$B$13:$G$500,6,FALSE)</f>
        <v>#N/A</v>
      </c>
      <c r="M207" s="34" t="e">
        <f t="shared" si="13"/>
        <v>#N/A</v>
      </c>
    </row>
    <row r="208" spans="5:13" x14ac:dyDescent="0.25">
      <c r="E208">
        <v>0</v>
      </c>
      <c r="F208">
        <v>0</v>
      </c>
      <c r="G208" t="e">
        <v>#N/A</v>
      </c>
      <c r="H208" t="e">
        <v>#N/A</v>
      </c>
      <c r="I208">
        <v>0</v>
      </c>
      <c r="J208" s="34" t="e">
        <f>ROUNDUP((VLOOKUP(E208,'Base Matricule Siège'!$B$13:$AA$500,26,FALSE)),0)</f>
        <v>#N/A</v>
      </c>
      <c r="K208" s="34" t="e">
        <f t="shared" si="12"/>
        <v>#N/A</v>
      </c>
      <c r="L208" s="34" t="e">
        <f>VLOOKUP(E208,'Base Matricule Siège'!$B$13:$G$500,6,FALSE)</f>
        <v>#N/A</v>
      </c>
      <c r="M208" s="34" t="e">
        <f t="shared" si="13"/>
        <v>#N/A</v>
      </c>
    </row>
    <row r="209" spans="5:13" x14ac:dyDescent="0.25">
      <c r="E209">
        <v>0</v>
      </c>
      <c r="F209">
        <v>0</v>
      </c>
      <c r="G209" t="e">
        <v>#N/A</v>
      </c>
      <c r="H209" t="e">
        <v>#N/A</v>
      </c>
      <c r="I209">
        <v>0</v>
      </c>
      <c r="J209" s="34" t="e">
        <f>ROUNDUP((VLOOKUP(E209,'Base Matricule Siège'!$B$13:$AA$500,26,FALSE)),0)</f>
        <v>#N/A</v>
      </c>
      <c r="K209" s="34" t="e">
        <f t="shared" si="12"/>
        <v>#N/A</v>
      </c>
      <c r="L209" s="34" t="e">
        <f>VLOOKUP(E209,'Base Matricule Siège'!$B$13:$G$500,6,FALSE)</f>
        <v>#N/A</v>
      </c>
      <c r="M209" s="34" t="e">
        <f t="shared" si="13"/>
        <v>#N/A</v>
      </c>
    </row>
    <row r="210" spans="5:13" x14ac:dyDescent="0.25">
      <c r="E210">
        <v>0</v>
      </c>
      <c r="F210">
        <v>0</v>
      </c>
      <c r="G210" t="e">
        <v>#N/A</v>
      </c>
      <c r="H210" t="e">
        <v>#N/A</v>
      </c>
      <c r="I210">
        <v>0</v>
      </c>
      <c r="J210" s="34" t="e">
        <f>ROUNDUP((VLOOKUP(E210,'Base Matricule Siège'!$B$13:$AA$500,26,FALSE)),0)</f>
        <v>#N/A</v>
      </c>
      <c r="K210" s="34" t="e">
        <f t="shared" si="12"/>
        <v>#N/A</v>
      </c>
      <c r="L210" s="34" t="e">
        <f>VLOOKUP(E210,'Base Matricule Siège'!$B$13:$G$500,6,FALSE)</f>
        <v>#N/A</v>
      </c>
      <c r="M210" s="34" t="e">
        <f t="shared" si="13"/>
        <v>#N/A</v>
      </c>
    </row>
    <row r="211" spans="5:13" x14ac:dyDescent="0.25">
      <c r="E211">
        <v>0</v>
      </c>
      <c r="F211">
        <v>0</v>
      </c>
      <c r="G211" t="e">
        <v>#N/A</v>
      </c>
      <c r="H211" t="e">
        <v>#N/A</v>
      </c>
      <c r="I211">
        <v>0</v>
      </c>
      <c r="J211" s="34" t="e">
        <f>ROUNDUP((VLOOKUP(E211,'Base Matricule Siège'!$B$13:$AA$500,26,FALSE)),0)</f>
        <v>#N/A</v>
      </c>
      <c r="K211" s="34" t="e">
        <f t="shared" si="12"/>
        <v>#N/A</v>
      </c>
      <c r="L211" s="34" t="e">
        <f>VLOOKUP(E211,'Base Matricule Siège'!$B$13:$G$500,6,FALSE)</f>
        <v>#N/A</v>
      </c>
      <c r="M211" s="34" t="e">
        <f t="shared" si="13"/>
        <v>#N/A</v>
      </c>
    </row>
    <row r="212" spans="5:13" x14ac:dyDescent="0.25">
      <c r="E212">
        <v>0</v>
      </c>
      <c r="F212">
        <v>0</v>
      </c>
      <c r="G212" t="e">
        <v>#N/A</v>
      </c>
      <c r="H212" t="e">
        <v>#N/A</v>
      </c>
      <c r="I212">
        <v>0</v>
      </c>
      <c r="J212" s="34" t="e">
        <f>ROUNDUP((VLOOKUP(E212,'Base Matricule Siège'!$B$13:$AA$500,26,FALSE)),0)</f>
        <v>#N/A</v>
      </c>
      <c r="K212" s="34" t="e">
        <f t="shared" si="12"/>
        <v>#N/A</v>
      </c>
      <c r="L212" s="34" t="e">
        <f>VLOOKUP(E212,'Base Matricule Siège'!$B$13:$G$500,6,FALSE)</f>
        <v>#N/A</v>
      </c>
      <c r="M212" s="34" t="e">
        <f t="shared" si="13"/>
        <v>#N/A</v>
      </c>
    </row>
    <row r="213" spans="5:13" x14ac:dyDescent="0.25">
      <c r="E213">
        <v>0</v>
      </c>
      <c r="F213">
        <v>0</v>
      </c>
      <c r="G213" t="e">
        <v>#N/A</v>
      </c>
      <c r="H213" t="e">
        <v>#N/A</v>
      </c>
      <c r="I213">
        <v>0</v>
      </c>
    </row>
    <row r="214" spans="5:13" x14ac:dyDescent="0.25">
      <c r="E214">
        <v>0</v>
      </c>
      <c r="F214">
        <v>0</v>
      </c>
      <c r="G214" t="e">
        <v>#N/A</v>
      </c>
      <c r="H214" t="e">
        <v>#N/A</v>
      </c>
      <c r="I214">
        <v>0</v>
      </c>
    </row>
    <row r="215" spans="5:13" x14ac:dyDescent="0.25">
      <c r="E215">
        <v>0</v>
      </c>
      <c r="F215">
        <v>0</v>
      </c>
      <c r="G215" t="e">
        <v>#N/A</v>
      </c>
      <c r="H215" t="e">
        <v>#N/A</v>
      </c>
      <c r="I215">
        <v>0</v>
      </c>
    </row>
    <row r="216" spans="5:13" x14ac:dyDescent="0.25">
      <c r="E216">
        <v>0</v>
      </c>
      <c r="F216">
        <v>0</v>
      </c>
      <c r="G216" t="e">
        <v>#N/A</v>
      </c>
      <c r="H216" t="e">
        <v>#N/A</v>
      </c>
      <c r="I216">
        <v>0</v>
      </c>
    </row>
    <row r="217" spans="5:13" x14ac:dyDescent="0.25">
      <c r="E217">
        <v>0</v>
      </c>
      <c r="F217">
        <v>0</v>
      </c>
      <c r="G217" t="e">
        <v>#N/A</v>
      </c>
      <c r="H217" t="e">
        <v>#N/A</v>
      </c>
      <c r="I217">
        <v>0</v>
      </c>
    </row>
    <row r="218" spans="5:13" x14ac:dyDescent="0.25">
      <c r="E218">
        <v>0</v>
      </c>
      <c r="F218">
        <v>0</v>
      </c>
      <c r="G218" t="e">
        <v>#N/A</v>
      </c>
      <c r="H218" t="e">
        <v>#N/A</v>
      </c>
      <c r="I218">
        <v>0</v>
      </c>
    </row>
    <row r="219" spans="5:13" x14ac:dyDescent="0.25">
      <c r="E219">
        <v>0</v>
      </c>
      <c r="F219">
        <v>0</v>
      </c>
      <c r="G219" t="e">
        <v>#N/A</v>
      </c>
      <c r="H219" t="e">
        <v>#N/A</v>
      </c>
      <c r="I219">
        <v>0</v>
      </c>
    </row>
    <row r="220" spans="5:13" x14ac:dyDescent="0.25">
      <c r="E220">
        <v>0</v>
      </c>
      <c r="F220">
        <v>0</v>
      </c>
      <c r="G220" t="e">
        <v>#N/A</v>
      </c>
      <c r="H220" t="e">
        <v>#N/A</v>
      </c>
      <c r="I220">
        <v>0</v>
      </c>
    </row>
    <row r="221" spans="5:13" x14ac:dyDescent="0.25">
      <c r="E221">
        <v>0</v>
      </c>
      <c r="F221">
        <v>0</v>
      </c>
      <c r="G221" t="e">
        <v>#N/A</v>
      </c>
      <c r="H221" t="e">
        <v>#N/A</v>
      </c>
      <c r="I221">
        <v>0</v>
      </c>
    </row>
    <row r="222" spans="5:13" x14ac:dyDescent="0.25">
      <c r="E222">
        <v>0</v>
      </c>
      <c r="F222">
        <v>0</v>
      </c>
      <c r="G222" t="e">
        <v>#N/A</v>
      </c>
      <c r="H222" t="e">
        <v>#N/A</v>
      </c>
      <c r="I222">
        <v>0</v>
      </c>
    </row>
    <row r="223" spans="5:13" x14ac:dyDescent="0.25">
      <c r="E223">
        <v>0</v>
      </c>
      <c r="F223">
        <v>0</v>
      </c>
      <c r="G223" t="e">
        <v>#N/A</v>
      </c>
      <c r="H223" t="e">
        <v>#N/A</v>
      </c>
      <c r="I223">
        <v>0</v>
      </c>
    </row>
    <row r="224" spans="5:13" x14ac:dyDescent="0.25">
      <c r="E224">
        <v>0</v>
      </c>
      <c r="F224">
        <v>0</v>
      </c>
      <c r="G224" t="e">
        <v>#N/A</v>
      </c>
      <c r="H224" t="e">
        <v>#N/A</v>
      </c>
      <c r="I224">
        <v>0</v>
      </c>
    </row>
    <row r="225" spans="5:9" x14ac:dyDescent="0.25">
      <c r="E225">
        <v>0</v>
      </c>
      <c r="F225">
        <v>0</v>
      </c>
      <c r="G225" t="e">
        <v>#N/A</v>
      </c>
      <c r="H225" t="e">
        <v>#N/A</v>
      </c>
      <c r="I225">
        <v>0</v>
      </c>
    </row>
    <row r="226" spans="5:9" x14ac:dyDescent="0.25">
      <c r="E226">
        <v>0</v>
      </c>
      <c r="F226">
        <v>0</v>
      </c>
      <c r="G226" t="e">
        <v>#N/A</v>
      </c>
      <c r="H226" t="e">
        <v>#N/A</v>
      </c>
      <c r="I226">
        <v>0</v>
      </c>
    </row>
    <row r="227" spans="5:9" x14ac:dyDescent="0.25">
      <c r="E227">
        <v>0</v>
      </c>
      <c r="F227">
        <v>0</v>
      </c>
      <c r="G227" t="e">
        <v>#N/A</v>
      </c>
      <c r="H227" t="e">
        <v>#N/A</v>
      </c>
      <c r="I227">
        <v>0</v>
      </c>
    </row>
    <row r="228" spans="5:9" x14ac:dyDescent="0.25">
      <c r="E228">
        <v>0</v>
      </c>
      <c r="F228">
        <v>0</v>
      </c>
      <c r="G228" t="e">
        <v>#N/A</v>
      </c>
      <c r="H228" t="e">
        <v>#N/A</v>
      </c>
      <c r="I228">
        <v>0</v>
      </c>
    </row>
    <row r="229" spans="5:9" x14ac:dyDescent="0.25">
      <c r="E229">
        <v>0</v>
      </c>
      <c r="F229">
        <v>0</v>
      </c>
      <c r="G229" t="e">
        <v>#N/A</v>
      </c>
      <c r="H229" t="e">
        <v>#N/A</v>
      </c>
      <c r="I229">
        <v>0</v>
      </c>
    </row>
    <row r="230" spans="5:9" x14ac:dyDescent="0.25">
      <c r="E230">
        <v>0</v>
      </c>
      <c r="F230">
        <v>0</v>
      </c>
      <c r="G230" t="e">
        <v>#N/A</v>
      </c>
      <c r="H230" t="e">
        <v>#N/A</v>
      </c>
      <c r="I230">
        <v>0</v>
      </c>
    </row>
    <row r="231" spans="5:9" x14ac:dyDescent="0.25">
      <c r="E231">
        <v>0</v>
      </c>
      <c r="F231">
        <v>0</v>
      </c>
      <c r="G231" t="e">
        <v>#N/A</v>
      </c>
      <c r="H231" t="e">
        <v>#N/A</v>
      </c>
      <c r="I231">
        <v>0</v>
      </c>
    </row>
    <row r="232" spans="5:9" x14ac:dyDescent="0.25">
      <c r="E232">
        <v>0</v>
      </c>
      <c r="F232">
        <v>0</v>
      </c>
      <c r="G232" t="e">
        <v>#N/A</v>
      </c>
      <c r="H232" t="e">
        <v>#N/A</v>
      </c>
      <c r="I232">
        <v>0</v>
      </c>
    </row>
    <row r="233" spans="5:9" x14ac:dyDescent="0.25">
      <c r="E233">
        <v>0</v>
      </c>
      <c r="F233">
        <v>0</v>
      </c>
      <c r="G233" t="e">
        <v>#N/A</v>
      </c>
      <c r="H233" t="e">
        <v>#N/A</v>
      </c>
      <c r="I233">
        <v>0</v>
      </c>
    </row>
    <row r="234" spans="5:9" x14ac:dyDescent="0.25">
      <c r="E234">
        <v>0</v>
      </c>
      <c r="F234">
        <v>0</v>
      </c>
      <c r="G234" t="e">
        <v>#N/A</v>
      </c>
      <c r="H234" t="e">
        <v>#N/A</v>
      </c>
      <c r="I234">
        <v>0</v>
      </c>
    </row>
    <row r="235" spans="5:9" x14ac:dyDescent="0.25">
      <c r="E235">
        <v>0</v>
      </c>
      <c r="F235">
        <v>0</v>
      </c>
      <c r="G235" t="e">
        <v>#N/A</v>
      </c>
      <c r="H235" t="e">
        <v>#N/A</v>
      </c>
      <c r="I235">
        <v>0</v>
      </c>
    </row>
    <row r="236" spans="5:9" x14ac:dyDescent="0.25">
      <c r="E236">
        <v>0</v>
      </c>
      <c r="F236">
        <v>0</v>
      </c>
      <c r="G236" t="e">
        <v>#N/A</v>
      </c>
      <c r="H236" t="e">
        <v>#N/A</v>
      </c>
      <c r="I236">
        <v>0</v>
      </c>
    </row>
    <row r="237" spans="5:9" x14ac:dyDescent="0.25">
      <c r="E237">
        <v>0</v>
      </c>
      <c r="F237">
        <v>0</v>
      </c>
      <c r="G237" t="e">
        <v>#N/A</v>
      </c>
      <c r="H237" t="e">
        <v>#N/A</v>
      </c>
      <c r="I237">
        <v>0</v>
      </c>
    </row>
    <row r="238" spans="5:9" x14ac:dyDescent="0.25">
      <c r="E238">
        <v>0</v>
      </c>
      <c r="F238">
        <v>0</v>
      </c>
      <c r="G238" t="e">
        <v>#N/A</v>
      </c>
      <c r="H238" t="e">
        <v>#N/A</v>
      </c>
      <c r="I238">
        <v>0</v>
      </c>
    </row>
    <row r="239" spans="5:9" x14ac:dyDescent="0.25">
      <c r="E239">
        <v>0</v>
      </c>
      <c r="F239">
        <v>0</v>
      </c>
      <c r="G239" t="e">
        <v>#N/A</v>
      </c>
      <c r="H239" t="e">
        <v>#N/A</v>
      </c>
      <c r="I239">
        <v>0</v>
      </c>
    </row>
    <row r="240" spans="5:9" x14ac:dyDescent="0.25">
      <c r="E240">
        <v>0</v>
      </c>
      <c r="F240">
        <v>0</v>
      </c>
      <c r="G240" t="e">
        <v>#N/A</v>
      </c>
      <c r="H240" t="e">
        <v>#N/A</v>
      </c>
      <c r="I240">
        <v>0</v>
      </c>
    </row>
    <row r="241" spans="5:9" x14ac:dyDescent="0.25">
      <c r="E241">
        <v>0</v>
      </c>
      <c r="F241">
        <v>0</v>
      </c>
      <c r="G241" t="e">
        <v>#N/A</v>
      </c>
      <c r="H241" t="e">
        <v>#N/A</v>
      </c>
      <c r="I241">
        <v>0</v>
      </c>
    </row>
    <row r="242" spans="5:9" x14ac:dyDescent="0.25">
      <c r="E242">
        <v>0</v>
      </c>
      <c r="F242">
        <v>0</v>
      </c>
      <c r="G242" t="e">
        <v>#N/A</v>
      </c>
      <c r="H242" t="e">
        <v>#N/A</v>
      </c>
      <c r="I242">
        <v>0</v>
      </c>
    </row>
    <row r="243" spans="5:9" x14ac:dyDescent="0.25">
      <c r="E243">
        <v>0</v>
      </c>
      <c r="F243">
        <v>0</v>
      </c>
      <c r="G243" t="e">
        <v>#N/A</v>
      </c>
      <c r="H243" t="e">
        <v>#N/A</v>
      </c>
      <c r="I243">
        <v>0</v>
      </c>
    </row>
    <row r="244" spans="5:9" x14ac:dyDescent="0.25">
      <c r="E244">
        <v>0</v>
      </c>
      <c r="F244">
        <v>0</v>
      </c>
      <c r="G244" t="e">
        <v>#N/A</v>
      </c>
      <c r="H244" t="e">
        <v>#N/A</v>
      </c>
      <c r="I244">
        <v>0</v>
      </c>
    </row>
    <row r="245" spans="5:9" x14ac:dyDescent="0.25">
      <c r="E245">
        <v>0</v>
      </c>
      <c r="F245">
        <v>0</v>
      </c>
      <c r="G245" t="e">
        <v>#N/A</v>
      </c>
      <c r="H245" t="e">
        <v>#N/A</v>
      </c>
      <c r="I245">
        <v>0</v>
      </c>
    </row>
    <row r="246" spans="5:9" x14ac:dyDescent="0.25">
      <c r="E246">
        <v>0</v>
      </c>
      <c r="F246">
        <v>0</v>
      </c>
      <c r="G246" t="e">
        <v>#N/A</v>
      </c>
      <c r="H246" t="e">
        <v>#N/A</v>
      </c>
      <c r="I246">
        <v>0</v>
      </c>
    </row>
    <row r="247" spans="5:9" x14ac:dyDescent="0.25">
      <c r="E247">
        <v>0</v>
      </c>
      <c r="F247">
        <v>0</v>
      </c>
      <c r="G247" t="e">
        <v>#N/A</v>
      </c>
      <c r="H247" t="e">
        <v>#N/A</v>
      </c>
      <c r="I247">
        <v>0</v>
      </c>
    </row>
    <row r="248" spans="5:9" x14ac:dyDescent="0.25">
      <c r="E248">
        <v>0</v>
      </c>
      <c r="F248">
        <v>0</v>
      </c>
      <c r="G248" t="e">
        <v>#N/A</v>
      </c>
      <c r="H248" t="e">
        <v>#N/A</v>
      </c>
      <c r="I248">
        <v>0</v>
      </c>
    </row>
    <row r="249" spans="5:9" x14ac:dyDescent="0.25">
      <c r="E249">
        <v>0</v>
      </c>
      <c r="F249">
        <v>0</v>
      </c>
      <c r="G249" t="e">
        <v>#N/A</v>
      </c>
      <c r="H249" t="e">
        <v>#N/A</v>
      </c>
      <c r="I249">
        <v>0</v>
      </c>
    </row>
    <row r="250" spans="5:9" x14ac:dyDescent="0.25">
      <c r="E250">
        <v>0</v>
      </c>
      <c r="F250">
        <v>0</v>
      </c>
      <c r="G250" t="e">
        <v>#N/A</v>
      </c>
      <c r="H250" t="e">
        <v>#N/A</v>
      </c>
      <c r="I250">
        <v>0</v>
      </c>
    </row>
    <row r="251" spans="5:9" x14ac:dyDescent="0.25">
      <c r="E251">
        <v>0</v>
      </c>
      <c r="F251">
        <v>0</v>
      </c>
      <c r="G251" t="e">
        <v>#N/A</v>
      </c>
      <c r="H251" t="e">
        <v>#N/A</v>
      </c>
      <c r="I251">
        <v>0</v>
      </c>
    </row>
    <row r="252" spans="5:9" x14ac:dyDescent="0.25">
      <c r="E252">
        <v>0</v>
      </c>
      <c r="F252">
        <v>0</v>
      </c>
      <c r="G252" t="e">
        <v>#N/A</v>
      </c>
      <c r="H252" t="e">
        <v>#N/A</v>
      </c>
      <c r="I252">
        <v>0</v>
      </c>
    </row>
    <row r="253" spans="5:9" x14ac:dyDescent="0.25">
      <c r="E253">
        <v>0</v>
      </c>
      <c r="F253">
        <v>0</v>
      </c>
      <c r="G253" t="e">
        <v>#N/A</v>
      </c>
      <c r="H253" t="e">
        <v>#N/A</v>
      </c>
      <c r="I253">
        <v>0</v>
      </c>
    </row>
    <row r="254" spans="5:9" x14ac:dyDescent="0.25">
      <c r="E254">
        <v>0</v>
      </c>
      <c r="F254">
        <v>0</v>
      </c>
      <c r="G254" t="e">
        <v>#N/A</v>
      </c>
      <c r="H254" t="e">
        <v>#N/A</v>
      </c>
      <c r="I254">
        <v>0</v>
      </c>
    </row>
    <row r="255" spans="5:9" x14ac:dyDescent="0.25">
      <c r="E255">
        <v>0</v>
      </c>
      <c r="F255">
        <v>0</v>
      </c>
      <c r="G255" t="e">
        <v>#N/A</v>
      </c>
      <c r="H255" t="e">
        <v>#N/A</v>
      </c>
      <c r="I255">
        <v>0</v>
      </c>
    </row>
    <row r="256" spans="5:9" x14ac:dyDescent="0.25">
      <c r="E256">
        <v>0</v>
      </c>
      <c r="F256">
        <v>0</v>
      </c>
      <c r="G256" t="e">
        <v>#N/A</v>
      </c>
      <c r="H256" t="e">
        <v>#N/A</v>
      </c>
      <c r="I256">
        <v>0</v>
      </c>
    </row>
    <row r="257" spans="5:9" x14ac:dyDescent="0.25">
      <c r="E257">
        <v>0</v>
      </c>
      <c r="F257">
        <v>0</v>
      </c>
      <c r="G257" t="e">
        <v>#N/A</v>
      </c>
      <c r="H257" t="e">
        <v>#N/A</v>
      </c>
      <c r="I257">
        <v>0</v>
      </c>
    </row>
    <row r="258" spans="5:9" x14ac:dyDescent="0.25">
      <c r="E258">
        <v>0</v>
      </c>
      <c r="F258">
        <v>0</v>
      </c>
      <c r="G258" t="e">
        <v>#N/A</v>
      </c>
      <c r="H258" t="e">
        <v>#N/A</v>
      </c>
      <c r="I258">
        <v>0</v>
      </c>
    </row>
    <row r="259" spans="5:9" x14ac:dyDescent="0.25">
      <c r="E259">
        <v>0</v>
      </c>
      <c r="F259">
        <v>0</v>
      </c>
      <c r="G259" t="e">
        <v>#N/A</v>
      </c>
      <c r="H259" t="e">
        <v>#N/A</v>
      </c>
      <c r="I259">
        <v>0</v>
      </c>
    </row>
    <row r="260" spans="5:9" x14ac:dyDescent="0.25">
      <c r="E260">
        <v>0</v>
      </c>
      <c r="F260">
        <v>0</v>
      </c>
      <c r="G260" t="e">
        <v>#N/A</v>
      </c>
      <c r="H260" t="e">
        <v>#N/A</v>
      </c>
      <c r="I260">
        <v>0</v>
      </c>
    </row>
    <row r="261" spans="5:9" x14ac:dyDescent="0.25">
      <c r="E261">
        <v>0</v>
      </c>
      <c r="F261">
        <v>0</v>
      </c>
      <c r="G261" t="e">
        <v>#N/A</v>
      </c>
      <c r="H261" t="e">
        <v>#N/A</v>
      </c>
      <c r="I261">
        <v>0</v>
      </c>
    </row>
    <row r="262" spans="5:9" x14ac:dyDescent="0.25">
      <c r="E262">
        <v>0</v>
      </c>
      <c r="F262">
        <v>0</v>
      </c>
      <c r="G262" t="e">
        <v>#N/A</v>
      </c>
      <c r="H262" t="e">
        <v>#N/A</v>
      </c>
      <c r="I262">
        <v>0</v>
      </c>
    </row>
    <row r="263" spans="5:9" x14ac:dyDescent="0.25">
      <c r="E263">
        <v>0</v>
      </c>
      <c r="F263">
        <v>0</v>
      </c>
      <c r="G263" t="e">
        <v>#N/A</v>
      </c>
      <c r="H263" t="e">
        <v>#N/A</v>
      </c>
      <c r="I263">
        <v>0</v>
      </c>
    </row>
    <row r="264" spans="5:9" x14ac:dyDescent="0.25">
      <c r="E264">
        <v>0</v>
      </c>
      <c r="F264">
        <v>0</v>
      </c>
      <c r="G264" t="e">
        <v>#N/A</v>
      </c>
      <c r="H264" t="e">
        <v>#N/A</v>
      </c>
      <c r="I264">
        <v>0</v>
      </c>
    </row>
    <row r="265" spans="5:9" x14ac:dyDescent="0.25">
      <c r="E265">
        <v>0</v>
      </c>
      <c r="F265">
        <v>0</v>
      </c>
      <c r="G265" t="e">
        <v>#N/A</v>
      </c>
      <c r="H265" t="e">
        <v>#N/A</v>
      </c>
      <c r="I265">
        <v>0</v>
      </c>
    </row>
    <row r="266" spans="5:9" x14ac:dyDescent="0.25">
      <c r="E266">
        <v>0</v>
      </c>
      <c r="F266">
        <v>0</v>
      </c>
      <c r="G266" t="e">
        <v>#N/A</v>
      </c>
      <c r="H266" t="e">
        <v>#N/A</v>
      </c>
      <c r="I266">
        <v>0</v>
      </c>
    </row>
    <row r="267" spans="5:9" x14ac:dyDescent="0.25">
      <c r="E267">
        <v>0</v>
      </c>
      <c r="F267">
        <v>0</v>
      </c>
      <c r="G267" t="e">
        <v>#N/A</v>
      </c>
      <c r="H267" t="e">
        <v>#N/A</v>
      </c>
      <c r="I267">
        <v>0</v>
      </c>
    </row>
    <row r="268" spans="5:9" x14ac:dyDescent="0.25">
      <c r="E268">
        <v>0</v>
      </c>
      <c r="F268">
        <v>0</v>
      </c>
      <c r="G268" t="e">
        <v>#N/A</v>
      </c>
      <c r="H268" t="e">
        <v>#N/A</v>
      </c>
      <c r="I268">
        <v>0</v>
      </c>
    </row>
    <row r="269" spans="5:9" x14ac:dyDescent="0.25">
      <c r="E269">
        <v>0</v>
      </c>
      <c r="F269">
        <v>0</v>
      </c>
      <c r="G269" t="e">
        <v>#N/A</v>
      </c>
      <c r="H269" t="e">
        <v>#N/A</v>
      </c>
      <c r="I269">
        <v>0</v>
      </c>
    </row>
    <row r="270" spans="5:9" x14ac:dyDescent="0.25">
      <c r="E270">
        <v>0</v>
      </c>
      <c r="F270">
        <v>0</v>
      </c>
      <c r="G270" t="e">
        <v>#N/A</v>
      </c>
      <c r="H270" t="e">
        <v>#N/A</v>
      </c>
      <c r="I270">
        <v>0</v>
      </c>
    </row>
    <row r="271" spans="5:9" x14ac:dyDescent="0.25">
      <c r="E271">
        <v>0</v>
      </c>
      <c r="F271">
        <v>0</v>
      </c>
      <c r="G271" t="e">
        <v>#N/A</v>
      </c>
      <c r="H271" t="e">
        <v>#N/A</v>
      </c>
      <c r="I271">
        <v>0</v>
      </c>
    </row>
    <row r="272" spans="5:9" x14ac:dyDescent="0.25">
      <c r="E272">
        <v>0</v>
      </c>
      <c r="F272">
        <v>0</v>
      </c>
      <c r="G272" t="e">
        <v>#N/A</v>
      </c>
      <c r="H272" t="e">
        <v>#N/A</v>
      </c>
      <c r="I272">
        <v>0</v>
      </c>
    </row>
    <row r="273" spans="5:9" x14ac:dyDescent="0.25">
      <c r="E273">
        <v>0</v>
      </c>
      <c r="F273">
        <v>0</v>
      </c>
      <c r="G273" t="e">
        <v>#N/A</v>
      </c>
      <c r="H273" t="e">
        <v>#N/A</v>
      </c>
      <c r="I273">
        <v>0</v>
      </c>
    </row>
    <row r="274" spans="5:9" x14ac:dyDescent="0.25">
      <c r="E274">
        <v>0</v>
      </c>
      <c r="F274">
        <v>0</v>
      </c>
      <c r="G274" t="e">
        <v>#N/A</v>
      </c>
      <c r="H274" t="e">
        <v>#N/A</v>
      </c>
      <c r="I274">
        <v>0</v>
      </c>
    </row>
    <row r="275" spans="5:9" x14ac:dyDescent="0.25">
      <c r="E275">
        <v>0</v>
      </c>
      <c r="F275">
        <v>0</v>
      </c>
      <c r="G275" t="e">
        <v>#N/A</v>
      </c>
      <c r="H275" t="e">
        <v>#N/A</v>
      </c>
      <c r="I275">
        <v>0</v>
      </c>
    </row>
    <row r="276" spans="5:9" x14ac:dyDescent="0.25">
      <c r="E276">
        <v>0</v>
      </c>
      <c r="F276">
        <v>0</v>
      </c>
      <c r="G276" t="e">
        <v>#N/A</v>
      </c>
      <c r="H276" t="e">
        <v>#N/A</v>
      </c>
      <c r="I276">
        <v>0</v>
      </c>
    </row>
    <row r="277" spans="5:9" x14ac:dyDescent="0.25">
      <c r="E277">
        <v>0</v>
      </c>
      <c r="F277">
        <v>0</v>
      </c>
      <c r="G277" t="e">
        <v>#N/A</v>
      </c>
      <c r="H277" t="e">
        <v>#N/A</v>
      </c>
      <c r="I277">
        <v>0</v>
      </c>
    </row>
    <row r="278" spans="5:9" x14ac:dyDescent="0.25">
      <c r="E278">
        <v>0</v>
      </c>
      <c r="F278">
        <v>0</v>
      </c>
      <c r="G278" t="e">
        <v>#N/A</v>
      </c>
      <c r="H278" t="e">
        <v>#N/A</v>
      </c>
      <c r="I278">
        <v>0</v>
      </c>
    </row>
    <row r="279" spans="5:9" x14ac:dyDescent="0.25">
      <c r="E279">
        <v>0</v>
      </c>
      <c r="F279">
        <v>0</v>
      </c>
      <c r="G279" t="e">
        <v>#N/A</v>
      </c>
      <c r="H279" t="e">
        <v>#N/A</v>
      </c>
      <c r="I279">
        <v>0</v>
      </c>
    </row>
    <row r="280" spans="5:9" x14ac:dyDescent="0.25">
      <c r="E280">
        <v>0</v>
      </c>
      <c r="F280">
        <v>0</v>
      </c>
      <c r="G280" t="e">
        <v>#N/A</v>
      </c>
      <c r="H280" t="e">
        <v>#N/A</v>
      </c>
      <c r="I280">
        <v>0</v>
      </c>
    </row>
    <row r="281" spans="5:9" x14ac:dyDescent="0.25">
      <c r="E281">
        <v>0</v>
      </c>
      <c r="F281">
        <v>0</v>
      </c>
      <c r="G281" t="e">
        <v>#N/A</v>
      </c>
      <c r="H281" t="e">
        <v>#N/A</v>
      </c>
      <c r="I281">
        <v>0</v>
      </c>
    </row>
    <row r="282" spans="5:9" x14ac:dyDescent="0.25">
      <c r="E282">
        <v>0</v>
      </c>
      <c r="F282">
        <v>0</v>
      </c>
      <c r="G282" t="e">
        <v>#N/A</v>
      </c>
      <c r="H282" t="e">
        <v>#N/A</v>
      </c>
      <c r="I282">
        <v>0</v>
      </c>
    </row>
    <row r="283" spans="5:9" x14ac:dyDescent="0.25">
      <c r="E283">
        <v>0</v>
      </c>
      <c r="F283">
        <v>0</v>
      </c>
      <c r="G283" t="e">
        <v>#N/A</v>
      </c>
      <c r="H283" t="e">
        <v>#N/A</v>
      </c>
      <c r="I283">
        <v>0</v>
      </c>
    </row>
    <row r="284" spans="5:9" x14ac:dyDescent="0.25">
      <c r="E284">
        <v>0</v>
      </c>
      <c r="F284">
        <v>0</v>
      </c>
      <c r="G284" t="e">
        <v>#N/A</v>
      </c>
      <c r="H284" t="e">
        <v>#N/A</v>
      </c>
      <c r="I284">
        <v>0</v>
      </c>
    </row>
    <row r="285" spans="5:9" x14ac:dyDescent="0.25">
      <c r="E285">
        <v>0</v>
      </c>
      <c r="F285">
        <v>0</v>
      </c>
      <c r="G285" t="e">
        <v>#N/A</v>
      </c>
      <c r="H285" t="e">
        <v>#N/A</v>
      </c>
      <c r="I285">
        <v>0</v>
      </c>
    </row>
    <row r="286" spans="5:9" x14ac:dyDescent="0.25">
      <c r="E286">
        <v>0</v>
      </c>
      <c r="F286">
        <v>0</v>
      </c>
      <c r="G286" t="e">
        <v>#N/A</v>
      </c>
      <c r="H286" t="e">
        <v>#N/A</v>
      </c>
      <c r="I286">
        <v>0</v>
      </c>
    </row>
    <row r="287" spans="5:9" x14ac:dyDescent="0.25">
      <c r="E287">
        <v>0</v>
      </c>
      <c r="F287">
        <v>0</v>
      </c>
      <c r="G287" t="e">
        <v>#N/A</v>
      </c>
      <c r="H287" t="e">
        <v>#N/A</v>
      </c>
      <c r="I287">
        <v>0</v>
      </c>
    </row>
    <row r="288" spans="5:9" x14ac:dyDescent="0.25">
      <c r="E288">
        <v>0</v>
      </c>
      <c r="F288">
        <v>0</v>
      </c>
      <c r="G288">
        <v>0</v>
      </c>
      <c r="H288">
        <v>0</v>
      </c>
      <c r="I288">
        <v>0</v>
      </c>
    </row>
    <row r="289" spans="5:9" x14ac:dyDescent="0.25">
      <c r="E289">
        <v>0</v>
      </c>
      <c r="F289">
        <v>0</v>
      </c>
      <c r="G289">
        <v>0</v>
      </c>
      <c r="H289">
        <v>0</v>
      </c>
      <c r="I289">
        <v>0</v>
      </c>
    </row>
    <row r="290" spans="5:9" x14ac:dyDescent="0.25">
      <c r="E290">
        <v>0</v>
      </c>
      <c r="F290">
        <v>0</v>
      </c>
      <c r="G290">
        <v>0</v>
      </c>
      <c r="H290">
        <v>0</v>
      </c>
      <c r="I290">
        <v>0</v>
      </c>
    </row>
    <row r="291" spans="5:9" x14ac:dyDescent="0.25">
      <c r="E291">
        <v>0</v>
      </c>
      <c r="F291">
        <v>0</v>
      </c>
      <c r="G291">
        <v>0</v>
      </c>
      <c r="H291">
        <v>0</v>
      </c>
      <c r="I291">
        <v>0</v>
      </c>
    </row>
    <row r="292" spans="5:9" x14ac:dyDescent="0.25">
      <c r="E292">
        <v>0</v>
      </c>
      <c r="F292">
        <v>0</v>
      </c>
      <c r="G292">
        <v>0</v>
      </c>
      <c r="H292">
        <v>0</v>
      </c>
      <c r="I292">
        <v>0</v>
      </c>
    </row>
    <row r="293" spans="5:9" x14ac:dyDescent="0.25">
      <c r="E293">
        <v>0</v>
      </c>
      <c r="F293">
        <v>0</v>
      </c>
      <c r="G293">
        <v>0</v>
      </c>
      <c r="H293">
        <v>0</v>
      </c>
      <c r="I293">
        <v>0</v>
      </c>
    </row>
    <row r="294" spans="5:9" x14ac:dyDescent="0.25">
      <c r="E294">
        <v>0</v>
      </c>
      <c r="F294">
        <v>0</v>
      </c>
      <c r="G294">
        <v>0</v>
      </c>
      <c r="H294">
        <v>0</v>
      </c>
      <c r="I294">
        <v>0</v>
      </c>
    </row>
    <row r="295" spans="5:9" x14ac:dyDescent="0.25">
      <c r="E295">
        <v>0</v>
      </c>
      <c r="F295">
        <v>0</v>
      </c>
      <c r="G295">
        <v>0</v>
      </c>
      <c r="H295">
        <v>0</v>
      </c>
      <c r="I295">
        <v>0</v>
      </c>
    </row>
    <row r="296" spans="5:9" x14ac:dyDescent="0.25">
      <c r="E296">
        <v>0</v>
      </c>
      <c r="F296">
        <v>0</v>
      </c>
      <c r="G296">
        <v>0</v>
      </c>
      <c r="H296">
        <v>0</v>
      </c>
      <c r="I296">
        <v>0</v>
      </c>
    </row>
    <row r="297" spans="5:9" x14ac:dyDescent="0.25">
      <c r="E297">
        <v>0</v>
      </c>
      <c r="F297">
        <v>0</v>
      </c>
      <c r="G297">
        <v>0</v>
      </c>
      <c r="H297">
        <v>0</v>
      </c>
      <c r="I297">
        <v>0</v>
      </c>
    </row>
    <row r="298" spans="5:9" x14ac:dyDescent="0.25">
      <c r="E298">
        <v>0</v>
      </c>
      <c r="F298">
        <v>0</v>
      </c>
      <c r="G298">
        <v>0</v>
      </c>
      <c r="H298">
        <v>0</v>
      </c>
      <c r="I298">
        <v>0</v>
      </c>
    </row>
    <row r="299" spans="5:9" x14ac:dyDescent="0.25">
      <c r="E299">
        <v>0</v>
      </c>
      <c r="F299">
        <v>0</v>
      </c>
      <c r="G299">
        <v>0</v>
      </c>
      <c r="H299">
        <v>0</v>
      </c>
      <c r="I299">
        <v>0</v>
      </c>
    </row>
    <row r="300" spans="5:9" x14ac:dyDescent="0.25">
      <c r="E300">
        <v>0</v>
      </c>
      <c r="F300">
        <v>0</v>
      </c>
      <c r="G300">
        <v>0</v>
      </c>
      <c r="H300">
        <v>0</v>
      </c>
      <c r="I300">
        <v>0</v>
      </c>
    </row>
    <row r="301" spans="5:9" x14ac:dyDescent="0.25">
      <c r="E301">
        <v>0</v>
      </c>
      <c r="F301">
        <v>0</v>
      </c>
      <c r="G301">
        <v>0</v>
      </c>
      <c r="H301">
        <v>0</v>
      </c>
      <c r="I301">
        <v>0</v>
      </c>
    </row>
    <row r="302" spans="5:9" x14ac:dyDescent="0.25">
      <c r="E302">
        <v>0</v>
      </c>
      <c r="F302">
        <v>0</v>
      </c>
      <c r="G302">
        <v>0</v>
      </c>
      <c r="H302">
        <v>0</v>
      </c>
      <c r="I302">
        <v>0</v>
      </c>
    </row>
  </sheetData>
  <sheetProtection algorithmName="SHA-512" hashValue="emfcD1IcyXaEPv1j2T2TfF7Q+WS4czT0MjlQb/K5uWWqP1IpMZLcRHiYcoc5n1aQvrQBYNSgV0g2z4vcwj1GOw==" saltValue="nteF5UOdP1CmWOEvflDR0A==" spinCount="100000" sheet="1" selectLockedCells="1" selectUnlockedCells="1"/>
  <pageMargins left="0.7" right="0.7" top="0.75" bottom="0.75" header="0.3" footer="0.3"/>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B61812-6C7D-4BA2-8EF0-67FEEA231263}">
  <sheetPr>
    <tabColor rgb="FFFFC000"/>
    <pageSetUpPr fitToPage="1"/>
  </sheetPr>
  <dimension ref="A1:K34"/>
  <sheetViews>
    <sheetView workbookViewId="0">
      <selection activeCell="F7" sqref="F7"/>
    </sheetView>
  </sheetViews>
  <sheetFormatPr baseColWidth="10" defaultRowHeight="15" x14ac:dyDescent="0.25"/>
  <cols>
    <col min="5" max="5" width="17.85546875" bestFit="1" customWidth="1"/>
    <col min="6" max="6" width="18.85546875" bestFit="1" customWidth="1"/>
    <col min="7" max="7" width="24.85546875" bestFit="1" customWidth="1"/>
    <col min="8" max="8" width="26" customWidth="1"/>
    <col min="9" max="9" width="23.42578125" bestFit="1" customWidth="1"/>
    <col min="10" max="10" width="26.7109375" bestFit="1" customWidth="1"/>
    <col min="11" max="12" width="25" bestFit="1" customWidth="1"/>
  </cols>
  <sheetData>
    <row r="1" spans="1:11" ht="15" customHeight="1" x14ac:dyDescent="0.25">
      <c r="A1" s="218"/>
      <c r="B1" s="19"/>
      <c r="C1" s="19"/>
      <c r="D1" s="19"/>
      <c r="E1" s="19"/>
      <c r="F1" s="19"/>
      <c r="G1" s="19"/>
      <c r="H1" s="19"/>
      <c r="I1" s="19"/>
      <c r="J1" s="19"/>
      <c r="K1" s="20"/>
    </row>
    <row r="2" spans="1:11" x14ac:dyDescent="0.25">
      <c r="A2" s="24"/>
      <c r="E2" s="302" t="s">
        <v>546</v>
      </c>
      <c r="F2" s="298"/>
      <c r="G2" s="298"/>
      <c r="H2" s="298"/>
      <c r="I2" s="298"/>
      <c r="J2" s="298"/>
      <c r="K2" s="21"/>
    </row>
    <row r="3" spans="1:11" x14ac:dyDescent="0.25">
      <c r="A3" s="24"/>
      <c r="E3" s="298"/>
      <c r="F3" s="298"/>
      <c r="G3" s="298"/>
      <c r="H3" s="298"/>
      <c r="I3" s="298"/>
      <c r="J3" s="298"/>
      <c r="K3" s="21"/>
    </row>
    <row r="4" spans="1:11" x14ac:dyDescent="0.25">
      <c r="A4" s="24"/>
      <c r="E4" s="298"/>
      <c r="F4" s="298"/>
      <c r="G4" s="298"/>
      <c r="H4" s="298"/>
      <c r="I4" s="298"/>
      <c r="J4" s="298"/>
      <c r="K4" s="21"/>
    </row>
    <row r="5" spans="1:11" x14ac:dyDescent="0.25">
      <c r="A5" s="24"/>
      <c r="K5" s="21"/>
    </row>
    <row r="6" spans="1:11" x14ac:dyDescent="0.25">
      <c r="A6" s="24"/>
      <c r="H6" s="219" t="s">
        <v>522</v>
      </c>
      <c r="I6" s="220">
        <f>'Base Matricule Siège'!G3</f>
        <v>46173</v>
      </c>
      <c r="K6" s="21"/>
    </row>
    <row r="7" spans="1:11" x14ac:dyDescent="0.25">
      <c r="A7" s="24"/>
      <c r="B7" s="25" t="s">
        <v>18</v>
      </c>
      <c r="C7" s="118"/>
      <c r="E7" s="25" t="s">
        <v>519</v>
      </c>
      <c r="F7" s="221">
        <v>44561</v>
      </c>
      <c r="H7" s="219" t="s">
        <v>520</v>
      </c>
      <c r="I7" s="27" t="e">
        <f>IF(I12="Employé",'Base Matricule Siège'!C9,H12)</f>
        <v>#N/A</v>
      </c>
      <c r="K7" s="21"/>
    </row>
    <row r="8" spans="1:11" x14ac:dyDescent="0.25">
      <c r="A8" s="24"/>
      <c r="E8" s="219" t="s">
        <v>528</v>
      </c>
      <c r="F8" s="222">
        <v>0</v>
      </c>
      <c r="K8" s="21"/>
    </row>
    <row r="9" spans="1:11" x14ac:dyDescent="0.25">
      <c r="A9" s="24"/>
      <c r="K9" s="21"/>
    </row>
    <row r="10" spans="1:11" x14ac:dyDescent="0.25">
      <c r="A10" s="24"/>
      <c r="K10" s="21"/>
    </row>
    <row r="11" spans="1:11" ht="57.75" customHeight="1" x14ac:dyDescent="0.25">
      <c r="A11" s="24"/>
      <c r="E11" s="223" t="s">
        <v>20</v>
      </c>
      <c r="F11" s="223" t="s">
        <v>62</v>
      </c>
      <c r="G11" s="223" t="s">
        <v>71</v>
      </c>
      <c r="H11" s="223" t="s">
        <v>72</v>
      </c>
      <c r="I11" s="223" t="s">
        <v>61</v>
      </c>
      <c r="J11" s="223" t="s">
        <v>305</v>
      </c>
      <c r="K11" s="21"/>
    </row>
    <row r="12" spans="1:11" x14ac:dyDescent="0.25">
      <c r="A12" s="24"/>
      <c r="D12" s="10" t="s">
        <v>518</v>
      </c>
      <c r="E12" t="e">
        <f>VLOOKUP($C$7,'Base Matricule Siège'!$B:$G,2,FALSE)</f>
        <v>#N/A</v>
      </c>
      <c r="F12" s="200" t="e">
        <f>VLOOKUP($C$7,'Base Matricule Siège'!$B:$G,3,FALSE)</f>
        <v>#N/A</v>
      </c>
      <c r="G12" s="6" t="e">
        <f>VLOOKUP($C$7,'Base Matricule Siège'!$B:$G,4,FALSE)</f>
        <v>#N/A</v>
      </c>
      <c r="H12" s="6" t="e">
        <f>VLOOKUP($C$7,'Base Matricule Siège'!$B:$G,5,FALSE)</f>
        <v>#N/A</v>
      </c>
      <c r="I12" s="6" t="e">
        <f>VLOOKUP($C$7,'Base Matricule Siège'!$B:$G,6,FALSE)</f>
        <v>#N/A</v>
      </c>
      <c r="J12" s="6" t="e">
        <f>VLOOKUP($C$7,'Base Matricule Siège'!$B:$AA,26,FALSE)</f>
        <v>#N/A</v>
      </c>
      <c r="K12" s="21"/>
    </row>
    <row r="13" spans="1:11" x14ac:dyDescent="0.25">
      <c r="A13" s="24"/>
      <c r="K13" s="21"/>
    </row>
    <row r="14" spans="1:11" x14ac:dyDescent="0.25">
      <c r="A14" s="24"/>
      <c r="K14" s="21"/>
    </row>
    <row r="15" spans="1:11" x14ac:dyDescent="0.25">
      <c r="A15" s="24"/>
      <c r="D15" s="10" t="s">
        <v>529</v>
      </c>
      <c r="E15" s="207" t="s">
        <v>4</v>
      </c>
      <c r="F15" s="208"/>
      <c r="G15" s="208"/>
      <c r="H15" s="208"/>
      <c r="I15" s="208"/>
      <c r="J15" s="208"/>
      <c r="K15" s="224"/>
    </row>
    <row r="16" spans="1:11" x14ac:dyDescent="0.25">
      <c r="A16" s="24"/>
      <c r="E16" s="216" t="s">
        <v>57</v>
      </c>
      <c r="F16" s="6" t="s">
        <v>11</v>
      </c>
      <c r="G16" s="6" t="s">
        <v>12</v>
      </c>
      <c r="H16" s="6" t="s">
        <v>9</v>
      </c>
      <c r="I16" s="6" t="s">
        <v>8</v>
      </c>
      <c r="J16" s="6" t="s">
        <v>14</v>
      </c>
      <c r="K16" s="225" t="s">
        <v>15</v>
      </c>
    </row>
    <row r="17" spans="1:11" x14ac:dyDescent="0.25">
      <c r="A17" s="24"/>
      <c r="E17" s="63" t="e">
        <f>VLOOKUP($C$7,'Base Synthèse Horaires'!$B$58:$I$62,2,FALSE)</f>
        <v>#N/A</v>
      </c>
      <c r="F17" s="6" t="e">
        <f>VLOOKUP($C$7,'Base Synthèse Horaires'!$B$58:$I$62,3,FALSE)</f>
        <v>#N/A</v>
      </c>
      <c r="G17" s="6" t="e">
        <f>VLOOKUP($C$7,'Base Synthèse Horaires'!$B$58:$I$62,4,FALSE)</f>
        <v>#N/A</v>
      </c>
      <c r="H17" s="6" t="e">
        <f>VLOOKUP($C$7,'Base Synthèse Horaires'!$B$58:$I$62,5,FALSE)</f>
        <v>#N/A</v>
      </c>
      <c r="I17" s="6" t="e">
        <f>VLOOKUP($C$7,'Base Synthèse Horaires'!$B$58:$I$62,6,FALSE)</f>
        <v>#N/A</v>
      </c>
      <c r="J17" s="6" t="e">
        <f>VLOOKUP($C$7,'Base Synthèse Horaires'!$B$58:$I$62,7,FALSE)</f>
        <v>#N/A</v>
      </c>
      <c r="K17" s="225" t="e">
        <f>VLOOKUP($C$7,'Base Synthèse Horaires'!$B$58:$I$62,8,FALSE)</f>
        <v>#N/A</v>
      </c>
    </row>
    <row r="18" spans="1:11" x14ac:dyDescent="0.25">
      <c r="A18" s="24"/>
      <c r="E18" s="74"/>
      <c r="F18" s="72"/>
      <c r="G18" s="72"/>
      <c r="H18" s="72"/>
      <c r="I18" s="72"/>
      <c r="J18" s="72"/>
      <c r="K18" s="226"/>
    </row>
    <row r="19" spans="1:11" x14ac:dyDescent="0.25">
      <c r="A19" s="24"/>
      <c r="E19" s="207" t="s">
        <v>5</v>
      </c>
      <c r="F19" s="208"/>
      <c r="G19" s="208"/>
      <c r="H19" s="208"/>
      <c r="I19" s="208"/>
      <c r="J19" s="208"/>
      <c r="K19" s="224"/>
    </row>
    <row r="20" spans="1:11" x14ac:dyDescent="0.25">
      <c r="A20" s="24"/>
      <c r="E20" s="216" t="s">
        <v>57</v>
      </c>
      <c r="F20" s="6" t="s">
        <v>7</v>
      </c>
      <c r="G20" s="6" t="s">
        <v>13</v>
      </c>
      <c r="H20" s="6" t="s">
        <v>9</v>
      </c>
      <c r="I20" s="6" t="s">
        <v>8</v>
      </c>
      <c r="J20" s="6" t="s">
        <v>16</v>
      </c>
      <c r="K20" s="225" t="s">
        <v>17</v>
      </c>
    </row>
    <row r="21" spans="1:11" x14ac:dyDescent="0.25">
      <c r="A21" s="24"/>
      <c r="E21" s="74" t="e">
        <f>VLOOKUP($C$7,'Base Synthèse Horaires'!$B$65:$I$79,2,FALSE)</f>
        <v>#N/A</v>
      </c>
      <c r="F21" s="209" t="e">
        <f>VLOOKUP($C$7,'Base Synthèse Horaires'!$B$65:$I$79,3,FALSE)</f>
        <v>#N/A</v>
      </c>
      <c r="G21" s="209" t="e">
        <f>VLOOKUP($C$7,'Base Synthèse Horaires'!$B$65:$I$79,4,FALSE)</f>
        <v>#N/A</v>
      </c>
      <c r="H21" s="209" t="e">
        <f>VLOOKUP($C$7,'Base Synthèse Horaires'!$B$65:$I$79,5,FALSE)</f>
        <v>#N/A</v>
      </c>
      <c r="I21" s="209" t="e">
        <f>VLOOKUP($C$7,'Base Synthèse Horaires'!$B$65:$I$79,6,FALSE)</f>
        <v>#N/A</v>
      </c>
      <c r="J21" s="209" t="e">
        <f>VLOOKUP($C$7,'Base Synthèse Horaires'!$B$65:$I$79,7,FALSE)</f>
        <v>#N/A</v>
      </c>
      <c r="K21" s="227" t="e">
        <f>VLOOKUP($C$7,'Base Synthèse Horaires'!$B$65:$I$79,8,FALSE)</f>
        <v>#N/A</v>
      </c>
    </row>
    <row r="22" spans="1:11" ht="15.75" thickBot="1" x14ac:dyDescent="0.3">
      <c r="A22" s="24"/>
      <c r="E22" s="232"/>
      <c r="K22" s="21"/>
    </row>
    <row r="23" spans="1:11" x14ac:dyDescent="0.25">
      <c r="A23" s="24"/>
      <c r="E23" s="210" t="s">
        <v>57</v>
      </c>
      <c r="F23" s="211" t="e">
        <f>IF($I$12="Employé",F20,F16)</f>
        <v>#N/A</v>
      </c>
      <c r="G23" s="211" t="e">
        <f t="shared" ref="G23:K23" si="0">IF($I$12="Employé",G20,G16)</f>
        <v>#N/A</v>
      </c>
      <c r="H23" s="211" t="e">
        <f t="shared" si="0"/>
        <v>#N/A</v>
      </c>
      <c r="I23" s="211" t="e">
        <f t="shared" si="0"/>
        <v>#N/A</v>
      </c>
      <c r="J23" s="211" t="e">
        <f t="shared" si="0"/>
        <v>#N/A</v>
      </c>
      <c r="K23" s="212" t="e">
        <f t="shared" si="0"/>
        <v>#N/A</v>
      </c>
    </row>
    <row r="24" spans="1:11" ht="15.75" thickBot="1" x14ac:dyDescent="0.3">
      <c r="A24" s="24"/>
      <c r="E24" s="213" t="e">
        <f>IFERROR(E17,E21)</f>
        <v>#N/A</v>
      </c>
      <c r="F24" s="214" t="e">
        <f>IFERROR(F17,F21)+F8</f>
        <v>#N/A</v>
      </c>
      <c r="G24" s="214" t="e">
        <f>IFERROR(G17,G21)</f>
        <v>#N/A</v>
      </c>
      <c r="H24" s="214" t="e">
        <f>IFERROR((H17/2),H21)</f>
        <v>#N/A</v>
      </c>
      <c r="I24" s="214" t="e">
        <f>IFERROR(I17,I21)</f>
        <v>#N/A</v>
      </c>
      <c r="J24" s="214" t="e">
        <f>IFERROR(J17,J21)</f>
        <v>#N/A</v>
      </c>
      <c r="K24" s="215" t="e">
        <f>IFERROR(K17,K21)</f>
        <v>#N/A</v>
      </c>
    </row>
    <row r="25" spans="1:11" x14ac:dyDescent="0.25">
      <c r="A25" s="24"/>
      <c r="K25" s="21"/>
    </row>
    <row r="26" spans="1:11" x14ac:dyDescent="0.25">
      <c r="A26" s="24"/>
      <c r="K26" s="21"/>
    </row>
    <row r="27" spans="1:11" x14ac:dyDescent="0.25">
      <c r="A27" s="24"/>
      <c r="D27" s="6" t="s">
        <v>530</v>
      </c>
      <c r="E27" s="10" t="s">
        <v>521</v>
      </c>
      <c r="F27" s="6" t="e">
        <f>IF(F12&lt;I6,(NETWORKDAYS(I6,F7)),((NETWORKDAYS(F12,F7,))))</f>
        <v>#N/A</v>
      </c>
      <c r="G27" s="10" t="s">
        <v>537</v>
      </c>
      <c r="H27" t="e">
        <f>H24*(G12/6)</f>
        <v>#N/A</v>
      </c>
      <c r="K27" s="21"/>
    </row>
    <row r="28" spans="1:11" x14ac:dyDescent="0.25">
      <c r="A28" s="24"/>
      <c r="E28" s="10" t="s">
        <v>523</v>
      </c>
      <c r="F28" s="204" t="e">
        <f>IF(I12="Employé",((F27/I7)*J12),(((F27/7*5)/I7)*J12))</f>
        <v>#N/A</v>
      </c>
      <c r="K28" s="21"/>
    </row>
    <row r="29" spans="1:11" x14ac:dyDescent="0.25">
      <c r="A29" s="24"/>
      <c r="K29" s="21"/>
    </row>
    <row r="30" spans="1:11" x14ac:dyDescent="0.25">
      <c r="A30" s="24"/>
      <c r="E30" s="10" t="s">
        <v>524</v>
      </c>
      <c r="F30" s="204" t="e">
        <f>J12-G24</f>
        <v>#N/A</v>
      </c>
      <c r="K30" s="21"/>
    </row>
    <row r="31" spans="1:11" x14ac:dyDescent="0.25">
      <c r="A31" s="24"/>
      <c r="E31" s="10" t="s">
        <v>525</v>
      </c>
      <c r="F31" s="6" t="e">
        <f>F24</f>
        <v>#N/A</v>
      </c>
      <c r="K31" s="21"/>
    </row>
    <row r="32" spans="1:11" x14ac:dyDescent="0.25">
      <c r="A32" s="24"/>
      <c r="E32" s="10" t="s">
        <v>526</v>
      </c>
      <c r="F32" s="204" t="e">
        <f>F30+F31</f>
        <v>#N/A</v>
      </c>
      <c r="K32" s="21"/>
    </row>
    <row r="33" spans="1:11" ht="15.75" thickBot="1" x14ac:dyDescent="0.3">
      <c r="A33" s="233" t="s">
        <v>538</v>
      </c>
      <c r="K33" s="21"/>
    </row>
    <row r="34" spans="1:11" ht="15.75" thickBot="1" x14ac:dyDescent="0.3">
      <c r="A34" s="230" t="s">
        <v>531</v>
      </c>
      <c r="B34" s="231">
        <f ca="1">TODAY()</f>
        <v>46181</v>
      </c>
      <c r="C34" s="231" t="str">
        <f>'Synthèse Horaires'!N1</f>
        <v>v1.080</v>
      </c>
      <c r="D34" s="22"/>
      <c r="E34" s="228" t="s">
        <v>527</v>
      </c>
      <c r="F34" s="217" t="e">
        <f>F28-F32-(IF(I12="employé",((I24-H24)/6*G12),I24-H24))</f>
        <v>#N/A</v>
      </c>
      <c r="G34" s="229" t="e">
        <f>IF(F34&lt;0,"Heures à payer au salarié","Heures dues par le salarié")</f>
        <v>#N/A</v>
      </c>
      <c r="H34" s="22"/>
      <c r="I34" s="22"/>
      <c r="J34" s="22"/>
      <c r="K34" s="23"/>
    </row>
  </sheetData>
  <sheetProtection algorithmName="SHA-512" hashValue="BFs4fQ+AiD1YR8TLsylJbZ/SVpPNmLHA0asP6F+2L0wcwo9KedYYMirzNguAtgc9PRvHCbSOb2H3Yn4kd6Lq3A==" saltValue="SYfmXpxUayj1DqH+NlQdpA==" spinCount="100000" sheet="1" selectLockedCells="1"/>
  <mergeCells count="1">
    <mergeCell ref="E2:J4"/>
  </mergeCells>
  <pageMargins left="0.7" right="0.7" top="0.75" bottom="0.75" header="0.3" footer="0.3"/>
  <pageSetup paperSize="9" scale="62" orientation="landscape" r:id="rId1"/>
  <drawing r:id="rId2"/>
  <legacyDrawing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A0F344-A6BC-4D8B-8CE6-7769AC02C11A}">
  <sheetPr>
    <tabColor rgb="FFFFC000"/>
  </sheetPr>
  <dimension ref="A1:R34"/>
  <sheetViews>
    <sheetView workbookViewId="0">
      <selection activeCell="A21" sqref="A21"/>
    </sheetView>
  </sheetViews>
  <sheetFormatPr baseColWidth="10" defaultRowHeight="15" x14ac:dyDescent="0.25"/>
  <cols>
    <col min="3" max="3" width="25.85546875" bestFit="1" customWidth="1"/>
  </cols>
  <sheetData>
    <row r="1" spans="1:18" x14ac:dyDescent="0.25">
      <c r="A1" s="207">
        <f>'Synthèse Horaires'!D4</f>
        <v>0</v>
      </c>
      <c r="B1" s="208">
        <f>'Synthèse Horaires'!I4</f>
        <v>0</v>
      </c>
      <c r="C1" s="208" t="s">
        <v>605</v>
      </c>
      <c r="D1" s="234" t="str">
        <f>'Synthèse Horaires'!A11</f>
        <v/>
      </c>
      <c r="E1" s="234" t="str">
        <f>'Synthèse Horaires'!B11</f>
        <v/>
      </c>
      <c r="F1" s="234" t="str">
        <f>'Synthèse Horaires'!C11</f>
        <v/>
      </c>
      <c r="G1" s="234" t="str">
        <f>'Synthèse Horaires'!D11</f>
        <v/>
      </c>
      <c r="H1" s="234" t="str">
        <f>'Synthèse Horaires'!E11</f>
        <v/>
      </c>
      <c r="I1" s="234" t="str">
        <f>'Synthèse Horaires'!F11</f>
        <v/>
      </c>
      <c r="J1" s="234" t="str">
        <f>'Synthèse Horaires'!G11</f>
        <v/>
      </c>
      <c r="K1" s="234" t="str">
        <f>'Synthèse Horaires'!H11</f>
        <v/>
      </c>
      <c r="L1" s="234" t="str">
        <f>'Synthèse Horaires'!I11</f>
        <v/>
      </c>
      <c r="M1" s="234" t="str">
        <f>'Synthèse Horaires'!K11</f>
        <v/>
      </c>
      <c r="N1" s="234" t="str">
        <f>'Synthèse Horaires'!L11</f>
        <v/>
      </c>
      <c r="O1" s="234" t="str">
        <f>'Synthèse Horaires'!M11</f>
        <v/>
      </c>
      <c r="P1" s="235" t="str">
        <f>'Synthèse Horaires'!N11</f>
        <v/>
      </c>
      <c r="Q1" s="206"/>
      <c r="R1" s="206"/>
    </row>
    <row r="2" spans="1:18" x14ac:dyDescent="0.25">
      <c r="A2" s="63">
        <f>A1</f>
        <v>0</v>
      </c>
      <c r="B2">
        <f>B1</f>
        <v>0</v>
      </c>
      <c r="C2" t="s">
        <v>605</v>
      </c>
      <c r="D2" s="206" t="str">
        <f>'Synthèse Horaires'!A12</f>
        <v/>
      </c>
      <c r="E2" s="206" t="str">
        <f>'Synthèse Horaires'!B12</f>
        <v/>
      </c>
      <c r="F2" s="206" t="str">
        <f>'Synthèse Horaires'!C12</f>
        <v/>
      </c>
      <c r="G2" s="206" t="str">
        <f>'Synthèse Horaires'!D12</f>
        <v/>
      </c>
      <c r="H2" s="206" t="str">
        <f>'Synthèse Horaires'!E12</f>
        <v/>
      </c>
      <c r="I2" s="206" t="str">
        <f>'Synthèse Horaires'!F12</f>
        <v/>
      </c>
      <c r="J2" s="206" t="str">
        <f>'Synthèse Horaires'!G12</f>
        <v/>
      </c>
      <c r="K2" s="206" t="str">
        <f>'Synthèse Horaires'!H12</f>
        <v/>
      </c>
      <c r="L2" s="206" t="str">
        <f>'Synthèse Horaires'!I12</f>
        <v/>
      </c>
      <c r="M2" s="206" t="str">
        <f>'Synthèse Horaires'!K12</f>
        <v/>
      </c>
      <c r="N2" s="206" t="str">
        <f>'Synthèse Horaires'!L12</f>
        <v/>
      </c>
      <c r="O2" s="206" t="str">
        <f>'Synthèse Horaires'!M12</f>
        <v/>
      </c>
      <c r="P2" s="236" t="str">
        <f>'Synthèse Horaires'!N12</f>
        <v/>
      </c>
    </row>
    <row r="3" spans="1:18" x14ac:dyDescent="0.25">
      <c r="A3" s="63">
        <f t="shared" ref="A3:A20" si="0">A2</f>
        <v>0</v>
      </c>
      <c r="B3">
        <f t="shared" ref="B3:B20" si="1">B2</f>
        <v>0</v>
      </c>
      <c r="C3" t="s">
        <v>605</v>
      </c>
      <c r="D3" s="206" t="str">
        <f>'Synthèse Horaires'!A13</f>
        <v/>
      </c>
      <c r="E3" s="206" t="str">
        <f>'Synthèse Horaires'!B13</f>
        <v/>
      </c>
      <c r="F3" s="206" t="str">
        <f>'Synthèse Horaires'!C13</f>
        <v/>
      </c>
      <c r="G3" s="206" t="str">
        <f>'Synthèse Horaires'!D13</f>
        <v/>
      </c>
      <c r="H3" s="206" t="str">
        <f>'Synthèse Horaires'!E13</f>
        <v/>
      </c>
      <c r="I3" s="206" t="str">
        <f>'Synthèse Horaires'!F13</f>
        <v/>
      </c>
      <c r="J3" s="206" t="str">
        <f>'Synthèse Horaires'!G13</f>
        <v/>
      </c>
      <c r="K3" s="206" t="str">
        <f>'Synthèse Horaires'!H13</f>
        <v/>
      </c>
      <c r="L3" s="206" t="str">
        <f>'Synthèse Horaires'!I13</f>
        <v/>
      </c>
      <c r="M3" s="206" t="str">
        <f>'Synthèse Horaires'!K13</f>
        <v/>
      </c>
      <c r="N3" s="206" t="str">
        <f>'Synthèse Horaires'!L13</f>
        <v/>
      </c>
      <c r="O3" s="206" t="str">
        <f>'Synthèse Horaires'!M13</f>
        <v/>
      </c>
      <c r="P3" s="236" t="str">
        <f>'Synthèse Horaires'!N13</f>
        <v/>
      </c>
    </row>
    <row r="4" spans="1:18" x14ac:dyDescent="0.25">
      <c r="A4" s="63">
        <f t="shared" si="0"/>
        <v>0</v>
      </c>
      <c r="B4">
        <f t="shared" si="1"/>
        <v>0</v>
      </c>
      <c r="C4" t="s">
        <v>605</v>
      </c>
      <c r="D4" s="206" t="str">
        <f>'Synthèse Horaires'!A14</f>
        <v/>
      </c>
      <c r="E4" s="206" t="str">
        <f>'Synthèse Horaires'!B14</f>
        <v/>
      </c>
      <c r="F4" s="206" t="str">
        <f>'Synthèse Horaires'!C14</f>
        <v/>
      </c>
      <c r="G4" s="206" t="str">
        <f>'Synthèse Horaires'!D14</f>
        <v/>
      </c>
      <c r="H4" s="206" t="str">
        <f>'Synthèse Horaires'!E14</f>
        <v/>
      </c>
      <c r="I4" s="206" t="str">
        <f>'Synthèse Horaires'!F14</f>
        <v/>
      </c>
      <c r="J4" s="206" t="str">
        <f>'Synthèse Horaires'!G14</f>
        <v/>
      </c>
      <c r="K4" s="206" t="str">
        <f>'Synthèse Horaires'!H14</f>
        <v/>
      </c>
      <c r="L4" s="206" t="str">
        <f>'Synthèse Horaires'!I14</f>
        <v/>
      </c>
      <c r="M4" s="206" t="str">
        <f>'Synthèse Horaires'!K14</f>
        <v/>
      </c>
      <c r="N4" s="206" t="str">
        <f>'Synthèse Horaires'!L14</f>
        <v/>
      </c>
      <c r="O4" s="206" t="str">
        <f>'Synthèse Horaires'!M14</f>
        <v/>
      </c>
      <c r="P4" s="236" t="str">
        <f>'Synthèse Horaires'!N14</f>
        <v/>
      </c>
    </row>
    <row r="5" spans="1:18" x14ac:dyDescent="0.25">
      <c r="A5" s="63">
        <f t="shared" si="0"/>
        <v>0</v>
      </c>
      <c r="B5">
        <f t="shared" si="1"/>
        <v>0</v>
      </c>
      <c r="C5" t="s">
        <v>605</v>
      </c>
      <c r="D5" s="206" t="str">
        <f>'Synthèse Horaires'!A15</f>
        <v/>
      </c>
      <c r="E5" s="206" t="str">
        <f>'Synthèse Horaires'!B15</f>
        <v/>
      </c>
      <c r="F5" s="206" t="str">
        <f>'Synthèse Horaires'!C15</f>
        <v/>
      </c>
      <c r="G5" s="206" t="str">
        <f>'Synthèse Horaires'!D15</f>
        <v/>
      </c>
      <c r="H5" s="206" t="str">
        <f>'Synthèse Horaires'!E15</f>
        <v/>
      </c>
      <c r="I5" s="206" t="str">
        <f>'Synthèse Horaires'!F15</f>
        <v/>
      </c>
      <c r="J5" s="206" t="str">
        <f>'Synthèse Horaires'!G15</f>
        <v/>
      </c>
      <c r="K5" s="206" t="str">
        <f>'Synthèse Horaires'!H15</f>
        <v/>
      </c>
      <c r="L5" s="206" t="str">
        <f>'Synthèse Horaires'!I15</f>
        <v/>
      </c>
      <c r="M5" s="206" t="str">
        <f>'Synthèse Horaires'!K15</f>
        <v/>
      </c>
      <c r="N5" s="206" t="str">
        <f>'Synthèse Horaires'!L15</f>
        <v/>
      </c>
      <c r="O5" s="206" t="str">
        <f>'Synthèse Horaires'!M15</f>
        <v/>
      </c>
      <c r="P5" s="236" t="str">
        <f>'Synthèse Horaires'!N15</f>
        <v/>
      </c>
    </row>
    <row r="6" spans="1:18" x14ac:dyDescent="0.25">
      <c r="A6" s="63">
        <f t="shared" si="0"/>
        <v>0</v>
      </c>
      <c r="B6">
        <f t="shared" si="1"/>
        <v>0</v>
      </c>
      <c r="C6" t="s">
        <v>273</v>
      </c>
      <c r="D6" s="206" t="str">
        <f>'Synthèse Horaires'!A18</f>
        <v/>
      </c>
      <c r="E6" s="206" t="str">
        <f>'Synthèse Horaires'!B18</f>
        <v/>
      </c>
      <c r="F6" s="206" t="str">
        <f>'Synthèse Horaires'!C18</f>
        <v/>
      </c>
      <c r="G6" s="206" t="str">
        <f>'Synthèse Horaires'!D18</f>
        <v/>
      </c>
      <c r="H6" s="206" t="str">
        <f>'Synthèse Horaires'!E18</f>
        <v/>
      </c>
      <c r="I6" s="206" t="str">
        <f>'Synthèse Horaires'!F18</f>
        <v/>
      </c>
      <c r="J6" s="206" t="str">
        <f>'Synthèse Horaires'!G18</f>
        <v/>
      </c>
      <c r="K6" s="206" t="str">
        <f>'Synthèse Horaires'!H18</f>
        <v/>
      </c>
      <c r="L6" s="206" t="str">
        <f>'Synthèse Horaires'!I18</f>
        <v/>
      </c>
      <c r="M6" s="206" t="str">
        <f>'Synthèse Horaires'!K18</f>
        <v/>
      </c>
      <c r="N6" s="206" t="str">
        <f>'Synthèse Horaires'!L18</f>
        <v/>
      </c>
      <c r="O6" s="206" t="str">
        <f>'Synthèse Horaires'!M18</f>
        <v/>
      </c>
      <c r="P6" s="236" t="str">
        <f>'Synthèse Horaires'!N18</f>
        <v/>
      </c>
    </row>
    <row r="7" spans="1:18" x14ac:dyDescent="0.25">
      <c r="A7" s="63">
        <f t="shared" si="0"/>
        <v>0</v>
      </c>
      <c r="B7">
        <f t="shared" si="1"/>
        <v>0</v>
      </c>
      <c r="C7" t="s">
        <v>273</v>
      </c>
      <c r="D7" s="206" t="str">
        <f>'Synthèse Horaires'!A19</f>
        <v/>
      </c>
      <c r="E7" s="206" t="str">
        <f>'Synthèse Horaires'!B19</f>
        <v/>
      </c>
      <c r="F7" s="206" t="str">
        <f>'Synthèse Horaires'!C19</f>
        <v/>
      </c>
      <c r="G7" s="206" t="str">
        <f>'Synthèse Horaires'!D19</f>
        <v/>
      </c>
      <c r="H7" s="206" t="str">
        <f>'Synthèse Horaires'!E19</f>
        <v/>
      </c>
      <c r="I7" s="206" t="str">
        <f>'Synthèse Horaires'!F19</f>
        <v/>
      </c>
      <c r="J7" s="206" t="str">
        <f>'Synthèse Horaires'!G19</f>
        <v/>
      </c>
      <c r="K7" s="206" t="str">
        <f>'Synthèse Horaires'!H19</f>
        <v/>
      </c>
      <c r="L7" s="206" t="str">
        <f>'Synthèse Horaires'!I19</f>
        <v/>
      </c>
      <c r="M7" s="206" t="str">
        <f>'Synthèse Horaires'!K19</f>
        <v/>
      </c>
      <c r="N7" s="206" t="str">
        <f>'Synthèse Horaires'!L19</f>
        <v/>
      </c>
      <c r="O7" s="206" t="str">
        <f>'Synthèse Horaires'!M19</f>
        <v/>
      </c>
      <c r="P7" s="236" t="str">
        <f>'Synthèse Horaires'!N19</f>
        <v/>
      </c>
    </row>
    <row r="8" spans="1:18" x14ac:dyDescent="0.25">
      <c r="A8" s="63">
        <f t="shared" si="0"/>
        <v>0</v>
      </c>
      <c r="B8">
        <f t="shared" si="1"/>
        <v>0</v>
      </c>
      <c r="C8" t="s">
        <v>273</v>
      </c>
      <c r="D8" s="206" t="str">
        <f>'Synthèse Horaires'!A20</f>
        <v/>
      </c>
      <c r="E8" s="206" t="str">
        <f>'Synthèse Horaires'!B20</f>
        <v/>
      </c>
      <c r="F8" s="206" t="str">
        <f>'Synthèse Horaires'!C20</f>
        <v/>
      </c>
      <c r="G8" s="206" t="str">
        <f>'Synthèse Horaires'!D20</f>
        <v/>
      </c>
      <c r="H8" s="206" t="str">
        <f>'Synthèse Horaires'!E20</f>
        <v/>
      </c>
      <c r="I8" s="206" t="str">
        <f>'Synthèse Horaires'!F20</f>
        <v/>
      </c>
      <c r="J8" s="206" t="str">
        <f>'Synthèse Horaires'!G20</f>
        <v/>
      </c>
      <c r="K8" s="206" t="str">
        <f>'Synthèse Horaires'!H20</f>
        <v/>
      </c>
      <c r="L8" s="206" t="str">
        <f>'Synthèse Horaires'!I20</f>
        <v/>
      </c>
      <c r="M8" s="206" t="str">
        <f>'Synthèse Horaires'!K20</f>
        <v/>
      </c>
      <c r="N8" s="206" t="str">
        <f>'Synthèse Horaires'!L20</f>
        <v/>
      </c>
      <c r="O8" s="206" t="str">
        <f>'Synthèse Horaires'!M20</f>
        <v/>
      </c>
      <c r="P8" s="236" t="str">
        <f>'Synthèse Horaires'!N20</f>
        <v/>
      </c>
    </row>
    <row r="9" spans="1:18" x14ac:dyDescent="0.25">
      <c r="A9" s="63">
        <f t="shared" si="0"/>
        <v>0</v>
      </c>
      <c r="B9">
        <f t="shared" si="1"/>
        <v>0</v>
      </c>
      <c r="C9" t="s">
        <v>273</v>
      </c>
      <c r="D9" s="206" t="str">
        <f>'Synthèse Horaires'!A21</f>
        <v/>
      </c>
      <c r="E9" s="206" t="str">
        <f>'Synthèse Horaires'!B21</f>
        <v/>
      </c>
      <c r="F9" s="206" t="str">
        <f>'Synthèse Horaires'!C21</f>
        <v/>
      </c>
      <c r="G9" s="206" t="str">
        <f>'Synthèse Horaires'!D21</f>
        <v/>
      </c>
      <c r="H9" s="206" t="str">
        <f>'Synthèse Horaires'!E21</f>
        <v/>
      </c>
      <c r="I9" s="206" t="str">
        <f>'Synthèse Horaires'!F21</f>
        <v/>
      </c>
      <c r="J9" s="206" t="str">
        <f>'Synthèse Horaires'!G21</f>
        <v/>
      </c>
      <c r="K9" s="206" t="str">
        <f>'Synthèse Horaires'!H21</f>
        <v/>
      </c>
      <c r="L9" s="206" t="str">
        <f>'Synthèse Horaires'!I21</f>
        <v/>
      </c>
      <c r="M9" s="206" t="str">
        <f>'Synthèse Horaires'!K21</f>
        <v/>
      </c>
      <c r="N9" s="206" t="str">
        <f>'Synthèse Horaires'!L21</f>
        <v/>
      </c>
      <c r="O9" s="206" t="str">
        <f>'Synthèse Horaires'!M21</f>
        <v/>
      </c>
      <c r="P9" s="236" t="str">
        <f>'Synthèse Horaires'!N21</f>
        <v/>
      </c>
    </row>
    <row r="10" spans="1:18" x14ac:dyDescent="0.25">
      <c r="A10" s="63">
        <f t="shared" si="0"/>
        <v>0</v>
      </c>
      <c r="B10">
        <f t="shared" si="1"/>
        <v>0</v>
      </c>
      <c r="C10" t="s">
        <v>273</v>
      </c>
      <c r="D10" s="206" t="str">
        <f>'Synthèse Horaires'!A22</f>
        <v/>
      </c>
      <c r="E10" s="206" t="str">
        <f>'Synthèse Horaires'!B22</f>
        <v/>
      </c>
      <c r="F10" s="206" t="str">
        <f>'Synthèse Horaires'!C22</f>
        <v/>
      </c>
      <c r="G10" s="206" t="str">
        <f>'Synthèse Horaires'!D22</f>
        <v/>
      </c>
      <c r="H10" s="206" t="str">
        <f>'Synthèse Horaires'!E22</f>
        <v/>
      </c>
      <c r="I10" s="206" t="str">
        <f>'Synthèse Horaires'!F22</f>
        <v/>
      </c>
      <c r="J10" s="206" t="str">
        <f>'Synthèse Horaires'!G22</f>
        <v/>
      </c>
      <c r="K10" s="206" t="str">
        <f>'Synthèse Horaires'!H22</f>
        <v/>
      </c>
      <c r="L10" s="206" t="str">
        <f>'Synthèse Horaires'!I22</f>
        <v/>
      </c>
      <c r="M10" s="206" t="str">
        <f>'Synthèse Horaires'!K22</f>
        <v/>
      </c>
      <c r="N10" s="206" t="str">
        <f>'Synthèse Horaires'!L22</f>
        <v/>
      </c>
      <c r="O10" s="206" t="str">
        <f>'Synthèse Horaires'!M22</f>
        <v/>
      </c>
      <c r="P10" s="236" t="str">
        <f>'Synthèse Horaires'!N22</f>
        <v/>
      </c>
    </row>
    <row r="11" spans="1:18" x14ac:dyDescent="0.25">
      <c r="A11" s="63">
        <f t="shared" si="0"/>
        <v>0</v>
      </c>
      <c r="B11">
        <f t="shared" si="1"/>
        <v>0</v>
      </c>
      <c r="C11" t="s">
        <v>273</v>
      </c>
      <c r="D11" s="206" t="str">
        <f>'Synthèse Horaires'!A23</f>
        <v/>
      </c>
      <c r="E11" s="206" t="str">
        <f>'Synthèse Horaires'!B23</f>
        <v/>
      </c>
      <c r="F11" s="206" t="str">
        <f>'Synthèse Horaires'!C23</f>
        <v/>
      </c>
      <c r="G11" s="206" t="str">
        <f>'Synthèse Horaires'!D23</f>
        <v/>
      </c>
      <c r="H11" s="206" t="str">
        <f>'Synthèse Horaires'!E23</f>
        <v/>
      </c>
      <c r="I11" s="206" t="str">
        <f>'Synthèse Horaires'!F23</f>
        <v/>
      </c>
      <c r="J11" s="206" t="str">
        <f>'Synthèse Horaires'!G23</f>
        <v/>
      </c>
      <c r="K11" s="206" t="str">
        <f>'Synthèse Horaires'!H23</f>
        <v/>
      </c>
      <c r="L11" s="206" t="str">
        <f>'Synthèse Horaires'!I23</f>
        <v/>
      </c>
      <c r="M11" s="206" t="str">
        <f>'Synthèse Horaires'!K23</f>
        <v/>
      </c>
      <c r="N11" s="206" t="str">
        <f>'Synthèse Horaires'!L23</f>
        <v/>
      </c>
      <c r="O11" s="206" t="str">
        <f>'Synthèse Horaires'!M23</f>
        <v/>
      </c>
      <c r="P11" s="236" t="str">
        <f>'Synthèse Horaires'!N23</f>
        <v/>
      </c>
    </row>
    <row r="12" spans="1:18" x14ac:dyDescent="0.25">
      <c r="A12" s="63">
        <f t="shared" si="0"/>
        <v>0</v>
      </c>
      <c r="B12">
        <f t="shared" si="1"/>
        <v>0</v>
      </c>
      <c r="C12" t="s">
        <v>273</v>
      </c>
      <c r="D12" s="206" t="str">
        <f>'Synthèse Horaires'!A24</f>
        <v/>
      </c>
      <c r="E12" s="206" t="str">
        <f>'Synthèse Horaires'!B24</f>
        <v/>
      </c>
      <c r="F12" s="206" t="str">
        <f>'Synthèse Horaires'!C24</f>
        <v/>
      </c>
      <c r="G12" s="206" t="str">
        <f>'Synthèse Horaires'!D24</f>
        <v/>
      </c>
      <c r="H12" s="206" t="str">
        <f>'Synthèse Horaires'!E24</f>
        <v/>
      </c>
      <c r="I12" s="206" t="str">
        <f>'Synthèse Horaires'!F24</f>
        <v/>
      </c>
      <c r="J12" s="206" t="str">
        <f>'Synthèse Horaires'!G24</f>
        <v/>
      </c>
      <c r="K12" s="206" t="str">
        <f>'Synthèse Horaires'!H24</f>
        <v/>
      </c>
      <c r="L12" s="206" t="str">
        <f>'Synthèse Horaires'!I24</f>
        <v/>
      </c>
      <c r="M12" s="206" t="str">
        <f>'Synthèse Horaires'!K24</f>
        <v/>
      </c>
      <c r="N12" s="206" t="str">
        <f>'Synthèse Horaires'!L24</f>
        <v/>
      </c>
      <c r="O12" s="206" t="str">
        <f>'Synthèse Horaires'!M24</f>
        <v/>
      </c>
      <c r="P12" s="236" t="str">
        <f>'Synthèse Horaires'!N24</f>
        <v/>
      </c>
    </row>
    <row r="13" spans="1:18" x14ac:dyDescent="0.25">
      <c r="A13" s="63">
        <f t="shared" si="0"/>
        <v>0</v>
      </c>
      <c r="B13">
        <f t="shared" si="1"/>
        <v>0</v>
      </c>
      <c r="C13" t="s">
        <v>273</v>
      </c>
      <c r="D13" s="206" t="str">
        <f>'Synthèse Horaires'!A25</f>
        <v/>
      </c>
      <c r="E13" s="206" t="str">
        <f>'Synthèse Horaires'!B25</f>
        <v/>
      </c>
      <c r="F13" s="206" t="str">
        <f>'Synthèse Horaires'!C25</f>
        <v/>
      </c>
      <c r="G13" s="206" t="str">
        <f>'Synthèse Horaires'!D25</f>
        <v/>
      </c>
      <c r="H13" s="206" t="str">
        <f>'Synthèse Horaires'!E25</f>
        <v/>
      </c>
      <c r="I13" s="206" t="str">
        <f>'Synthèse Horaires'!F25</f>
        <v/>
      </c>
      <c r="J13" s="206" t="str">
        <f>'Synthèse Horaires'!G25</f>
        <v/>
      </c>
      <c r="K13" s="206" t="str">
        <f>'Synthèse Horaires'!H25</f>
        <v/>
      </c>
      <c r="L13" s="206" t="str">
        <f>'Synthèse Horaires'!I25</f>
        <v/>
      </c>
      <c r="M13" s="206" t="str">
        <f>'Synthèse Horaires'!K25</f>
        <v/>
      </c>
      <c r="N13" s="206" t="str">
        <f>'Synthèse Horaires'!L25</f>
        <v/>
      </c>
      <c r="O13" s="206" t="str">
        <f>'Synthèse Horaires'!M25</f>
        <v/>
      </c>
      <c r="P13" s="236" t="str">
        <f>'Synthèse Horaires'!N25</f>
        <v/>
      </c>
    </row>
    <row r="14" spans="1:18" x14ac:dyDescent="0.25">
      <c r="A14" s="63">
        <f t="shared" si="0"/>
        <v>0</v>
      </c>
      <c r="B14">
        <f t="shared" si="1"/>
        <v>0</v>
      </c>
      <c r="C14" t="s">
        <v>273</v>
      </c>
      <c r="D14" s="206" t="str">
        <f>'Synthèse Horaires'!A26</f>
        <v/>
      </c>
      <c r="E14" s="206" t="str">
        <f>'Synthèse Horaires'!B26</f>
        <v/>
      </c>
      <c r="F14" s="206" t="str">
        <f>'Synthèse Horaires'!C26</f>
        <v/>
      </c>
      <c r="G14" s="206" t="str">
        <f>'Synthèse Horaires'!D26</f>
        <v/>
      </c>
      <c r="H14" s="206" t="str">
        <f>'Synthèse Horaires'!E26</f>
        <v/>
      </c>
      <c r="I14" s="206" t="str">
        <f>'Synthèse Horaires'!F26</f>
        <v/>
      </c>
      <c r="J14" s="206" t="str">
        <f>'Synthèse Horaires'!G26</f>
        <v/>
      </c>
      <c r="K14" s="206" t="str">
        <f>'Synthèse Horaires'!H26</f>
        <v/>
      </c>
      <c r="L14" s="206" t="str">
        <f>'Synthèse Horaires'!I26</f>
        <v/>
      </c>
      <c r="M14" s="206" t="str">
        <f>'Synthèse Horaires'!K26</f>
        <v/>
      </c>
      <c r="N14" s="206" t="str">
        <f>'Synthèse Horaires'!L26</f>
        <v/>
      </c>
      <c r="O14" s="206" t="str">
        <f>'Synthèse Horaires'!M26</f>
        <v/>
      </c>
      <c r="P14" s="236" t="str">
        <f>'Synthèse Horaires'!N26</f>
        <v/>
      </c>
    </row>
    <row r="15" spans="1:18" x14ac:dyDescent="0.25">
      <c r="A15" s="63">
        <f t="shared" si="0"/>
        <v>0</v>
      </c>
      <c r="B15">
        <f t="shared" si="1"/>
        <v>0</v>
      </c>
      <c r="C15" t="s">
        <v>273</v>
      </c>
      <c r="D15" s="206" t="str">
        <f>'Synthèse Horaires'!A27</f>
        <v/>
      </c>
      <c r="E15" s="206" t="str">
        <f>'Synthèse Horaires'!B27</f>
        <v/>
      </c>
      <c r="F15" s="206" t="str">
        <f>'Synthèse Horaires'!C27</f>
        <v/>
      </c>
      <c r="G15" s="206" t="str">
        <f>'Synthèse Horaires'!D27</f>
        <v/>
      </c>
      <c r="H15" s="206" t="str">
        <f>'Synthèse Horaires'!E27</f>
        <v/>
      </c>
      <c r="I15" s="206" t="str">
        <f>'Synthèse Horaires'!F27</f>
        <v/>
      </c>
      <c r="J15" s="206" t="str">
        <f>'Synthèse Horaires'!G27</f>
        <v/>
      </c>
      <c r="K15" s="206" t="str">
        <f>'Synthèse Horaires'!H27</f>
        <v/>
      </c>
      <c r="L15" s="206" t="str">
        <f>'Synthèse Horaires'!I27</f>
        <v/>
      </c>
      <c r="M15" s="206" t="str">
        <f>'Synthèse Horaires'!K27</f>
        <v/>
      </c>
      <c r="N15" s="206" t="str">
        <f>'Synthèse Horaires'!L27</f>
        <v/>
      </c>
      <c r="O15" s="206" t="str">
        <f>'Synthèse Horaires'!M27</f>
        <v/>
      </c>
      <c r="P15" s="236" t="str">
        <f>'Synthèse Horaires'!N27</f>
        <v/>
      </c>
    </row>
    <row r="16" spans="1:18" x14ac:dyDescent="0.25">
      <c r="A16" s="63">
        <f t="shared" si="0"/>
        <v>0</v>
      </c>
      <c r="B16">
        <f t="shared" si="1"/>
        <v>0</v>
      </c>
      <c r="C16" t="s">
        <v>273</v>
      </c>
      <c r="D16" s="206" t="str">
        <f>'Synthèse Horaires'!A28</f>
        <v/>
      </c>
      <c r="E16" s="206" t="str">
        <f>'Synthèse Horaires'!B28</f>
        <v/>
      </c>
      <c r="F16" s="206" t="str">
        <f>'Synthèse Horaires'!C28</f>
        <v/>
      </c>
      <c r="G16" s="206" t="str">
        <f>'Synthèse Horaires'!D28</f>
        <v/>
      </c>
      <c r="H16" s="206" t="str">
        <f>'Synthèse Horaires'!E28</f>
        <v/>
      </c>
      <c r="I16" s="206" t="str">
        <f>'Synthèse Horaires'!F28</f>
        <v/>
      </c>
      <c r="J16" s="206" t="str">
        <f>'Synthèse Horaires'!G28</f>
        <v/>
      </c>
      <c r="K16" s="206" t="str">
        <f>'Synthèse Horaires'!H28</f>
        <v/>
      </c>
      <c r="L16" s="206" t="str">
        <f>'Synthèse Horaires'!I28</f>
        <v/>
      </c>
      <c r="M16" s="206" t="str">
        <f>'Synthèse Horaires'!K28</f>
        <v/>
      </c>
      <c r="N16" s="206" t="str">
        <f>'Synthèse Horaires'!L28</f>
        <v/>
      </c>
      <c r="O16" s="206" t="str">
        <f>'Synthèse Horaires'!M28</f>
        <v/>
      </c>
      <c r="P16" s="236" t="str">
        <f>'Synthèse Horaires'!N28</f>
        <v/>
      </c>
    </row>
    <row r="17" spans="1:16" x14ac:dyDescent="0.25">
      <c r="A17" s="63">
        <f t="shared" si="0"/>
        <v>0</v>
      </c>
      <c r="B17">
        <f t="shared" si="1"/>
        <v>0</v>
      </c>
      <c r="C17" t="s">
        <v>273</v>
      </c>
      <c r="D17" s="206" t="str">
        <f>'Synthèse Horaires'!A29</f>
        <v/>
      </c>
      <c r="E17" s="206" t="str">
        <f>'Synthèse Horaires'!B29</f>
        <v/>
      </c>
      <c r="F17" s="206" t="str">
        <f>'Synthèse Horaires'!C29</f>
        <v/>
      </c>
      <c r="G17" s="206" t="str">
        <f>'Synthèse Horaires'!D29</f>
        <v/>
      </c>
      <c r="H17" s="206" t="str">
        <f>'Synthèse Horaires'!E29</f>
        <v/>
      </c>
      <c r="I17" s="206" t="str">
        <f>'Synthèse Horaires'!F29</f>
        <v/>
      </c>
      <c r="J17" s="206" t="str">
        <f>'Synthèse Horaires'!G29</f>
        <v/>
      </c>
      <c r="K17" s="206" t="str">
        <f>'Synthèse Horaires'!H29</f>
        <v/>
      </c>
      <c r="L17" s="206" t="str">
        <f>'Synthèse Horaires'!I29</f>
        <v/>
      </c>
      <c r="M17" s="206" t="str">
        <f>'Synthèse Horaires'!K29</f>
        <v/>
      </c>
      <c r="N17" s="206" t="str">
        <f>'Synthèse Horaires'!L29</f>
        <v/>
      </c>
      <c r="O17" s="206" t="str">
        <f>'Synthèse Horaires'!M29</f>
        <v/>
      </c>
      <c r="P17" s="236" t="str">
        <f>'Synthèse Horaires'!N29</f>
        <v/>
      </c>
    </row>
    <row r="18" spans="1:16" x14ac:dyDescent="0.25">
      <c r="A18" s="63">
        <f t="shared" si="0"/>
        <v>0</v>
      </c>
      <c r="B18">
        <f t="shared" si="1"/>
        <v>0</v>
      </c>
      <c r="C18" t="s">
        <v>273</v>
      </c>
      <c r="D18" s="206" t="str">
        <f>'Synthèse Horaires'!A30</f>
        <v/>
      </c>
      <c r="E18" s="206" t="str">
        <f>'Synthèse Horaires'!B30</f>
        <v/>
      </c>
      <c r="F18" s="206" t="str">
        <f>'Synthèse Horaires'!C30</f>
        <v/>
      </c>
      <c r="G18" s="206" t="str">
        <f>'Synthèse Horaires'!D30</f>
        <v/>
      </c>
      <c r="H18" s="206" t="str">
        <f>'Synthèse Horaires'!E30</f>
        <v/>
      </c>
      <c r="I18" s="206" t="str">
        <f>'Synthèse Horaires'!F30</f>
        <v/>
      </c>
      <c r="J18" s="206" t="str">
        <f>'Synthèse Horaires'!G30</f>
        <v/>
      </c>
      <c r="K18" s="206" t="str">
        <f>'Synthèse Horaires'!H30</f>
        <v/>
      </c>
      <c r="L18" s="206" t="str">
        <f>'Synthèse Horaires'!I30</f>
        <v/>
      </c>
      <c r="M18" s="206" t="str">
        <f>'Synthèse Horaires'!K30</f>
        <v/>
      </c>
      <c r="N18" s="206" t="str">
        <f>'Synthèse Horaires'!L30</f>
        <v/>
      </c>
      <c r="O18" s="206" t="str">
        <f>'Synthèse Horaires'!M30</f>
        <v/>
      </c>
      <c r="P18" s="236" t="str">
        <f>'Synthèse Horaires'!N30</f>
        <v/>
      </c>
    </row>
    <row r="19" spans="1:16" x14ac:dyDescent="0.25">
      <c r="A19" s="63">
        <f t="shared" si="0"/>
        <v>0</v>
      </c>
      <c r="B19">
        <f t="shared" si="1"/>
        <v>0</v>
      </c>
      <c r="C19" t="s">
        <v>273</v>
      </c>
      <c r="D19" s="206" t="str">
        <f>'Synthèse Horaires'!A31</f>
        <v/>
      </c>
      <c r="E19" s="206" t="str">
        <f>'Synthèse Horaires'!B31</f>
        <v/>
      </c>
      <c r="F19" s="206" t="str">
        <f>'Synthèse Horaires'!C31</f>
        <v/>
      </c>
      <c r="G19" s="206" t="str">
        <f>'Synthèse Horaires'!D31</f>
        <v/>
      </c>
      <c r="H19" s="206" t="str">
        <f>'Synthèse Horaires'!E31</f>
        <v/>
      </c>
      <c r="I19" s="206" t="str">
        <f>'Synthèse Horaires'!F31</f>
        <v/>
      </c>
      <c r="J19" s="206" t="str">
        <f>'Synthèse Horaires'!G31</f>
        <v/>
      </c>
      <c r="K19" s="206" t="str">
        <f>'Synthèse Horaires'!H31</f>
        <v/>
      </c>
      <c r="L19" s="206" t="str">
        <f>'Synthèse Horaires'!I31</f>
        <v/>
      </c>
      <c r="M19" s="206" t="str">
        <f>'Synthèse Horaires'!K31</f>
        <v/>
      </c>
      <c r="N19" s="206" t="str">
        <f>'Synthèse Horaires'!L31</f>
        <v/>
      </c>
      <c r="O19" s="206" t="str">
        <f>'Synthèse Horaires'!M31</f>
        <v/>
      </c>
      <c r="P19" s="236" t="str">
        <f>'Synthèse Horaires'!N31</f>
        <v/>
      </c>
    </row>
    <row r="20" spans="1:16" x14ac:dyDescent="0.25">
      <c r="A20" s="74">
        <f t="shared" si="0"/>
        <v>0</v>
      </c>
      <c r="B20" s="72">
        <f t="shared" si="1"/>
        <v>0</v>
      </c>
      <c r="C20" s="72" t="s">
        <v>273</v>
      </c>
      <c r="D20" s="237" t="str">
        <f>'Synthèse Horaires'!A32</f>
        <v/>
      </c>
      <c r="E20" s="237" t="str">
        <f>'Synthèse Horaires'!B32</f>
        <v/>
      </c>
      <c r="F20" s="237" t="str">
        <f>'Synthèse Horaires'!C32</f>
        <v/>
      </c>
      <c r="G20" s="237" t="str">
        <f>'Synthèse Horaires'!D32</f>
        <v/>
      </c>
      <c r="H20" s="237" t="str">
        <f>'Synthèse Horaires'!E32</f>
        <v/>
      </c>
      <c r="I20" s="237" t="str">
        <f>'Synthèse Horaires'!F32</f>
        <v/>
      </c>
      <c r="J20" s="237" t="str">
        <f>'Synthèse Horaires'!G32</f>
        <v/>
      </c>
      <c r="K20" s="237" t="str">
        <f>'Synthèse Horaires'!H32</f>
        <v/>
      </c>
      <c r="L20" s="237" t="str">
        <f>'Synthèse Horaires'!I32</f>
        <v/>
      </c>
      <c r="M20" s="237" t="str">
        <f>'Synthèse Horaires'!K32</f>
        <v/>
      </c>
      <c r="N20" s="237" t="str">
        <f>'Synthèse Horaires'!L32</f>
        <v/>
      </c>
      <c r="O20" s="237" t="str">
        <f>'Synthèse Horaires'!M32</f>
        <v/>
      </c>
      <c r="P20" s="238" t="str">
        <f>'Synthèse Horaires'!N32</f>
        <v/>
      </c>
    </row>
    <row r="21" spans="1:16" x14ac:dyDescent="0.25">
      <c r="D21" s="206"/>
      <c r="E21" s="206"/>
      <c r="F21" s="206"/>
      <c r="G21" s="206"/>
      <c r="H21" s="206"/>
      <c r="I21" s="206"/>
      <c r="J21" s="206"/>
      <c r="K21" s="206"/>
      <c r="L21" s="206"/>
      <c r="M21" s="206"/>
      <c r="N21" s="206"/>
      <c r="O21" s="206"/>
      <c r="P21" s="206"/>
    </row>
    <row r="22" spans="1:16" x14ac:dyDescent="0.25">
      <c r="D22" s="206"/>
      <c r="E22" s="206"/>
      <c r="F22" s="206"/>
      <c r="G22" s="206"/>
      <c r="H22" s="206"/>
      <c r="I22" s="206"/>
      <c r="J22" s="206"/>
      <c r="K22" s="206"/>
      <c r="L22" s="206"/>
      <c r="M22" s="206"/>
      <c r="N22" s="206"/>
      <c r="O22" s="206"/>
      <c r="P22" s="206"/>
    </row>
    <row r="23" spans="1:16" x14ac:dyDescent="0.25">
      <c r="D23" s="206"/>
      <c r="E23" s="206"/>
      <c r="F23" s="206"/>
      <c r="G23" s="206"/>
      <c r="H23" s="206"/>
      <c r="I23" s="206"/>
      <c r="J23" s="206"/>
      <c r="K23" s="206"/>
      <c r="L23" s="206"/>
      <c r="M23" s="206"/>
      <c r="N23" s="206"/>
      <c r="O23" s="206"/>
      <c r="P23" s="206"/>
    </row>
    <row r="24" spans="1:16" x14ac:dyDescent="0.25">
      <c r="D24" s="206"/>
      <c r="E24" s="206"/>
      <c r="F24" s="206"/>
      <c r="G24" s="206"/>
      <c r="H24" s="206"/>
      <c r="I24" s="206"/>
      <c r="J24" s="206"/>
      <c r="K24" s="206"/>
      <c r="L24" s="206"/>
      <c r="M24" s="206"/>
      <c r="N24" s="206"/>
      <c r="O24" s="206"/>
      <c r="P24" s="206"/>
    </row>
    <row r="25" spans="1:16" x14ac:dyDescent="0.25">
      <c r="D25" s="206"/>
      <c r="E25" s="206"/>
      <c r="F25" s="206"/>
      <c r="G25" s="206"/>
      <c r="H25" s="206"/>
      <c r="I25" s="206"/>
      <c r="J25" s="206"/>
      <c r="K25" s="206"/>
      <c r="L25" s="206"/>
      <c r="M25" s="206"/>
      <c r="N25" s="206"/>
      <c r="O25" s="206"/>
      <c r="P25" s="206"/>
    </row>
    <row r="26" spans="1:16" x14ac:dyDescent="0.25">
      <c r="D26" s="206"/>
      <c r="E26" s="206"/>
      <c r="F26" s="206"/>
      <c r="G26" s="206"/>
      <c r="H26" s="206"/>
      <c r="I26" s="206"/>
      <c r="J26" s="206"/>
      <c r="K26" s="206"/>
      <c r="L26" s="206"/>
      <c r="M26" s="206"/>
      <c r="N26" s="206"/>
      <c r="O26" s="206"/>
      <c r="P26" s="206"/>
    </row>
    <row r="27" spans="1:16" x14ac:dyDescent="0.25">
      <c r="D27" s="206"/>
      <c r="E27" s="206"/>
      <c r="F27" s="206"/>
      <c r="G27" s="206"/>
      <c r="H27" s="206"/>
      <c r="I27" s="206"/>
      <c r="J27" s="206"/>
      <c r="K27" s="206"/>
      <c r="L27" s="206"/>
      <c r="M27" s="206"/>
      <c r="N27" s="206"/>
      <c r="O27" s="206"/>
      <c r="P27" s="206"/>
    </row>
    <row r="28" spans="1:16" x14ac:dyDescent="0.25">
      <c r="D28" s="206"/>
      <c r="E28" s="206"/>
      <c r="F28" s="206"/>
      <c r="G28" s="206"/>
      <c r="H28" s="206"/>
      <c r="I28" s="206"/>
      <c r="J28" s="206"/>
      <c r="K28" s="206"/>
      <c r="L28" s="206"/>
      <c r="M28" s="206"/>
      <c r="N28" s="206"/>
      <c r="O28" s="206"/>
      <c r="P28" s="206"/>
    </row>
    <row r="29" spans="1:16" x14ac:dyDescent="0.25">
      <c r="D29" s="206"/>
      <c r="E29" s="206"/>
      <c r="F29" s="206"/>
      <c r="G29" s="206"/>
      <c r="H29" s="206"/>
      <c r="I29" s="206"/>
      <c r="J29" s="206"/>
      <c r="K29" s="206"/>
      <c r="L29" s="206"/>
      <c r="M29" s="206"/>
      <c r="N29" s="206"/>
      <c r="O29" s="206"/>
      <c r="P29" s="206"/>
    </row>
    <row r="30" spans="1:16" x14ac:dyDescent="0.25">
      <c r="D30" s="206"/>
      <c r="E30" s="206"/>
      <c r="F30" s="206"/>
      <c r="G30" s="206"/>
      <c r="H30" s="206"/>
      <c r="I30" s="206"/>
      <c r="J30" s="206"/>
      <c r="K30" s="206"/>
      <c r="L30" s="206"/>
      <c r="M30" s="206"/>
      <c r="N30" s="206"/>
      <c r="O30" s="206"/>
      <c r="P30" s="206"/>
    </row>
    <row r="31" spans="1:16" x14ac:dyDescent="0.25">
      <c r="D31" s="206"/>
      <c r="E31" s="206"/>
      <c r="F31" s="206"/>
      <c r="G31" s="206"/>
      <c r="H31" s="206"/>
      <c r="I31" s="206"/>
      <c r="J31" s="206"/>
      <c r="K31" s="206"/>
      <c r="L31" s="206"/>
      <c r="M31" s="206"/>
      <c r="N31" s="206"/>
      <c r="O31" s="206"/>
      <c r="P31" s="206"/>
    </row>
    <row r="32" spans="1:16" x14ac:dyDescent="0.25">
      <c r="D32" s="206"/>
      <c r="E32" s="206"/>
      <c r="F32" s="206"/>
      <c r="G32" s="206"/>
      <c r="H32" s="206"/>
      <c r="I32" s="206"/>
      <c r="J32" s="206"/>
      <c r="K32" s="206"/>
      <c r="L32" s="206"/>
      <c r="M32" s="206"/>
      <c r="N32" s="206"/>
      <c r="O32" s="206"/>
      <c r="P32" s="206"/>
    </row>
    <row r="33" spans="4:16" x14ac:dyDescent="0.25">
      <c r="D33" s="206"/>
      <c r="E33" s="206"/>
      <c r="F33" s="206"/>
      <c r="G33" s="206"/>
      <c r="H33" s="206"/>
      <c r="I33" s="206"/>
      <c r="J33" s="206"/>
      <c r="K33" s="206"/>
      <c r="L33" s="206"/>
      <c r="M33" s="206"/>
      <c r="N33" s="206"/>
      <c r="O33" s="206"/>
      <c r="P33" s="206"/>
    </row>
    <row r="34" spans="4:16" x14ac:dyDescent="0.25">
      <c r="D34" s="206"/>
      <c r="E34" s="206"/>
      <c r="F34" s="206"/>
      <c r="G34" s="206"/>
      <c r="H34" s="206"/>
      <c r="I34" s="206"/>
      <c r="J34" s="206"/>
      <c r="K34" s="206"/>
      <c r="L34" s="206"/>
      <c r="M34" s="206"/>
      <c r="N34" s="206"/>
      <c r="O34" s="206"/>
      <c r="P34" s="206"/>
    </row>
  </sheetData>
  <sheetProtection algorithmName="SHA-512" hashValue="5BJ8yoNzKqMHIqTJIWFYxI8CowKbL27go+e6sMVVG7XKa3DfzHGc/qInyLcZEdL2+ZLm1wkh2b/ATdlDKW7COA==" saltValue="mscMZ1AmzfA5SqykNnbSsA==" spinCount="100000" sheet="1" objects="1" scenarios="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9</vt:i4>
      </vt:variant>
      <vt:variant>
        <vt:lpstr>Plages nommées</vt:lpstr>
      </vt:variant>
      <vt:variant>
        <vt:i4>5</vt:i4>
      </vt:variant>
    </vt:vector>
  </HeadingPairs>
  <TitlesOfParts>
    <vt:vector size="14" baseType="lpstr">
      <vt:lpstr>Synthèse Horaires</vt:lpstr>
      <vt:lpstr>MASQUE COLLABORATEUR</vt:lpstr>
      <vt:lpstr>PREV HORAIRES</vt:lpstr>
      <vt:lpstr>Point Information</vt:lpstr>
      <vt:lpstr>Base Synthèse Horaires</vt:lpstr>
      <vt:lpstr>Base Matricule Siège</vt:lpstr>
      <vt:lpstr>Data Base</vt:lpstr>
      <vt:lpstr>Cal-Exit</vt:lpstr>
      <vt:lpstr>Export Point FH</vt:lpstr>
      <vt:lpstr>'Base Synthèse Horaires'!Zone_d_impression</vt:lpstr>
      <vt:lpstr>'Cal-Exit'!Zone_d_impression</vt:lpstr>
      <vt:lpstr>'Point Information'!Zone_d_impression</vt:lpstr>
      <vt:lpstr>'PREV HORAIRES'!Zone_d_impression</vt:lpstr>
      <vt:lpstr>'Synthèse Horaires'!Zone_d_impression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2015-06-05T18:17:20Z</dcterms:created>
  <dcterms:modified xsi:type="dcterms:W3CDTF">2026-06-08T15:58:25Z</dcterms:modified>
</cp:coreProperties>
</file>